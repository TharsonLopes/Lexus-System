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st Representações" sheetId="1" r:id="rId4"/>
    <sheet state="visible" name="Fast Malhas" sheetId="2" r:id="rId5"/>
    <sheet state="visible" name="Fast Elásticos" sheetId="3" r:id="rId6"/>
    <sheet state="visible" name="Fast Conselheiro" sheetId="4" r:id="rId7"/>
    <sheet state="visible" name="RM Têxtil" sheetId="5" r:id="rId8"/>
    <sheet state="visible" name="2R Representações" sheetId="6" r:id="rId9"/>
    <sheet state="visible" name="Dieu Fort" sheetId="7" r:id="rId10"/>
    <sheet state="visible" name="Bônus" sheetId="8" r:id="rId11"/>
    <sheet state="visible" name="Total Comissão" sheetId="9" r:id="rId12"/>
    <sheet state="visible" name="Despesas Lexus" sheetId="10" r:id="rId13"/>
  </sheets>
  <definedNames>
    <definedName hidden="1" localSheetId="0" name="_xlnm._FilterDatabase">'Fast Representações'!$B$1:$N$926</definedName>
    <definedName hidden="1" localSheetId="1" name="_xlnm._FilterDatabase">'Fast Malhas'!$B$1:$I$920</definedName>
    <definedName hidden="1" localSheetId="2" name="_xlnm._FilterDatabase">'Fast Elásticos'!$A$1:$K$66</definedName>
    <definedName hidden="1" localSheetId="3" name="_xlnm._FilterDatabase">'Fast Conselheiro'!$B$1:$L$902</definedName>
    <definedName hidden="1" localSheetId="4" name="_xlnm._FilterDatabase">'RM Têxtil'!$B$1:$L$904</definedName>
    <definedName hidden="1" localSheetId="5" name="_xlnm._FilterDatabase">'2R Representações'!$B$1:$L$903</definedName>
    <definedName hidden="1" localSheetId="6" name="_xlnm._FilterDatabase">'Dieu Fort'!$B$1:$L$902</definedName>
    <definedName hidden="1" localSheetId="7" name="_xlnm._FilterDatabase">'Bônus'!$B$1:$L$898</definedName>
  </definedNames>
  <calcPr/>
  <extLst>
    <ext uri="GoogleSheetsCustomDataVersion2">
      <go:sheetsCustomData xmlns:go="http://customooxmlschemas.google.com/" r:id="rId14" roundtripDataChecksum="xN8r4FnPeGMNnzxr4oE1eJ3scKgJ6QIQpyTNNxbIEfk="/>
    </ext>
  </extLst>
</workbook>
</file>

<file path=xl/sharedStrings.xml><?xml version="1.0" encoding="utf-8"?>
<sst xmlns="http://schemas.openxmlformats.org/spreadsheetml/2006/main" count="730" uniqueCount="132">
  <si>
    <t>o</t>
  </si>
  <si>
    <t xml:space="preserve">Nº do Sistema </t>
  </si>
  <si>
    <t>Nº  Processo</t>
  </si>
  <si>
    <t>Cliente</t>
  </si>
  <si>
    <t>NF</t>
  </si>
  <si>
    <t xml:space="preserve">Custo </t>
  </si>
  <si>
    <t>Faturamento</t>
  </si>
  <si>
    <t>Quantidade</t>
  </si>
  <si>
    <t>Produto</t>
  </si>
  <si>
    <t>Valor Unitário</t>
  </si>
  <si>
    <t>Valor Total</t>
  </si>
  <si>
    <t>% Comissão</t>
  </si>
  <si>
    <t>Comissão</t>
  </si>
  <si>
    <t>Mês a Receber</t>
  </si>
  <si>
    <t>Comissão Bruta</t>
  </si>
  <si>
    <t>Imposto</t>
  </si>
  <si>
    <t>Comissão total</t>
  </si>
  <si>
    <t>Entrelinhas</t>
  </si>
  <si>
    <t>Nº Pedido</t>
  </si>
  <si>
    <t>Nota Fiscal</t>
  </si>
  <si>
    <t>Data de Pagamento</t>
  </si>
  <si>
    <t>Data de entrada</t>
  </si>
  <si>
    <t xml:space="preserve">Nº do Pedido </t>
  </si>
  <si>
    <t>Renda 18cm</t>
  </si>
  <si>
    <t>Preço</t>
  </si>
  <si>
    <t>Status</t>
  </si>
  <si>
    <t>Janeiro</t>
  </si>
  <si>
    <t xml:space="preserve">F7 New Style </t>
  </si>
  <si>
    <t>418AFDA9</t>
  </si>
  <si>
    <t>Kelly Cristina</t>
  </si>
  <si>
    <t>MS Fabulosa</t>
  </si>
  <si>
    <t>Julho</t>
  </si>
  <si>
    <t>Romantic</t>
  </si>
  <si>
    <t>Belle Fascinio</t>
  </si>
  <si>
    <t>Jóia</t>
  </si>
  <si>
    <t>Malha Forro</t>
  </si>
  <si>
    <t>Pago</t>
  </si>
  <si>
    <t xml:space="preserve"> </t>
  </si>
  <si>
    <t>Be Bless</t>
  </si>
  <si>
    <t xml:space="preserve">Miranda e Fraga </t>
  </si>
  <si>
    <t>Setembro</t>
  </si>
  <si>
    <t>Suede Estampado</t>
  </si>
  <si>
    <t>Março</t>
  </si>
  <si>
    <t>1622AB33</t>
  </si>
  <si>
    <t>Micael</t>
  </si>
  <si>
    <t>Suplex Zero</t>
  </si>
  <si>
    <t>Fevereiro</t>
  </si>
  <si>
    <t>Irresistivel Lingerie</t>
  </si>
  <si>
    <t>Cotton</t>
  </si>
  <si>
    <t>B67B0E49/E68A6EAE</t>
  </si>
  <si>
    <t>NovaMoon</t>
  </si>
  <si>
    <t>Siqueira</t>
  </si>
  <si>
    <t>Nicoly CS</t>
  </si>
  <si>
    <t>Island</t>
  </si>
  <si>
    <t xml:space="preserve">Gabriel Rodrigues </t>
  </si>
  <si>
    <t>Poliamida</t>
  </si>
  <si>
    <t>Gabriel</t>
  </si>
  <si>
    <t>DA700ECC</t>
  </si>
  <si>
    <t>Mauricio</t>
  </si>
  <si>
    <t>BR Acessórios</t>
  </si>
  <si>
    <t>F7 New Style</t>
  </si>
  <si>
    <t>388D4F41</t>
  </si>
  <si>
    <t>Suplex</t>
  </si>
  <si>
    <t>Bellamour</t>
  </si>
  <si>
    <t>Maio</t>
  </si>
  <si>
    <t>Abril</t>
  </si>
  <si>
    <t>Gabriel Rodrigues</t>
  </si>
  <si>
    <t>Junho</t>
  </si>
  <si>
    <t>Aguardando Pagamento</t>
  </si>
  <si>
    <t>Feitosa &amp; Melo</t>
  </si>
  <si>
    <t>Agosto</t>
  </si>
  <si>
    <t>Belle Sensi</t>
  </si>
  <si>
    <t>Reivax</t>
  </si>
  <si>
    <t>WWA</t>
  </si>
  <si>
    <t xml:space="preserve">D'bellus </t>
  </si>
  <si>
    <t>Mavique</t>
  </si>
  <si>
    <t>Joia Íntima</t>
  </si>
  <si>
    <t>------</t>
  </si>
  <si>
    <t>LD Romantic</t>
  </si>
  <si>
    <t>Entrelinhas (bônus)</t>
  </si>
  <si>
    <t>ND</t>
  </si>
  <si>
    <t>Gbriel Rodrigues</t>
  </si>
  <si>
    <t>]]]]]]]]]</t>
  </si>
  <si>
    <t>Viés 16mm Pue</t>
  </si>
  <si>
    <t>Viés 25mm Pue</t>
  </si>
  <si>
    <t>S/N</t>
  </si>
  <si>
    <t>Auvo</t>
  </si>
  <si>
    <t>Boxer</t>
  </si>
  <si>
    <t xml:space="preserve">Valéria </t>
  </si>
  <si>
    <t xml:space="preserve">Suplex </t>
  </si>
  <si>
    <t>Faturado</t>
  </si>
  <si>
    <t>Suede Canelado</t>
  </si>
  <si>
    <t>Suplex Iron</t>
  </si>
  <si>
    <t>Galena</t>
  </si>
  <si>
    <t>Multiplas</t>
  </si>
  <si>
    <t>vendas</t>
  </si>
  <si>
    <t>EME Modas</t>
  </si>
  <si>
    <t>Tanga Maju</t>
  </si>
  <si>
    <t>Fofuxo</t>
  </si>
  <si>
    <t>Belle Fascinio Lingerie</t>
  </si>
  <si>
    <t>Tornado</t>
  </si>
  <si>
    <t>Vendas</t>
  </si>
  <si>
    <t>Time Fitness</t>
  </si>
  <si>
    <t>Renda 6cm</t>
  </si>
  <si>
    <t xml:space="preserve">Fabio de simas </t>
  </si>
  <si>
    <t>BR acessórios</t>
  </si>
  <si>
    <t xml:space="preserve">GT Moda Intima </t>
  </si>
  <si>
    <t>Total a receber</t>
  </si>
  <si>
    <t>LEXUS REPRESENTAÇÕES</t>
  </si>
  <si>
    <t>Dieu Fort</t>
  </si>
  <si>
    <t>MR Têxtil</t>
  </si>
  <si>
    <t>Tributavel</t>
  </si>
  <si>
    <t>Não Tributavel</t>
  </si>
  <si>
    <t>2R Representações</t>
  </si>
  <si>
    <t>Bônus</t>
  </si>
  <si>
    <t>Total</t>
  </si>
  <si>
    <t>Grupo Fast</t>
  </si>
  <si>
    <t>Fast Representações</t>
  </si>
  <si>
    <t>Fast Malhas</t>
  </si>
  <si>
    <t>Fast Elásticos</t>
  </si>
  <si>
    <t>Fast Conselheiro</t>
  </si>
  <si>
    <t>Outubro</t>
  </si>
  <si>
    <t>Novembro</t>
  </si>
  <si>
    <t>Dezembro</t>
  </si>
  <si>
    <t>Mês</t>
  </si>
  <si>
    <t>Contabilidade</t>
  </si>
  <si>
    <t>S.N</t>
  </si>
  <si>
    <t>INSS</t>
  </si>
  <si>
    <t>Neg. Simples</t>
  </si>
  <si>
    <t>Total Mês</t>
  </si>
  <si>
    <t>ALVARÁ</t>
  </si>
  <si>
    <t>CERTIFICADO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</si>
</sst>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$ -416]#,##0.00"/>
    <numFmt numFmtId="165" formatCode="dd/mm/yyyy"/>
    <numFmt numFmtId="166" formatCode="d/m/yyyy"/>
    <numFmt numFmtId="167" formatCode="0.000"/>
  </numFmts>
  <fonts count="26">
    <font>
      <sz val="10.0"/>
      <color rgb="FF000000"/>
      <name val="Arial"/>
      <scheme val="minor"/>
    </font>
    <font>
      <color rgb="FFFFFFFF"/>
      <name val="Arial"/>
    </font>
    <font>
      <color rgb="FF00FFFF"/>
      <name val="Arial"/>
    </font>
    <font>
      <color theme="1"/>
      <name val="Arial"/>
    </font>
    <font>
      <color theme="1"/>
      <name val="Arial"/>
      <scheme val="minor"/>
    </font>
    <font>
      <sz val="10.0"/>
      <color rgb="FFFFFFFF"/>
      <name val="Arial"/>
    </font>
    <font>
      <b/>
      <sz val="10.0"/>
      <color rgb="FFFFFFFF"/>
      <name val="Arial"/>
    </font>
    <font>
      <sz val="10.0"/>
      <color theme="1"/>
      <name val="Arial"/>
    </font>
    <font>
      <sz val="10.0"/>
      <color rgb="FF000000"/>
      <name val="Arial"/>
    </font>
    <font>
      <sz val="12.0"/>
      <color rgb="FF00FFFF"/>
      <name val="Arial"/>
    </font>
    <font>
      <sz val="11.0"/>
      <color rgb="FFFFFFFF"/>
      <name val="Arial"/>
    </font>
    <font>
      <sz val="12.0"/>
      <color rgb="FFFFFFFF"/>
      <name val="Arial"/>
    </font>
    <font>
      <sz val="11.0"/>
      <color rgb="FF00FFFF"/>
      <name val="Arial"/>
    </font>
    <font/>
    <font>
      <sz val="12.0"/>
      <color theme="1"/>
      <name val="Arial"/>
    </font>
    <font>
      <sz val="11.0"/>
      <color theme="1"/>
      <name val="Arial"/>
      <scheme val="minor"/>
    </font>
    <font>
      <sz val="11.0"/>
      <color theme="1"/>
      <name val="Arial"/>
    </font>
    <font>
      <sz val="11.0"/>
      <color rgb="FF000000"/>
      <name val="Arial"/>
    </font>
    <font>
      <sz val="13.0"/>
      <color theme="1"/>
      <name val="Arial"/>
    </font>
    <font>
      <sz val="13.0"/>
      <color rgb="FF00FFFF"/>
      <name val="Arial"/>
    </font>
    <font>
      <sz val="11.0"/>
      <color rgb="FF00FF00"/>
      <name val="Arial"/>
      <scheme val="minor"/>
    </font>
    <font>
      <sz val="11.0"/>
      <color rgb="FF00FF00"/>
      <name val="Arial"/>
    </font>
    <font>
      <sz val="12.0"/>
      <color theme="1"/>
      <name val="Arial"/>
      <scheme val="minor"/>
    </font>
    <font>
      <sz val="12.0"/>
      <color rgb="FF00FF00"/>
      <name val="Courier New"/>
    </font>
    <font>
      <sz val="12.0"/>
      <color theme="1"/>
      <name val="Courier New"/>
    </font>
    <font>
      <color rgb="FF00FF0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C4587"/>
        <bgColor rgb="FF1C4587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5">
    <border/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vertical="center"/>
    </xf>
    <xf borderId="0" fillId="2" fontId="3" numFmtId="0" xfId="0" applyAlignment="1" applyFill="1" applyFont="1">
      <alignment horizontal="center"/>
    </xf>
    <xf borderId="1" fillId="2" fontId="3" numFmtId="0" xfId="0" applyAlignment="1" applyBorder="1" applyFill="1" applyFont="1">
      <alignment horizontal="center"/>
    </xf>
    <xf borderId="0" fillId="0" fontId="4" numFmtId="0" xfId="0" applyAlignment="1" applyFont="1">
      <alignment vertical="center"/>
    </xf>
    <xf borderId="0" fillId="2" fontId="3" numFmtId="0" xfId="0" applyFill="1" applyFont="1"/>
    <xf borderId="0" fillId="2" fontId="3" numFmtId="164" xfId="0" applyAlignment="1" applyFill="1" applyFont="1" applyNumberFormat="1">
      <alignment horizontal="center" readingOrder="0"/>
    </xf>
    <xf borderId="0" fillId="2" fontId="1" numFmtId="0" xfId="0" applyAlignment="1" applyFill="1" applyFont="1">
      <alignment horizontal="center"/>
    </xf>
    <xf borderId="0" fillId="2" fontId="1" numFmtId="0" xfId="0" applyAlignment="1" applyFill="1" applyFont="1">
      <alignment horizontal="center" vertical="center"/>
    </xf>
    <xf borderId="0" fillId="2" fontId="3" numFmtId="4" xfId="0" applyAlignment="1" applyFill="1" applyFont="1" applyNumberFormat="1">
      <alignment horizontal="center" readingOrder="0"/>
    </xf>
    <xf borderId="1" fillId="2" fontId="3" numFmtId="0" xfId="0" applyAlignment="1" applyBorder="1" applyFill="1" applyFont="1">
      <alignment horizontal="center" vertical="center"/>
    </xf>
    <xf borderId="0" fillId="3" fontId="2" numFmtId="164" xfId="0" applyAlignment="1" applyFill="1" applyFont="1" applyNumberFormat="1">
      <alignment horizontal="center" vertical="center"/>
    </xf>
    <xf borderId="2" fillId="3" fontId="5" numFmtId="0" xfId="0" applyAlignment="1" applyBorder="1" applyFill="1" applyFont="1">
      <alignment horizontal="center" vertical="center"/>
    </xf>
    <xf borderId="0" fillId="2" fontId="3" numFmtId="0" xfId="0" applyAlignment="1" applyFill="1" applyFont="1">
      <alignment vertical="center"/>
    </xf>
    <xf borderId="0" fillId="2" fontId="3" numFmtId="0" xfId="0" applyAlignment="1" applyFill="1" applyFont="1">
      <alignment horizontal="center" readingOrder="0" vertical="center"/>
    </xf>
    <xf borderId="3" fillId="3" fontId="5" numFmtId="0" xfId="0" applyAlignment="1" applyBorder="1" applyFill="1" applyFont="1">
      <alignment horizontal="center" vertical="center"/>
    </xf>
    <xf borderId="0" fillId="2" fontId="3" numFmtId="165" xfId="0" applyAlignment="1" applyFill="1" applyFont="1" applyNumberFormat="1">
      <alignment horizontal="center" readingOrder="0" vertical="center"/>
    </xf>
    <xf borderId="0" fillId="2" fontId="3" numFmtId="49" xfId="0" applyAlignment="1" applyFill="1" applyFont="1" applyNumberFormat="1">
      <alignment horizontal="center" readingOrder="0" vertical="center"/>
    </xf>
    <xf borderId="0" fillId="2" fontId="3" numFmtId="164" xfId="0" applyAlignment="1" applyFill="1" applyFont="1" applyNumberFormat="1">
      <alignment horizontal="center" readingOrder="0" vertical="center"/>
    </xf>
    <xf borderId="0" fillId="2" fontId="3" numFmtId="2" xfId="0" applyAlignment="1" applyFill="1" applyFont="1" applyNumberFormat="1">
      <alignment horizontal="center" readingOrder="0" vertical="center"/>
    </xf>
    <xf borderId="0" fillId="0" fontId="3" numFmtId="0" xfId="0" applyAlignment="1" applyFont="1">
      <alignment vertical="center"/>
    </xf>
    <xf borderId="0" fillId="2" fontId="3" numFmtId="164" xfId="0" applyAlignment="1" applyFill="1" applyFont="1" applyNumberFormat="1">
      <alignment horizontal="right"/>
    </xf>
    <xf borderId="0" fillId="2" fontId="3" numFmtId="9" xfId="0" applyAlignment="1" applyFill="1" applyFont="1" applyNumberFormat="1">
      <alignment horizontal="right" vertical="center"/>
    </xf>
    <xf borderId="3" fillId="3" fontId="6" numFmtId="0" xfId="0" applyAlignment="1" applyBorder="1" applyFill="1" applyFont="1">
      <alignment horizontal="center" vertical="center"/>
    </xf>
    <xf borderId="0" fillId="2" fontId="3" numFmtId="164" xfId="0" applyAlignment="1" applyFill="1" applyFont="1" applyNumberFormat="1">
      <alignment horizontal="center" vertical="center"/>
    </xf>
    <xf borderId="0" fillId="2" fontId="3" numFmtId="10" xfId="0" applyAlignment="1" applyFill="1" applyFont="1" applyNumberFormat="1">
      <alignment horizontal="center" readingOrder="0" vertical="center"/>
    </xf>
    <xf borderId="4" fillId="0" fontId="3" numFmtId="0" xfId="0" applyAlignment="1" applyBorder="1" applyFont="1">
      <alignment horizontal="center" readingOrder="0" vertical="center"/>
    </xf>
    <xf borderId="5" fillId="3" fontId="5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vertical="bottom"/>
    </xf>
    <xf borderId="6" fillId="2" fontId="7" numFmtId="165" xfId="0" applyAlignment="1" applyBorder="1" applyFill="1" applyFont="1" applyNumberFormat="1">
      <alignment horizontal="center" readingOrder="0" vertical="center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readingOrder="0" vertical="center"/>
    </xf>
    <xf borderId="0" fillId="2" fontId="7" numFmtId="0" xfId="0" applyAlignment="1" applyFill="1" applyFont="1">
      <alignment horizontal="center" readingOrder="0" vertical="center"/>
    </xf>
    <xf borderId="0" fillId="0" fontId="3" numFmtId="166" xfId="0" applyAlignment="1" applyFont="1" applyNumberFormat="1">
      <alignment horizontal="center" readingOrder="0"/>
    </xf>
    <xf borderId="0" fillId="2" fontId="3" numFmtId="164" xfId="0" applyAlignment="1" applyFill="1" applyFont="1" applyNumberFormat="1">
      <alignment horizontal="center"/>
    </xf>
    <xf borderId="0" fillId="0" fontId="3" numFmtId="166" xfId="0" applyAlignment="1" applyFont="1" applyNumberFormat="1">
      <alignment horizontal="center"/>
    </xf>
    <xf borderId="0" fillId="4" fontId="7" numFmtId="0" xfId="0" applyAlignment="1" applyFill="1" applyFont="1">
      <alignment horizontal="center" readingOrder="0" vertical="center"/>
    </xf>
    <xf borderId="0" fillId="2" fontId="3" numFmtId="164" xfId="0" applyAlignment="1" applyFill="1" applyFont="1" applyNumberFormat="1">
      <alignment horizontal="right" vertical="bottom"/>
    </xf>
    <xf borderId="4" fillId="2" fontId="3" numFmtId="0" xfId="0" applyAlignment="1" applyBorder="1" applyFill="1" applyFont="1">
      <alignment horizontal="center" readingOrder="0" vertical="center"/>
    </xf>
    <xf borderId="0" fillId="2" fontId="3" numFmtId="2" xfId="0" applyAlignment="1" applyFill="1" applyFont="1" applyNumberFormat="1">
      <alignment horizontal="right" vertical="bottom"/>
    </xf>
    <xf borderId="0" fillId="4" fontId="7" numFmtId="164" xfId="0" applyAlignment="1" applyFill="1" applyFont="1" applyNumberFormat="1">
      <alignment horizontal="center" readingOrder="0" vertical="center"/>
    </xf>
    <xf borderId="0" fillId="4" fontId="7" numFmtId="2" xfId="0" applyAlignment="1" applyFill="1" applyFont="1" applyNumberFormat="1">
      <alignment horizontal="center" readingOrder="0" vertical="center"/>
    </xf>
    <xf borderId="1" fillId="0" fontId="3" numFmtId="0" xfId="0" applyAlignment="1" applyBorder="1" applyFont="1">
      <alignment horizontal="center"/>
    </xf>
    <xf borderId="0" fillId="2" fontId="3" numFmtId="0" xfId="0" applyAlignment="1" applyFill="1" applyFont="1">
      <alignment horizontal="center" vertical="center"/>
    </xf>
    <xf borderId="0" fillId="0" fontId="3" numFmtId="0" xfId="0" applyFont="1"/>
    <xf borderId="0" fillId="2" fontId="3" numFmtId="165" xfId="0" applyAlignment="1" applyFill="1" applyFont="1" applyNumberFormat="1">
      <alignment horizontal="center" vertical="center"/>
    </xf>
    <xf borderId="0" fillId="0" fontId="3" numFmtId="164" xfId="0" applyAlignment="1" applyFont="1" applyNumberFormat="1">
      <alignment horizontal="center" readingOrder="0"/>
    </xf>
    <xf borderId="0" fillId="2" fontId="3" numFmtId="49" xfId="0" applyAlignment="1" applyFill="1" applyFont="1" applyNumberFormat="1">
      <alignment horizontal="center" vertical="center"/>
    </xf>
    <xf borderId="0" fillId="0" fontId="3" numFmtId="4" xfId="0" applyAlignment="1" applyFont="1" applyNumberFormat="1">
      <alignment horizontal="center" readingOrder="0"/>
    </xf>
    <xf borderId="0" fillId="2" fontId="3" numFmtId="2" xfId="0" applyAlignment="1" applyFill="1" applyFont="1" applyNumberFormat="1">
      <alignment horizontal="center" vertical="center"/>
    </xf>
    <xf borderId="0" fillId="2" fontId="7" numFmtId="164" xfId="0" applyAlignment="1" applyFill="1" applyFont="1" applyNumberFormat="1">
      <alignment horizontal="center" vertical="center"/>
    </xf>
    <xf borderId="0" fillId="0" fontId="3" numFmtId="164" xfId="0" applyAlignment="1" applyFont="1" applyNumberFormat="1">
      <alignment horizontal="right"/>
    </xf>
    <xf borderId="0" fillId="2" fontId="3" numFmtId="10" xfId="0" applyAlignment="1" applyFill="1" applyFont="1" applyNumberFormat="1">
      <alignment horizontal="right" vertical="bottom"/>
    </xf>
    <xf borderId="0" fillId="0" fontId="7" numFmtId="0" xfId="0" applyAlignment="1" applyFont="1">
      <alignment horizontal="center" readingOrder="0" vertical="center"/>
    </xf>
    <xf borderId="0" fillId="0" fontId="7" numFmtId="10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 vertical="bottom"/>
    </xf>
    <xf borderId="0" fillId="2" fontId="8" numFmtId="164" xfId="0" applyAlignment="1" applyFill="1" applyFont="1" applyNumberFormat="1">
      <alignment horizontal="center" vertical="center"/>
    </xf>
    <xf borderId="0" fillId="2" fontId="3" numFmtId="0" xfId="0" applyAlignment="1" applyFill="1" applyFont="1">
      <alignment horizontal="center" readingOrder="0" vertical="bottom"/>
    </xf>
    <xf borderId="0" fillId="0" fontId="3" numFmtId="164" xfId="0" applyAlignment="1" applyFont="1" applyNumberFormat="1">
      <alignment horizontal="center"/>
    </xf>
    <xf borderId="0" fillId="0" fontId="3" numFmtId="4" xfId="0" applyAlignment="1" applyFont="1" applyNumberFormat="1">
      <alignment horizontal="center"/>
    </xf>
    <xf borderId="4" fillId="4" fontId="7" numFmtId="0" xfId="0" applyAlignment="1" applyBorder="1" applyFill="1" applyFont="1">
      <alignment horizontal="center" readingOrder="0" vertical="center"/>
    </xf>
    <xf borderId="0" fillId="2" fontId="3" numFmtId="0" xfId="0" applyAlignment="1" applyFill="1" applyFont="1">
      <alignment horizontal="left" readingOrder="0" vertical="center"/>
    </xf>
    <xf borderId="0" fillId="2" fontId="3" numFmtId="166" xfId="0" applyAlignment="1" applyFill="1" applyFont="1" applyNumberFormat="1">
      <alignment horizontal="center" readingOrder="0" vertical="bottom"/>
    </xf>
    <xf borderId="1" fillId="2" fontId="7" numFmtId="165" xfId="0" applyAlignment="1" applyBorder="1" applyFill="1" applyFont="1" applyNumberFormat="1">
      <alignment horizontal="center" readingOrder="0" vertical="center"/>
    </xf>
    <xf borderId="0" fillId="2" fontId="3" numFmtId="0" xfId="0" applyAlignment="1" applyFill="1" applyFont="1">
      <alignment horizontal="center" vertical="bottom"/>
    </xf>
    <xf borderId="0" fillId="2" fontId="3" numFmtId="164" xfId="0" applyAlignment="1" applyFill="1" applyFont="1" applyNumberFormat="1">
      <alignment readingOrder="0" vertical="bottom"/>
    </xf>
    <xf borderId="0" fillId="2" fontId="3" numFmtId="2" xfId="0" applyAlignment="1" applyFill="1" applyFont="1" applyNumberFormat="1">
      <alignment readingOrder="0"/>
    </xf>
    <xf borderId="0" fillId="4" fontId="7" numFmtId="167" xfId="0" applyAlignment="1" applyFill="1" applyFont="1" applyNumberFormat="1">
      <alignment horizontal="center" readingOrder="0" vertical="center"/>
    </xf>
    <xf borderId="0" fillId="2" fontId="3" numFmtId="164" xfId="0" applyFill="1" applyFont="1" applyNumberFormat="1"/>
    <xf borderId="0" fillId="2" fontId="3" numFmtId="10" xfId="0" applyFill="1" applyFont="1" applyNumberFormat="1"/>
    <xf borderId="1" fillId="2" fontId="3" numFmtId="0" xfId="0" applyAlignment="1" applyBorder="1" applyFill="1" applyFont="1">
      <alignment horizontal="center" readingOrder="0" vertical="center"/>
    </xf>
    <xf borderId="0" fillId="2" fontId="3" numFmtId="0" xfId="0" applyAlignment="1" applyFill="1" applyFont="1">
      <alignment readingOrder="0" vertical="center"/>
    </xf>
    <xf borderId="0" fillId="2" fontId="3" numFmtId="165" xfId="0" applyAlignment="1" applyFill="1" applyFont="1" applyNumberFormat="1">
      <alignment horizontal="center"/>
    </xf>
    <xf borderId="0" fillId="2" fontId="3" numFmtId="164" xfId="0" applyAlignment="1" applyFill="1" applyFont="1" applyNumberFormat="1">
      <alignment readingOrder="0"/>
    </xf>
    <xf borderId="0" fillId="2" fontId="3" numFmtId="4" xfId="0" applyAlignment="1" applyFill="1" applyFont="1" applyNumberFormat="1">
      <alignment horizontal="center" readingOrder="0" vertical="center"/>
    </xf>
    <xf borderId="0" fillId="2" fontId="3" numFmtId="0" xfId="0" applyAlignment="1" applyFill="1" applyFont="1">
      <alignment horizontal="center" readingOrder="0"/>
    </xf>
    <xf borderId="0" fillId="2" fontId="3" numFmtId="165" xfId="0" applyAlignment="1" applyFill="1" applyFont="1" applyNumberFormat="1">
      <alignment horizontal="center" readingOrder="0"/>
    </xf>
    <xf borderId="0" fillId="2" fontId="7" numFmtId="165" xfId="0" applyAlignment="1" applyFill="1" applyFont="1" applyNumberFormat="1">
      <alignment horizontal="center" readingOrder="0" vertical="center"/>
    </xf>
    <xf borderId="0" fillId="2" fontId="3" numFmtId="2" xfId="0" applyFill="1" applyFont="1" applyNumberFormat="1"/>
    <xf borderId="0" fillId="0" fontId="3" numFmtId="165" xfId="0" applyAlignment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2" fontId="3" numFmtId="167" xfId="0" applyAlignment="1" applyFill="1" applyFont="1" applyNumberFormat="1">
      <alignment horizontal="center" readingOrder="0" vertical="center"/>
    </xf>
    <xf borderId="0" fillId="2" fontId="3" numFmtId="9" xfId="0" applyAlignment="1" applyFill="1" applyFont="1" applyNumberFormat="1">
      <alignment horizontal="right" readingOrder="0" vertical="center"/>
    </xf>
    <xf borderId="0" fillId="5" fontId="3" numFmtId="0" xfId="0" applyAlignment="1" applyFill="1" applyFont="1">
      <alignment horizontal="center" readingOrder="0"/>
    </xf>
    <xf borderId="0" fillId="5" fontId="3" numFmtId="0" xfId="0" applyAlignment="1" applyFill="1" applyFont="1">
      <alignment horizontal="left" readingOrder="0" vertical="center"/>
    </xf>
    <xf borderId="0" fillId="5" fontId="3" numFmtId="0" xfId="0" applyAlignment="1" applyFill="1" applyFont="1">
      <alignment horizontal="center" readingOrder="0" vertical="center"/>
    </xf>
    <xf borderId="0" fillId="5" fontId="3" numFmtId="0" xfId="0" applyAlignment="1" applyFill="1" applyFont="1">
      <alignment horizontal="center"/>
    </xf>
    <xf borderId="0" fillId="5" fontId="3" numFmtId="164" xfId="0" applyAlignment="1" applyFill="1" applyFont="1" applyNumberFormat="1">
      <alignment readingOrder="0"/>
    </xf>
    <xf borderId="0" fillId="5" fontId="3" numFmtId="2" xfId="0" applyFill="1" applyFont="1" applyNumberFormat="1"/>
    <xf borderId="0" fillId="5" fontId="3" numFmtId="164" xfId="0" applyFill="1" applyFont="1" applyNumberFormat="1"/>
    <xf borderId="0" fillId="5" fontId="3" numFmtId="10" xfId="0" applyFill="1" applyFont="1" applyNumberFormat="1"/>
    <xf borderId="1" fillId="5" fontId="3" numFmtId="0" xfId="0" applyAlignment="1" applyBorder="1" applyFill="1" applyFont="1">
      <alignment horizontal="center" readingOrder="0" vertical="center"/>
    </xf>
    <xf borderId="0" fillId="5" fontId="3" numFmtId="0" xfId="0" applyAlignment="1" applyFill="1" applyFont="1">
      <alignment readingOrder="0" vertical="center"/>
    </xf>
    <xf borderId="0" fillId="5" fontId="3" numFmtId="165" xfId="0" applyAlignment="1" applyFill="1" applyFont="1" applyNumberFormat="1">
      <alignment horizontal="center" readingOrder="0" vertical="center"/>
    </xf>
    <xf borderId="0" fillId="5" fontId="3" numFmtId="49" xfId="0" applyAlignment="1" applyFill="1" applyFont="1" applyNumberFormat="1">
      <alignment horizontal="center" readingOrder="0" vertical="center"/>
    </xf>
    <xf borderId="0" fillId="5" fontId="3" numFmtId="164" xfId="0" applyAlignment="1" applyFill="1" applyFont="1" applyNumberFormat="1">
      <alignment horizontal="center" readingOrder="0" vertical="center"/>
    </xf>
    <xf borderId="0" fillId="5" fontId="3" numFmtId="167" xfId="0" applyAlignment="1" applyFill="1" applyFont="1" applyNumberFormat="1">
      <alignment horizontal="center" readingOrder="0" vertical="center"/>
    </xf>
    <xf borderId="0" fillId="5" fontId="3" numFmtId="164" xfId="0" applyAlignment="1" applyFill="1" applyFont="1" applyNumberFormat="1">
      <alignment horizontal="center" vertical="center"/>
    </xf>
    <xf borderId="0" fillId="5" fontId="3" numFmtId="10" xfId="0" applyAlignment="1" applyFill="1" applyFont="1" applyNumberFormat="1">
      <alignment horizontal="center" readingOrder="0" vertical="center"/>
    </xf>
    <xf borderId="0" fillId="2" fontId="3" numFmtId="0" xfId="0" applyAlignment="1" applyFill="1" applyFont="1">
      <alignment horizontal="left" vertical="center"/>
    </xf>
    <xf borderId="4" fillId="5" fontId="3" numFmtId="0" xfId="0" applyAlignment="1" applyBorder="1" applyFill="1" applyFont="1">
      <alignment horizontal="center" readingOrder="0" vertical="center"/>
    </xf>
    <xf borderId="1" fillId="0" fontId="7" numFmtId="165" xfId="0" applyAlignment="1" applyBorder="1" applyFont="1" applyNumberFormat="1">
      <alignment horizontal="center" readingOrder="0" vertical="center"/>
    </xf>
    <xf borderId="0" fillId="0" fontId="7" numFmtId="2" xfId="0" applyAlignment="1" applyFont="1" applyNumberFormat="1">
      <alignment horizontal="center" readingOrder="0" vertical="center"/>
    </xf>
    <xf borderId="0" fillId="2" fontId="3" numFmtId="164" xfId="0" applyAlignment="1" applyFill="1" applyFont="1" applyNumberFormat="1">
      <alignment vertical="center"/>
    </xf>
    <xf borderId="0" fillId="0" fontId="7" numFmtId="164" xfId="0" applyAlignment="1" applyFont="1" applyNumberFormat="1">
      <alignment horizontal="center" readingOrder="0" vertical="center"/>
    </xf>
    <xf borderId="1" fillId="0" fontId="7" numFmtId="165" xfId="0" applyAlignment="1" applyBorder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0" fillId="2" fontId="7" numFmtId="0" xfId="0" applyAlignment="1" applyFill="1" applyFont="1">
      <alignment horizontal="center" vertical="center"/>
    </xf>
    <xf borderId="0" fillId="0" fontId="7" numFmtId="164" xfId="0" applyAlignment="1" applyFont="1" applyNumberFormat="1">
      <alignment horizontal="center" vertical="center"/>
    </xf>
    <xf borderId="0" fillId="0" fontId="7" numFmtId="2" xfId="0" applyAlignment="1" applyFont="1" applyNumberFormat="1">
      <alignment horizontal="center" vertical="center"/>
    </xf>
    <xf borderId="0" fillId="2" fontId="3" numFmtId="164" xfId="0" applyAlignment="1" applyFill="1" applyFont="1" applyNumberFormat="1">
      <alignment horizontal="right" vertical="center"/>
    </xf>
    <xf borderId="0" fillId="0" fontId="7" numFmtId="10" xfId="0" applyAlignment="1" applyFont="1" applyNumberFormat="1">
      <alignment horizontal="center" vertical="center"/>
    </xf>
    <xf borderId="1" fillId="6" fontId="3" numFmtId="0" xfId="0" applyAlignment="1" applyBorder="1" applyFill="1" applyFont="1">
      <alignment horizontal="center" readingOrder="0" vertical="center"/>
    </xf>
    <xf borderId="4" fillId="4" fontId="7" numFmtId="0" xfId="0" applyAlignment="1" applyBorder="1" applyFill="1" applyFont="1">
      <alignment horizontal="center" vertical="center"/>
    </xf>
    <xf borderId="0" fillId="0" fontId="3" numFmtId="165" xfId="0" applyAlignment="1" applyFont="1" applyNumberFormat="1">
      <alignment horizontal="center" vertical="center"/>
    </xf>
    <xf borderId="0" fillId="6" fontId="3" numFmtId="0" xfId="0" applyAlignment="1" applyFill="1" applyFont="1">
      <alignment readingOrder="0" vertical="center"/>
    </xf>
    <xf borderId="0" fillId="6" fontId="3" numFmtId="164" xfId="0" applyAlignment="1" applyFill="1" applyFont="1" applyNumberFormat="1">
      <alignment horizontal="center" readingOrder="0" vertical="center"/>
    </xf>
    <xf borderId="0" fillId="6" fontId="3" numFmtId="4" xfId="0" applyAlignment="1" applyFill="1" applyFont="1" applyNumberFormat="1">
      <alignment horizontal="center" readingOrder="0" vertical="center"/>
    </xf>
    <xf borderId="0" fillId="6" fontId="3" numFmtId="164" xfId="0" applyAlignment="1" applyFill="1" applyFont="1" applyNumberFormat="1">
      <alignment horizontal="right" vertical="center"/>
    </xf>
    <xf borderId="0" fillId="6" fontId="3" numFmtId="9" xfId="0" applyAlignment="1" applyFill="1" applyFont="1" applyNumberFormat="1">
      <alignment horizontal="right" vertical="center"/>
    </xf>
    <xf borderId="0" fillId="6" fontId="3" numFmtId="164" xfId="0" applyAlignment="1" applyFill="1" applyFont="1" applyNumberFormat="1">
      <alignment vertical="center"/>
    </xf>
    <xf borderId="4" fillId="6" fontId="3" numFmtId="0" xfId="0" applyAlignment="1" applyBorder="1" applyFill="1" applyFont="1">
      <alignment horizontal="center" readingOrder="0" vertical="center"/>
    </xf>
    <xf borderId="0" fillId="2" fontId="3" numFmtId="166" xfId="0" applyAlignment="1" applyFill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0" fillId="0" fontId="3" numFmtId="166" xfId="0" applyAlignment="1" applyFont="1" applyNumberFormat="1">
      <alignment horizontal="center" vertical="center"/>
    </xf>
    <xf borderId="1" fillId="2" fontId="7" numFmtId="165" xfId="0" applyAlignment="1" applyBorder="1" applyFill="1" applyFont="1" applyNumberFormat="1">
      <alignment horizontal="center" vertical="center"/>
    </xf>
    <xf borderId="0" fillId="2" fontId="7" numFmtId="0" xfId="0" applyAlignment="1" applyFill="1" applyFont="1">
      <alignment horizontal="left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readingOrder="0"/>
    </xf>
    <xf borderId="0" fillId="2" fontId="7" numFmtId="2" xfId="0" applyAlignment="1" applyFill="1" applyFont="1" applyNumberFormat="1">
      <alignment horizontal="center" vertical="center"/>
    </xf>
    <xf borderId="0" fillId="0" fontId="4" numFmtId="164" xfId="0" applyAlignment="1" applyFont="1" applyNumberFormat="1">
      <alignment horizontal="center" readingOrder="0"/>
    </xf>
    <xf borderId="0" fillId="2" fontId="7" numFmtId="10" xfId="0" applyAlignment="1" applyFill="1" applyFont="1" applyNumberFormat="1">
      <alignment horizontal="center" vertical="center"/>
    </xf>
    <xf borderId="0" fillId="0" fontId="4" numFmtId="0" xfId="0" applyAlignment="1" applyFont="1">
      <alignment readingOrder="0"/>
    </xf>
    <xf borderId="0" fillId="2" fontId="7" numFmtId="165" xfId="0" applyAlignment="1" applyFill="1" applyFont="1" applyNumberFormat="1">
      <alignment horizontal="center" vertical="center"/>
    </xf>
    <xf borderId="0" fillId="2" fontId="3" numFmtId="167" xfId="0" applyAlignment="1" applyFill="1" applyFont="1" applyNumberFormat="1">
      <alignment horizontal="center" vertical="center"/>
    </xf>
    <xf borderId="1" fillId="7" fontId="3" numFmtId="0" xfId="0" applyAlignment="1" applyBorder="1" applyFill="1" applyFont="1">
      <alignment horizontal="center" readingOrder="0" vertical="center"/>
    </xf>
    <xf borderId="0" fillId="2" fontId="3" numFmtId="10" xfId="0" applyAlignment="1" applyFill="1" applyFont="1" applyNumberFormat="1">
      <alignment horizontal="center" vertical="center"/>
    </xf>
    <xf borderId="0" fillId="7" fontId="3" numFmtId="0" xfId="0" applyAlignment="1" applyFill="1" applyFont="1">
      <alignment readingOrder="0" vertical="center"/>
    </xf>
    <xf borderId="0" fillId="7" fontId="3" numFmtId="164" xfId="0" applyAlignment="1" applyFill="1" applyFont="1" applyNumberFormat="1">
      <alignment horizontal="center" readingOrder="0" vertical="center"/>
    </xf>
    <xf borderId="0" fillId="7" fontId="3" numFmtId="4" xfId="0" applyAlignment="1" applyFill="1" applyFont="1" applyNumberFormat="1">
      <alignment horizontal="center" readingOrder="0" vertical="center"/>
    </xf>
    <xf borderId="4" fillId="2" fontId="3" numFmtId="0" xfId="0" applyAlignment="1" applyBorder="1" applyFill="1" applyFont="1">
      <alignment horizontal="center" vertical="center"/>
    </xf>
    <xf borderId="0" fillId="7" fontId="3" numFmtId="164" xfId="0" applyAlignment="1" applyFill="1" applyFont="1" applyNumberFormat="1">
      <alignment horizontal="right" vertical="center"/>
    </xf>
    <xf borderId="0" fillId="7" fontId="3" numFmtId="9" xfId="0" applyAlignment="1" applyFill="1" applyFont="1" applyNumberFormat="1">
      <alignment horizontal="right" readingOrder="0" vertical="center"/>
    </xf>
    <xf borderId="0" fillId="7" fontId="3" numFmtId="164" xfId="0" applyAlignment="1" applyFill="1" applyFont="1" applyNumberFormat="1">
      <alignment vertical="center"/>
    </xf>
    <xf borderId="4" fillId="7" fontId="3" numFmtId="0" xfId="0" applyAlignment="1" applyBorder="1" applyFill="1" applyFont="1">
      <alignment horizontal="center" readingOrder="0" vertical="center"/>
    </xf>
    <xf borderId="4" fillId="0" fontId="3" numFmtId="0" xfId="0" applyAlignment="1" applyBorder="1" applyFont="1">
      <alignment horizontal="center" vertical="center"/>
    </xf>
    <xf borderId="0" fillId="7" fontId="3" numFmtId="164" xfId="0" applyAlignment="1" applyFill="1" applyFont="1" applyNumberFormat="1">
      <alignment horizontal="center" readingOrder="0" vertical="center"/>
    </xf>
    <xf borderId="0" fillId="7" fontId="3" numFmtId="9" xfId="0" applyAlignment="1" applyFill="1" applyFont="1" applyNumberFormat="1">
      <alignment horizontal="right" vertical="center"/>
    </xf>
    <xf borderId="0" fillId="2" fontId="3" numFmtId="164" xfId="0" applyAlignment="1" applyFill="1" applyFont="1" applyNumberFormat="1">
      <alignment horizontal="center" readingOrder="0" vertical="center"/>
    </xf>
    <xf borderId="0" fillId="4" fontId="3" numFmtId="164" xfId="0" applyAlignment="1" applyFill="1" applyFont="1" applyNumberFormat="1">
      <alignment horizontal="center" vertical="center"/>
    </xf>
    <xf borderId="1" fillId="2" fontId="7" numFmtId="0" xfId="0" applyAlignment="1" applyBorder="1" applyFill="1" applyFont="1">
      <alignment horizontal="center" vertical="center"/>
    </xf>
    <xf borderId="0" fillId="0" fontId="7" numFmtId="0" xfId="0" applyAlignment="1" applyFont="1">
      <alignment horizontal="left" vertical="center"/>
    </xf>
    <xf borderId="1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readingOrder="0" vertical="center"/>
    </xf>
    <xf borderId="0" fillId="0" fontId="3" numFmtId="164" xfId="0" applyAlignment="1" applyFont="1" applyNumberFormat="1">
      <alignment horizontal="center" readingOrder="0" vertical="center"/>
    </xf>
    <xf borderId="0" fillId="0" fontId="3" numFmtId="4" xfId="0" applyAlignment="1" applyFont="1" applyNumberFormat="1">
      <alignment horizontal="center" readingOrder="0" vertical="center"/>
    </xf>
    <xf borderId="0" fillId="0" fontId="3" numFmtId="164" xfId="0" applyAlignment="1" applyFont="1" applyNumberFormat="1">
      <alignment horizontal="right" vertical="center"/>
    </xf>
    <xf borderId="0" fillId="0" fontId="3" numFmtId="164" xfId="0" applyAlignment="1" applyFont="1" applyNumberFormat="1">
      <alignment vertical="center"/>
    </xf>
    <xf borderId="1" fillId="0" fontId="7" numFmtId="166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horizontal="center" vertical="center"/>
    </xf>
    <xf borderId="0" fillId="0" fontId="3" numFmtId="4" xfId="0" applyAlignment="1" applyFont="1" applyNumberForma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1" fillId="4" fontId="3" numFmtId="0" xfId="0" applyAlignment="1" applyBorder="1" applyFill="1" applyFont="1">
      <alignment horizontal="center" vertical="center"/>
    </xf>
    <xf borderId="0" fillId="4" fontId="3" numFmtId="0" xfId="0" applyAlignment="1" applyFill="1" applyFont="1">
      <alignment vertical="center"/>
    </xf>
    <xf borderId="0" fillId="4" fontId="3" numFmtId="0" xfId="0" applyAlignment="1" applyFill="1" applyFont="1">
      <alignment horizontal="center" vertical="center"/>
    </xf>
    <xf borderId="0" fillId="4" fontId="3" numFmtId="166" xfId="0" applyAlignment="1" applyFill="1" applyFont="1" applyNumberFormat="1">
      <alignment horizontal="center" vertical="center"/>
    </xf>
    <xf borderId="0" fillId="4" fontId="3" numFmtId="49" xfId="0" applyAlignment="1" applyFill="1" applyFont="1" applyNumberFormat="1">
      <alignment horizontal="center" vertical="center"/>
    </xf>
    <xf borderId="0" fillId="4" fontId="3" numFmtId="167" xfId="0" applyAlignment="1" applyFill="1" applyFont="1" applyNumberFormat="1">
      <alignment horizontal="center" vertical="center"/>
    </xf>
    <xf borderId="4" fillId="4" fontId="3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0" fillId="0" fontId="3" numFmtId="49" xfId="0" applyAlignment="1" applyFont="1" applyNumberFormat="1">
      <alignment horizontal="center" vertical="center"/>
    </xf>
    <xf borderId="0" fillId="0" fontId="3" numFmtId="167" xfId="0" applyAlignment="1" applyFont="1" applyNumberFormat="1">
      <alignment horizontal="center" vertical="center"/>
    </xf>
    <xf borderId="0" fillId="2" fontId="3" numFmtId="9" xfId="0" applyAlignment="1" applyFill="1" applyFont="1" applyNumberFormat="1">
      <alignment horizontal="right" vertical="bottom"/>
    </xf>
    <xf borderId="0" fillId="0" fontId="3" numFmtId="164" xfId="0" applyFont="1" applyNumberFormat="1"/>
    <xf borderId="4" fillId="0" fontId="3" numFmtId="0" xfId="0" applyAlignment="1" applyBorder="1" applyFont="1">
      <alignment horizontal="center"/>
    </xf>
    <xf borderId="0" fillId="2" fontId="1" numFmtId="0" xfId="0" applyAlignment="1" applyFill="1" applyFont="1">
      <alignment horizontal="center" readingOrder="0"/>
    </xf>
    <xf borderId="0" fillId="4" fontId="7" numFmtId="0" xfId="0" applyAlignment="1" applyFill="1" applyFont="1">
      <alignment horizontal="center" vertical="center"/>
    </xf>
    <xf borderId="0" fillId="0" fontId="4" numFmtId="165" xfId="0" applyAlignment="1" applyFont="1" applyNumberFormat="1">
      <alignment horizontal="center" readingOrder="0" vertical="center"/>
    </xf>
    <xf borderId="0" fillId="2" fontId="7" numFmtId="164" xfId="0" applyAlignment="1" applyFill="1" applyFont="1" applyNumberFormat="1">
      <alignment horizontal="center" readingOrder="0" vertical="center"/>
    </xf>
    <xf borderId="0" fillId="2" fontId="7" numFmtId="2" xfId="0" applyAlignment="1" applyFill="1" applyFont="1" applyNumberFormat="1">
      <alignment horizontal="center" readingOrder="0" vertical="center"/>
    </xf>
    <xf borderId="0" fillId="2" fontId="7" numFmtId="10" xfId="0" applyAlignment="1" applyFill="1" applyFont="1" applyNumberFormat="1">
      <alignment horizontal="center" readingOrder="0" vertical="center"/>
    </xf>
    <xf borderId="0" fillId="2" fontId="1" numFmtId="0" xfId="0" applyFill="1" applyFont="1"/>
    <xf borderId="3" fillId="3" fontId="5" numFmtId="0" xfId="0" applyAlignment="1" applyBorder="1" applyFill="1" applyFont="1">
      <alignment horizontal="center" readingOrder="0" vertical="center"/>
    </xf>
    <xf borderId="0" fillId="4" fontId="7" numFmtId="0" xfId="0" applyAlignment="1" applyFill="1" applyFont="1">
      <alignment horizontal="left" readingOrder="0" vertical="center"/>
    </xf>
    <xf borderId="0" fillId="0" fontId="4" numFmtId="2" xfId="0" applyAlignment="1" applyFont="1" applyNumberFormat="1">
      <alignment horizontal="center" readingOrder="0"/>
    </xf>
    <xf borderId="0" fillId="2" fontId="1" numFmtId="0" xfId="0" applyAlignment="1" applyFill="1" applyFont="1">
      <alignment vertical="center"/>
    </xf>
    <xf borderId="1" fillId="0" fontId="3" numFmtId="0" xfId="0" applyAlignment="1" applyBorder="1" applyFont="1">
      <alignment vertical="center"/>
    </xf>
    <xf borderId="0" fillId="0" fontId="4" numFmtId="167" xfId="0" applyAlignment="1" applyFont="1" applyNumberFormat="1">
      <alignment horizontal="center" vertical="center"/>
    </xf>
    <xf borderId="7" fillId="0" fontId="3" numFmtId="0" xfId="0" applyAlignment="1" applyBorder="1" applyFont="1">
      <alignment vertical="center"/>
    </xf>
    <xf borderId="8" fillId="0" fontId="3" numFmtId="0" xfId="0" applyAlignment="1" applyBorder="1" applyFont="1">
      <alignment vertical="center"/>
    </xf>
    <xf borderId="8" fillId="0" fontId="3" numFmtId="0" xfId="0" applyAlignment="1" applyBorder="1" applyFont="1">
      <alignment horizontal="center" vertical="center"/>
    </xf>
    <xf borderId="8" fillId="0" fontId="3" numFmtId="167" xfId="0" applyAlignment="1" applyBorder="1" applyFont="1" applyNumberFormat="1">
      <alignment horizontal="center" vertical="center"/>
    </xf>
    <xf borderId="8" fillId="4" fontId="3" numFmtId="164" xfId="0" applyAlignment="1" applyBorder="1" applyFill="1" applyFont="1" applyNumberFormat="1">
      <alignment horizontal="center" vertical="center"/>
    </xf>
    <xf borderId="9" fillId="4" fontId="3" numFmtId="0" xfId="0" applyAlignment="1" applyBorder="1" applyFill="1" applyFont="1">
      <alignment horizontal="center" vertical="center"/>
    </xf>
    <xf borderId="0" fillId="0" fontId="7" numFmtId="0" xfId="0" applyAlignment="1" applyFont="1">
      <alignment horizontal="left" readingOrder="0" vertical="center"/>
    </xf>
    <xf borderId="0" fillId="2" fontId="7" numFmtId="0" xfId="0" applyAlignment="1" applyFill="1" applyFont="1">
      <alignment horizontal="left" readingOrder="0" vertical="center"/>
    </xf>
    <xf borderId="0" fillId="3" fontId="9" numFmtId="0" xfId="0" applyAlignment="1" applyFill="1" applyFont="1">
      <alignment horizontal="center" vertical="center"/>
    </xf>
    <xf borderId="0" fillId="3" fontId="9" numFmtId="0" xfId="0" applyAlignment="1" applyFill="1" applyFont="1">
      <alignment horizontal="center" readingOrder="0" vertical="center"/>
    </xf>
    <xf borderId="0" fillId="2" fontId="10" numFmtId="0" xfId="0" applyAlignment="1" applyFill="1" applyFont="1">
      <alignment horizontal="center" vertical="center"/>
    </xf>
    <xf borderId="0" fillId="2" fontId="4" numFmtId="0" xfId="0" applyFill="1" applyFont="1"/>
    <xf borderId="0" fillId="2" fontId="11" numFmtId="0" xfId="0" applyAlignment="1" applyFill="1" applyFont="1">
      <alignment horizontal="center" vertical="center"/>
    </xf>
    <xf borderId="10" fillId="3" fontId="12" numFmtId="0" xfId="0" applyAlignment="1" applyBorder="1" applyFill="1" applyFont="1">
      <alignment horizontal="center" readingOrder="0" vertical="center"/>
    </xf>
    <xf borderId="5" fillId="0" fontId="13" numFmtId="0" xfId="0" applyBorder="1" applyFont="1"/>
    <xf borderId="11" fillId="0" fontId="14" numFmtId="0" xfId="0" applyAlignment="1" applyBorder="1" applyFont="1">
      <alignment horizontal="center" readingOrder="0" vertical="center"/>
    </xf>
    <xf borderId="11" fillId="0" fontId="15" numFmtId="164" xfId="0" applyAlignment="1" applyBorder="1" applyFont="1" applyNumberFormat="1">
      <alignment horizontal="center" vertical="center"/>
    </xf>
    <xf borderId="0" fillId="2" fontId="16" numFmtId="0" xfId="0" applyFill="1" applyFont="1"/>
    <xf borderId="0" fillId="2" fontId="16" numFmtId="164" xfId="0" applyFill="1" applyFont="1" applyNumberFormat="1"/>
    <xf borderId="11" fillId="3" fontId="12" numFmtId="0" xfId="0" applyAlignment="1" applyBorder="1" applyFill="1" applyFont="1">
      <alignment horizontal="left" readingOrder="0" vertical="center"/>
    </xf>
    <xf borderId="11" fillId="2" fontId="17" numFmtId="164" xfId="0" applyAlignment="1" applyBorder="1" applyFill="1" applyFont="1" applyNumberFormat="1">
      <alignment vertical="center"/>
    </xf>
    <xf borderId="12" fillId="3" fontId="12" numFmtId="0" xfId="0" applyAlignment="1" applyBorder="1" applyFill="1" applyFont="1">
      <alignment horizontal="left" readingOrder="0" vertical="center"/>
    </xf>
    <xf borderId="0" fillId="2" fontId="16" numFmtId="0" xfId="0" applyAlignment="1" applyFill="1" applyFont="1">
      <alignment horizontal="center" vertical="center"/>
    </xf>
    <xf borderId="10" fillId="2" fontId="18" numFmtId="164" xfId="0" applyAlignment="1" applyBorder="1" applyFill="1" applyFont="1" applyNumberFormat="1">
      <alignment horizontal="center" vertical="center"/>
    </xf>
    <xf borderId="5" fillId="2" fontId="18" numFmtId="164" xfId="0" applyAlignment="1" applyBorder="1" applyFill="1" applyFont="1" applyNumberFormat="1">
      <alignment horizontal="center" vertical="center"/>
    </xf>
    <xf borderId="11" fillId="3" fontId="12" numFmtId="0" xfId="0" applyAlignment="1" applyBorder="1" applyFill="1" applyFont="1">
      <alignment horizontal="center" vertical="center"/>
    </xf>
    <xf borderId="11" fillId="0" fontId="16" numFmtId="164" xfId="0" applyAlignment="1" applyBorder="1" applyFont="1" applyNumberFormat="1">
      <alignment vertical="center"/>
    </xf>
    <xf borderId="0" fillId="2" fontId="19" numFmtId="0" xfId="0" applyAlignment="1" applyFill="1" applyFont="1">
      <alignment horizontal="left"/>
    </xf>
    <xf borderId="0" fillId="2" fontId="18" numFmtId="164" xfId="0" applyFill="1" applyFont="1" applyNumberFormat="1"/>
    <xf borderId="11" fillId="3" fontId="12" numFmtId="0" xfId="0" applyAlignment="1" applyBorder="1" applyFill="1" applyFont="1">
      <alignment horizontal="left" vertical="center"/>
    </xf>
    <xf borderId="0" fillId="3" fontId="20" numFmtId="164" xfId="0" applyAlignment="1" applyFill="1" applyFont="1" applyNumberFormat="1">
      <alignment horizontal="center" vertical="center"/>
    </xf>
    <xf borderId="11" fillId="3" fontId="21" numFmtId="0" xfId="0" applyAlignment="1" applyBorder="1" applyFill="1" applyFont="1">
      <alignment horizontal="center" readingOrder="0" vertical="center"/>
    </xf>
    <xf borderId="11" fillId="3" fontId="21" numFmtId="0" xfId="0" applyAlignment="1" applyBorder="1" applyFill="1" applyFont="1">
      <alignment horizontal="left" readingOrder="0" vertical="center"/>
    </xf>
    <xf borderId="12" fillId="0" fontId="22" numFmtId="164" xfId="0" applyAlignment="1" applyBorder="1" applyFont="1" applyNumberFormat="1">
      <alignment horizontal="center" readingOrder="0" vertical="center"/>
    </xf>
    <xf borderId="12" fillId="0" fontId="22" numFmtId="164" xfId="0" applyAlignment="1" applyBorder="1" applyFont="1" applyNumberFormat="1">
      <alignment horizontal="center" readingOrder="0"/>
    </xf>
    <xf borderId="12" fillId="0" fontId="22" numFmtId="164" xfId="0" applyAlignment="1" applyBorder="1" applyFont="1" applyNumberFormat="1">
      <alignment horizontal="center"/>
    </xf>
    <xf borderId="12" fillId="3" fontId="21" numFmtId="0" xfId="0" applyAlignment="1" applyBorder="1" applyFill="1" applyFont="1">
      <alignment horizontal="left" readingOrder="0" vertical="center"/>
    </xf>
    <xf borderId="13" fillId="0" fontId="22" numFmtId="164" xfId="0" applyAlignment="1" applyBorder="1" applyFont="1" applyNumberFormat="1">
      <alignment horizontal="center" readingOrder="0" vertical="center"/>
    </xf>
    <xf borderId="13" fillId="0" fontId="22" numFmtId="164" xfId="0" applyAlignment="1" applyBorder="1" applyFont="1" applyNumberFormat="1">
      <alignment horizontal="center" readingOrder="0"/>
    </xf>
    <xf borderId="13" fillId="0" fontId="22" numFmtId="164" xfId="0" applyAlignment="1" applyBorder="1" applyFont="1" applyNumberFormat="1">
      <alignment horizontal="center"/>
    </xf>
    <xf borderId="11" fillId="3" fontId="21" numFmtId="0" xfId="0" applyAlignment="1" applyBorder="1" applyFill="1" applyFont="1">
      <alignment horizontal="left" vertical="center"/>
    </xf>
    <xf borderId="10" fillId="3" fontId="21" numFmtId="0" xfId="0" applyAlignment="1" applyBorder="1" applyFill="1" applyFont="1">
      <alignment horizontal="left" vertical="center"/>
    </xf>
    <xf borderId="4" fillId="0" fontId="22" numFmtId="164" xfId="0" applyAlignment="1" applyBorder="1" applyFont="1" applyNumberFormat="1">
      <alignment horizontal="center" readingOrder="0" vertical="center"/>
    </xf>
    <xf borderId="4" fillId="0" fontId="22" numFmtId="164" xfId="0" applyAlignment="1" applyBorder="1" applyFont="1" applyNumberFormat="1">
      <alignment horizontal="center" readingOrder="0"/>
    </xf>
    <xf borderId="4" fillId="0" fontId="22" numFmtId="164" xfId="0" applyAlignment="1" applyBorder="1" applyFont="1" applyNumberFormat="1">
      <alignment horizontal="center"/>
    </xf>
    <xf borderId="0" fillId="3" fontId="21" numFmtId="0" xfId="0" applyAlignment="1" applyFill="1" applyFont="1">
      <alignment horizontal="left" readingOrder="0" vertical="center"/>
    </xf>
    <xf borderId="9" fillId="0" fontId="22" numFmtId="164" xfId="0" applyAlignment="1" applyBorder="1" applyFont="1" applyNumberFormat="1">
      <alignment horizontal="center" readingOrder="0" vertical="center"/>
    </xf>
    <xf borderId="9" fillId="0" fontId="22" numFmtId="164" xfId="0" applyAlignment="1" applyBorder="1" applyFont="1" applyNumberFormat="1">
      <alignment horizontal="center" readingOrder="0"/>
    </xf>
    <xf borderId="9" fillId="0" fontId="22" numFmtId="164" xfId="0" applyAlignment="1" applyBorder="1" applyFont="1" applyNumberFormat="1">
      <alignment horizontal="center"/>
    </xf>
    <xf borderId="10" fillId="3" fontId="23" numFmtId="0" xfId="0" applyAlignment="1" applyBorder="1" applyFill="1" applyFont="1">
      <alignment horizontal="center" vertical="center"/>
    </xf>
    <xf borderId="3" fillId="3" fontId="23" numFmtId="0" xfId="0" applyAlignment="1" applyBorder="1" applyFill="1" applyFont="1">
      <alignment horizontal="center" vertical="center"/>
    </xf>
    <xf borderId="3" fillId="3" fontId="23" numFmtId="0" xfId="0" applyAlignment="1" applyBorder="1" applyFill="1" applyFont="1">
      <alignment horizontal="center" readingOrder="0" vertical="center"/>
    </xf>
    <xf borderId="12" fillId="3" fontId="23" numFmtId="0" xfId="0" applyAlignment="1" applyBorder="1" applyFill="1" applyFont="1">
      <alignment horizontal="left" vertical="center"/>
    </xf>
    <xf borderId="11" fillId="2" fontId="24" numFmtId="164" xfId="0" applyAlignment="1" applyBorder="1" applyFill="1" applyFont="1" applyNumberFormat="1">
      <alignment horizontal="center" readingOrder="0" vertical="center"/>
    </xf>
    <xf borderId="11" fillId="2" fontId="24" numFmtId="164" xfId="0" applyAlignment="1" applyBorder="1" applyFill="1" applyFont="1" applyNumberFormat="1">
      <alignment horizontal="center" readingOrder="0"/>
    </xf>
    <xf borderId="11" fillId="2" fontId="24" numFmtId="164" xfId="0" applyBorder="1" applyFill="1" applyFont="1" applyNumberFormat="1"/>
    <xf borderId="13" fillId="3" fontId="23" numFmtId="0" xfId="0" applyAlignment="1" applyBorder="1" applyFill="1" applyFont="1">
      <alignment horizontal="left" vertical="center"/>
    </xf>
    <xf borderId="11" fillId="0" fontId="24" numFmtId="164" xfId="0" applyAlignment="1" applyBorder="1" applyFont="1" applyNumberFormat="1">
      <alignment horizontal="center" readingOrder="0" vertical="center"/>
    </xf>
    <xf borderId="11" fillId="0" fontId="24" numFmtId="164" xfId="0" applyAlignment="1" applyBorder="1" applyFont="1" applyNumberFormat="1">
      <alignment horizontal="center" readingOrder="0"/>
    </xf>
    <xf borderId="11" fillId="0" fontId="24" numFmtId="164" xfId="0" applyBorder="1" applyFont="1" applyNumberFormat="1"/>
    <xf borderId="11" fillId="3" fontId="25" numFmtId="0" xfId="0" applyAlignment="1" applyBorder="1" applyFill="1" applyFont="1">
      <alignment horizontal="center" readingOrder="0" vertical="center"/>
    </xf>
    <xf borderId="11" fillId="2" fontId="4" numFmtId="164" xfId="0" applyAlignment="1" applyBorder="1" applyFill="1" applyFont="1" applyNumberFormat="1">
      <alignment horizontal="center" readingOrder="0" vertical="center"/>
    </xf>
    <xf borderId="14" fillId="3" fontId="23" numFmtId="0" xfId="0" applyAlignment="1" applyBorder="1" applyFill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16.75"/>
    <col customWidth="1" min="3" max="3" width="17.5"/>
    <col customWidth="1" min="4" max="4" width="16.75"/>
    <col customWidth="1" min="5" max="5" width="16.38"/>
    <col customWidth="1" min="6" max="6" width="22.38"/>
    <col customWidth="1" min="7" max="7" width="18.5"/>
    <col customWidth="1" min="8" max="8" width="15.38"/>
    <col customWidth="1" min="9" max="9" width="18.0"/>
    <col customWidth="1" min="10" max="10" width="18.5"/>
    <col customWidth="1" min="11" max="11" width="17.0"/>
    <col customWidth="1" hidden="1" min="12" max="12" width="15.38"/>
    <col customWidth="1" min="13" max="13" width="18.0"/>
    <col customWidth="1" min="14" max="14" width="18.13"/>
    <col customWidth="1" min="15" max="27" width="15.38"/>
  </cols>
  <sheetData>
    <row r="1" ht="15.75" customHeight="1">
      <c r="A1" s="1"/>
      <c r="B1" s="3" t="s">
        <v>1</v>
      </c>
      <c r="C1" s="3" t="s">
        <v>3</v>
      </c>
      <c r="D1" s="3" t="s">
        <v>4</v>
      </c>
      <c r="E1" s="3" t="s">
        <v>6</v>
      </c>
      <c r="F1" s="3" t="s">
        <v>8</v>
      </c>
      <c r="G1" s="3" t="s">
        <v>9</v>
      </c>
      <c r="H1" s="3" t="s">
        <v>7</v>
      </c>
      <c r="I1" s="3" t="s">
        <v>10</v>
      </c>
      <c r="J1" s="3" t="s">
        <v>11</v>
      </c>
      <c r="K1" s="3" t="s">
        <v>14</v>
      </c>
      <c r="L1" s="3" t="s">
        <v>15</v>
      </c>
      <c r="M1" s="3" t="s">
        <v>16</v>
      </c>
      <c r="N1" s="3" t="s">
        <v>13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ht="15.75" hidden="1" customHeight="1">
      <c r="A2" s="10"/>
      <c r="B2" s="12">
        <v>8029.0</v>
      </c>
      <c r="C2" s="15" t="s">
        <v>17</v>
      </c>
      <c r="D2" s="16">
        <v>103.0</v>
      </c>
      <c r="E2" s="18">
        <v>46183.0</v>
      </c>
      <c r="F2" s="19" t="s">
        <v>23</v>
      </c>
      <c r="G2" s="20">
        <v>41.38</v>
      </c>
      <c r="H2" s="21">
        <v>3688.2</v>
      </c>
      <c r="I2" s="26">
        <f t="shared" ref="I2:I926" si="1">G2*H2</f>
        <v>152617.716</v>
      </c>
      <c r="J2" s="27">
        <v>0.01</v>
      </c>
      <c r="K2" s="26">
        <f t="shared" ref="K2:K926" si="2">I2*J2</f>
        <v>1526.17716</v>
      </c>
      <c r="L2" s="26">
        <f t="shared" ref="L2:L4" si="3">K2*6%</f>
        <v>91.5706296</v>
      </c>
      <c r="M2" s="26">
        <f t="shared" ref="M2:M926" si="4">K2-L2</f>
        <v>1434.60653</v>
      </c>
      <c r="N2" s="41" t="s">
        <v>31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ht="15.75" hidden="1" customHeight="1">
      <c r="A3" s="10"/>
      <c r="B3" s="12">
        <v>8047.0</v>
      </c>
      <c r="C3" s="15" t="s">
        <v>33</v>
      </c>
      <c r="D3" s="46">
        <v>118756.0</v>
      </c>
      <c r="E3" s="48">
        <v>45992.0</v>
      </c>
      <c r="F3" s="50" t="s">
        <v>35</v>
      </c>
      <c r="G3" s="26">
        <v>35.41</v>
      </c>
      <c r="H3" s="52">
        <v>134.258</v>
      </c>
      <c r="I3" s="26">
        <f t="shared" si="1"/>
        <v>4754.07578</v>
      </c>
      <c r="J3" s="27">
        <v>0.015</v>
      </c>
      <c r="K3" s="26">
        <f t="shared" si="2"/>
        <v>71.3111367</v>
      </c>
      <c r="L3" s="26">
        <f t="shared" si="3"/>
        <v>4.278668202</v>
      </c>
      <c r="M3" s="26">
        <f t="shared" si="4"/>
        <v>67.0324685</v>
      </c>
      <c r="N3" s="41" t="s">
        <v>26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ht="15.75" hidden="1" customHeight="1">
      <c r="A4" s="10"/>
      <c r="B4" s="12">
        <v>8100.0</v>
      </c>
      <c r="C4" s="15" t="s">
        <v>38</v>
      </c>
      <c r="D4" s="46">
        <v>171693.0</v>
      </c>
      <c r="E4" s="48">
        <v>45993.0</v>
      </c>
      <c r="F4" s="50" t="s">
        <v>41</v>
      </c>
      <c r="G4" s="26">
        <v>28.12</v>
      </c>
      <c r="H4" s="52">
        <v>100.4</v>
      </c>
      <c r="I4" s="26">
        <f t="shared" si="1"/>
        <v>2823.248</v>
      </c>
      <c r="J4" s="27">
        <v>0.02</v>
      </c>
      <c r="K4" s="26">
        <f t="shared" si="2"/>
        <v>56.46496</v>
      </c>
      <c r="L4" s="26">
        <f t="shared" si="3"/>
        <v>3.3878976</v>
      </c>
      <c r="M4" s="26">
        <f t="shared" si="4"/>
        <v>53.0770624</v>
      </c>
      <c r="N4" s="41" t="s">
        <v>42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ht="15.75" hidden="1" customHeight="1">
      <c r="A5" s="10"/>
      <c r="B5" s="74">
        <v>8172.0</v>
      </c>
      <c r="C5" s="75" t="s">
        <v>47</v>
      </c>
      <c r="D5" s="16">
        <v>119819.0</v>
      </c>
      <c r="E5" s="18">
        <v>45671.0</v>
      </c>
      <c r="F5" s="19" t="s">
        <v>48</v>
      </c>
      <c r="G5" s="20">
        <v>39.53</v>
      </c>
      <c r="H5" s="78">
        <v>614.337</v>
      </c>
      <c r="I5" s="26">
        <f t="shared" si="1"/>
        <v>24284.74161</v>
      </c>
      <c r="J5" s="27">
        <v>0.015</v>
      </c>
      <c r="K5" s="26">
        <f t="shared" si="2"/>
        <v>364.2711242</v>
      </c>
      <c r="L5" s="26">
        <f t="shared" ref="L5:L922" si="5">K5*6%</f>
        <v>21.85626745</v>
      </c>
      <c r="M5" s="26">
        <f t="shared" si="4"/>
        <v>342.4148567</v>
      </c>
      <c r="N5" s="41" t="s">
        <v>46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ht="15.75" hidden="1" customHeight="1">
      <c r="A6" s="10"/>
      <c r="B6" s="74" t="s">
        <v>53</v>
      </c>
      <c r="C6" s="75" t="s">
        <v>54</v>
      </c>
      <c r="D6" s="16">
        <v>375.0</v>
      </c>
      <c r="E6" s="81">
        <v>46044.0</v>
      </c>
      <c r="F6" s="19" t="s">
        <v>55</v>
      </c>
      <c r="G6" s="20">
        <v>47.9</v>
      </c>
      <c r="H6" s="78">
        <v>270.0</v>
      </c>
      <c r="I6" s="26">
        <f t="shared" si="1"/>
        <v>12933</v>
      </c>
      <c r="J6" s="27">
        <v>0.02</v>
      </c>
      <c r="K6" s="26">
        <f t="shared" si="2"/>
        <v>258.66</v>
      </c>
      <c r="L6" s="26">
        <f t="shared" si="5"/>
        <v>15.5196</v>
      </c>
      <c r="M6" s="26">
        <f t="shared" si="4"/>
        <v>243.1404</v>
      </c>
      <c r="N6" s="41" t="s">
        <v>46</v>
      </c>
      <c r="O6" s="15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ht="15.75" hidden="1" customHeight="1">
      <c r="A7" s="10"/>
      <c r="B7" s="74" t="s">
        <v>53</v>
      </c>
      <c r="C7" s="75" t="s">
        <v>54</v>
      </c>
      <c r="D7" s="16">
        <v>381.0</v>
      </c>
      <c r="E7" s="81">
        <v>46050.0</v>
      </c>
      <c r="F7" s="19" t="s">
        <v>32</v>
      </c>
      <c r="G7" s="20">
        <v>26.0</v>
      </c>
      <c r="H7" s="21">
        <v>37.51</v>
      </c>
      <c r="I7" s="26">
        <f t="shared" si="1"/>
        <v>975.26</v>
      </c>
      <c r="J7" s="27">
        <v>0.02</v>
      </c>
      <c r="K7" s="26">
        <f t="shared" si="2"/>
        <v>19.5052</v>
      </c>
      <c r="L7" s="26">
        <f t="shared" si="5"/>
        <v>1.170312</v>
      </c>
      <c r="M7" s="26">
        <f t="shared" si="4"/>
        <v>18.334888</v>
      </c>
      <c r="N7" s="41" t="s">
        <v>46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ht="15.75" hidden="1" customHeight="1">
      <c r="A8" s="10"/>
      <c r="B8" s="74" t="s">
        <v>53</v>
      </c>
      <c r="C8" s="75" t="s">
        <v>60</v>
      </c>
      <c r="D8" s="16">
        <v>385.0</v>
      </c>
      <c r="E8" s="18">
        <v>46056.0</v>
      </c>
      <c r="F8" s="19" t="s">
        <v>62</v>
      </c>
      <c r="G8" s="20">
        <v>23.9</v>
      </c>
      <c r="H8" s="85">
        <v>37.54</v>
      </c>
      <c r="I8" s="26">
        <f t="shared" si="1"/>
        <v>897.206</v>
      </c>
      <c r="J8" s="27">
        <v>0.02</v>
      </c>
      <c r="K8" s="26">
        <f t="shared" si="2"/>
        <v>17.94412</v>
      </c>
      <c r="L8" s="26">
        <f t="shared" si="5"/>
        <v>1.0766472</v>
      </c>
      <c r="M8" s="26">
        <f t="shared" si="4"/>
        <v>16.8674728</v>
      </c>
      <c r="N8" s="41" t="s">
        <v>65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ht="15.75" hidden="1" customHeight="1">
      <c r="A9" s="10"/>
      <c r="B9" s="74" t="s">
        <v>53</v>
      </c>
      <c r="C9" s="75" t="s">
        <v>54</v>
      </c>
      <c r="D9" s="16">
        <v>392.0</v>
      </c>
      <c r="E9" s="18">
        <v>46063.0</v>
      </c>
      <c r="F9" s="19" t="s">
        <v>55</v>
      </c>
      <c r="G9" s="20">
        <v>47.9</v>
      </c>
      <c r="H9" s="85">
        <v>130.23</v>
      </c>
      <c r="I9" s="26">
        <f t="shared" si="1"/>
        <v>6238.017</v>
      </c>
      <c r="J9" s="27">
        <v>0.02</v>
      </c>
      <c r="K9" s="26">
        <f t="shared" si="2"/>
        <v>124.76034</v>
      </c>
      <c r="L9" s="26">
        <f t="shared" si="5"/>
        <v>7.4856204</v>
      </c>
      <c r="M9" s="26">
        <f t="shared" si="4"/>
        <v>117.2747196</v>
      </c>
      <c r="N9" s="41" t="s">
        <v>65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ht="15.75" hidden="1" customHeight="1">
      <c r="A10" s="10"/>
      <c r="B10" s="95">
        <v>8498.0</v>
      </c>
      <c r="C10" s="96" t="s">
        <v>47</v>
      </c>
      <c r="D10" s="89">
        <v>122409.0</v>
      </c>
      <c r="E10" s="97">
        <v>46104.0</v>
      </c>
      <c r="F10" s="98" t="s">
        <v>48</v>
      </c>
      <c r="G10" s="99">
        <v>39.75</v>
      </c>
      <c r="H10" s="100">
        <v>263.614</v>
      </c>
      <c r="I10" s="101">
        <f t="shared" si="1"/>
        <v>10478.6565</v>
      </c>
      <c r="J10" s="102">
        <v>0.015</v>
      </c>
      <c r="K10" s="101">
        <f t="shared" si="2"/>
        <v>157.1798475</v>
      </c>
      <c r="L10" s="101">
        <f t="shared" si="5"/>
        <v>9.43079085</v>
      </c>
      <c r="M10" s="101">
        <f t="shared" si="4"/>
        <v>147.7490567</v>
      </c>
      <c r="N10" s="104" t="s">
        <v>64</v>
      </c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 ht="15.75" hidden="1" customHeight="1">
      <c r="A11" s="10"/>
      <c r="B11" s="95">
        <v>8583.0</v>
      </c>
      <c r="C11" s="96" t="s">
        <v>71</v>
      </c>
      <c r="D11" s="89">
        <v>123271.0</v>
      </c>
      <c r="E11" s="97">
        <v>46126.0</v>
      </c>
      <c r="F11" s="98" t="s">
        <v>48</v>
      </c>
      <c r="G11" s="99">
        <v>38.94</v>
      </c>
      <c r="H11" s="100">
        <v>268.012</v>
      </c>
      <c r="I11" s="101">
        <f t="shared" si="1"/>
        <v>10436.38728</v>
      </c>
      <c r="J11" s="102">
        <v>0.015</v>
      </c>
      <c r="K11" s="101">
        <f t="shared" si="2"/>
        <v>156.5458092</v>
      </c>
      <c r="L11" s="101">
        <f t="shared" si="5"/>
        <v>9.392748552</v>
      </c>
      <c r="M11" s="101">
        <f t="shared" si="4"/>
        <v>147.1530606</v>
      </c>
      <c r="N11" s="104" t="s">
        <v>64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ht="15.75" hidden="1" customHeight="1">
      <c r="A12" s="10"/>
      <c r="B12" s="95">
        <v>8666.0</v>
      </c>
      <c r="C12" s="96" t="s">
        <v>73</v>
      </c>
      <c r="D12" s="89">
        <v>123655.0</v>
      </c>
      <c r="E12" s="97">
        <v>46139.0</v>
      </c>
      <c r="F12" s="98" t="s">
        <v>48</v>
      </c>
      <c r="G12" s="99">
        <v>38.65</v>
      </c>
      <c r="H12" s="100">
        <v>494.492</v>
      </c>
      <c r="I12" s="101">
        <f t="shared" si="1"/>
        <v>19112.1158</v>
      </c>
      <c r="J12" s="102">
        <v>0.015</v>
      </c>
      <c r="K12" s="101">
        <f t="shared" si="2"/>
        <v>286.681737</v>
      </c>
      <c r="L12" s="101">
        <f t="shared" si="5"/>
        <v>17.20090422</v>
      </c>
      <c r="M12" s="101">
        <f t="shared" si="4"/>
        <v>269.4808328</v>
      </c>
      <c r="N12" s="104" t="s">
        <v>64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ht="15.75" hidden="1" customHeight="1">
      <c r="A13" s="10"/>
      <c r="B13" s="74">
        <v>8726.0</v>
      </c>
      <c r="C13" s="75" t="s">
        <v>74</v>
      </c>
      <c r="D13" s="16">
        <v>124231.0</v>
      </c>
      <c r="E13" s="18">
        <v>46154.0</v>
      </c>
      <c r="F13" s="19" t="s">
        <v>48</v>
      </c>
      <c r="G13" s="20">
        <v>38.48</v>
      </c>
      <c r="H13" s="85">
        <v>472.169</v>
      </c>
      <c r="I13" s="26">
        <f t="shared" si="1"/>
        <v>18169.06312</v>
      </c>
      <c r="J13" s="27">
        <v>0.015</v>
      </c>
      <c r="K13" s="26">
        <f t="shared" si="2"/>
        <v>272.5359468</v>
      </c>
      <c r="L13" s="26">
        <f t="shared" si="5"/>
        <v>16.35215681</v>
      </c>
      <c r="M13" s="26">
        <f t="shared" si="4"/>
        <v>256.18379</v>
      </c>
      <c r="N13" s="41" t="s">
        <v>67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ht="15.75" hidden="1" customHeight="1">
      <c r="A14" s="10"/>
      <c r="B14" s="74">
        <v>8732.0</v>
      </c>
      <c r="C14" s="75" t="s">
        <v>47</v>
      </c>
      <c r="D14" s="16">
        <v>124243.0</v>
      </c>
      <c r="E14" s="18">
        <v>46154.0</v>
      </c>
      <c r="F14" s="19" t="s">
        <v>48</v>
      </c>
      <c r="G14" s="20">
        <v>39.55</v>
      </c>
      <c r="H14" s="85">
        <v>735.421</v>
      </c>
      <c r="I14" s="26">
        <f t="shared" si="1"/>
        <v>29085.90055</v>
      </c>
      <c r="J14" s="27">
        <v>0.015</v>
      </c>
      <c r="K14" s="26">
        <f t="shared" si="2"/>
        <v>436.2885083</v>
      </c>
      <c r="L14" s="26">
        <f t="shared" si="5"/>
        <v>26.1773105</v>
      </c>
      <c r="M14" s="26">
        <f t="shared" si="4"/>
        <v>410.1111978</v>
      </c>
      <c r="N14" s="41" t="s">
        <v>67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ht="15.75" hidden="1" customHeight="1">
      <c r="A15" s="10"/>
      <c r="B15" s="74">
        <v>8770.0</v>
      </c>
      <c r="C15" s="75" t="s">
        <v>75</v>
      </c>
      <c r="D15" s="16">
        <v>124688.0</v>
      </c>
      <c r="E15" s="18">
        <v>46164.0</v>
      </c>
      <c r="F15" s="19" t="s">
        <v>48</v>
      </c>
      <c r="G15" s="20">
        <v>38.6</v>
      </c>
      <c r="H15" s="85">
        <v>138.886</v>
      </c>
      <c r="I15" s="26">
        <f t="shared" si="1"/>
        <v>5360.9996</v>
      </c>
      <c r="J15" s="27">
        <v>0.015</v>
      </c>
      <c r="K15" s="26">
        <f t="shared" si="2"/>
        <v>80.414994</v>
      </c>
      <c r="L15" s="26">
        <f t="shared" si="5"/>
        <v>4.82489964</v>
      </c>
      <c r="M15" s="26">
        <f t="shared" si="4"/>
        <v>75.59009436</v>
      </c>
      <c r="N15" s="41" t="s">
        <v>67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ht="15.75" hidden="1" customHeight="1">
      <c r="A16" s="10"/>
      <c r="B16" s="74">
        <v>9000.0</v>
      </c>
      <c r="C16" s="75" t="s">
        <v>17</v>
      </c>
      <c r="D16" s="16">
        <v>106.0</v>
      </c>
      <c r="E16" s="18">
        <v>46183.0</v>
      </c>
      <c r="F16" s="19" t="s">
        <v>23</v>
      </c>
      <c r="G16" s="20">
        <v>41.66</v>
      </c>
      <c r="H16" s="85">
        <v>903.5</v>
      </c>
      <c r="I16" s="26">
        <f t="shared" si="1"/>
        <v>37639.81</v>
      </c>
      <c r="J16" s="27">
        <v>0.01</v>
      </c>
      <c r="K16" s="26">
        <f t="shared" si="2"/>
        <v>376.3981</v>
      </c>
      <c r="L16" s="26">
        <f t="shared" si="5"/>
        <v>22.583886</v>
      </c>
      <c r="M16" s="26">
        <f t="shared" si="4"/>
        <v>353.814214</v>
      </c>
      <c r="N16" s="41" t="s">
        <v>31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ht="16.5" hidden="1" customHeight="1">
      <c r="A17" s="10"/>
      <c r="B17" s="74">
        <v>8900.0</v>
      </c>
      <c r="C17" s="75" t="s">
        <v>54</v>
      </c>
      <c r="D17" s="16" t="s">
        <v>77</v>
      </c>
      <c r="E17" s="18">
        <v>46195.0</v>
      </c>
      <c r="F17" s="19" t="s">
        <v>78</v>
      </c>
      <c r="G17" s="20">
        <v>25.0</v>
      </c>
      <c r="H17" s="85">
        <v>283.29</v>
      </c>
      <c r="I17" s="26">
        <f t="shared" si="1"/>
        <v>7082.25</v>
      </c>
      <c r="J17" s="27">
        <v>0.02</v>
      </c>
      <c r="K17" s="26">
        <f t="shared" si="2"/>
        <v>141.645</v>
      </c>
      <c r="L17" s="26">
        <f t="shared" si="5"/>
        <v>8.4987</v>
      </c>
      <c r="M17" s="26">
        <f t="shared" si="4"/>
        <v>133.1463</v>
      </c>
      <c r="N17" s="41" t="s">
        <v>31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ht="15.75" customHeight="1">
      <c r="A18" s="10"/>
      <c r="B18" s="74">
        <v>8950.0</v>
      </c>
      <c r="C18" s="75" t="s">
        <v>54</v>
      </c>
      <c r="D18" s="16" t="s">
        <v>77</v>
      </c>
      <c r="E18" s="18">
        <v>46203.0</v>
      </c>
      <c r="F18" s="19" t="s">
        <v>78</v>
      </c>
      <c r="G18" s="20">
        <v>25.0</v>
      </c>
      <c r="H18" s="85">
        <v>75.85</v>
      </c>
      <c r="I18" s="26">
        <f t="shared" si="1"/>
        <v>1896.25</v>
      </c>
      <c r="J18" s="27">
        <v>0.02</v>
      </c>
      <c r="K18" s="26">
        <f t="shared" si="2"/>
        <v>37.925</v>
      </c>
      <c r="L18" s="26">
        <f t="shared" si="5"/>
        <v>2.2755</v>
      </c>
      <c r="M18" s="26">
        <f t="shared" si="4"/>
        <v>35.6495</v>
      </c>
      <c r="N18" s="41" t="s">
        <v>70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ht="15.75" customHeight="1">
      <c r="A19" s="10"/>
      <c r="B19" s="74">
        <v>9022.0</v>
      </c>
      <c r="C19" s="75" t="s">
        <v>75</v>
      </c>
      <c r="D19" s="16">
        <v>126865.0</v>
      </c>
      <c r="E19" s="18">
        <v>46224.0</v>
      </c>
      <c r="F19" s="19" t="s">
        <v>48</v>
      </c>
      <c r="G19" s="20">
        <v>38.86</v>
      </c>
      <c r="H19" s="85">
        <v>154.764</v>
      </c>
      <c r="I19" s="26">
        <f t="shared" si="1"/>
        <v>6014.12904</v>
      </c>
      <c r="J19" s="27">
        <v>0.015</v>
      </c>
      <c r="K19" s="26">
        <f t="shared" si="2"/>
        <v>90.2119356</v>
      </c>
      <c r="L19" s="26">
        <f t="shared" si="5"/>
        <v>5.412716136</v>
      </c>
      <c r="M19" s="26">
        <f t="shared" si="4"/>
        <v>84.79921946</v>
      </c>
      <c r="N19" s="41" t="s">
        <v>70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ht="15.75" customHeight="1">
      <c r="A20" s="10"/>
      <c r="B20" s="74">
        <v>9045.0</v>
      </c>
      <c r="C20" s="75" t="s">
        <v>54</v>
      </c>
      <c r="D20" s="16" t="s">
        <v>80</v>
      </c>
      <c r="E20" s="18">
        <v>46224.0</v>
      </c>
      <c r="F20" s="19" t="s">
        <v>78</v>
      </c>
      <c r="G20" s="20">
        <v>22.0</v>
      </c>
      <c r="H20" s="85">
        <v>508.69</v>
      </c>
      <c r="I20" s="26">
        <f t="shared" si="1"/>
        <v>11191.18</v>
      </c>
      <c r="J20" s="27">
        <v>0.02</v>
      </c>
      <c r="K20" s="26">
        <f t="shared" si="2"/>
        <v>223.8236</v>
      </c>
      <c r="L20" s="26">
        <f t="shared" si="5"/>
        <v>13.429416</v>
      </c>
      <c r="M20" s="26">
        <f t="shared" si="4"/>
        <v>210.394184</v>
      </c>
      <c r="N20" s="41" t="s">
        <v>70</v>
      </c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ht="15.75" customHeight="1">
      <c r="A21" s="10"/>
      <c r="B21" s="74">
        <v>9067.0</v>
      </c>
      <c r="C21" s="75" t="s">
        <v>54</v>
      </c>
      <c r="D21" s="16" t="s">
        <v>80</v>
      </c>
      <c r="E21" s="18">
        <v>46230.0</v>
      </c>
      <c r="F21" s="19" t="s">
        <v>78</v>
      </c>
      <c r="G21" s="20">
        <v>22.0</v>
      </c>
      <c r="H21" s="85">
        <v>55.63</v>
      </c>
      <c r="I21" s="26">
        <f t="shared" si="1"/>
        <v>1223.86</v>
      </c>
      <c r="J21" s="27">
        <v>0.02</v>
      </c>
      <c r="K21" s="26">
        <f t="shared" si="2"/>
        <v>24.4772</v>
      </c>
      <c r="L21" s="26">
        <f t="shared" si="5"/>
        <v>1.468632</v>
      </c>
      <c r="M21" s="26">
        <f t="shared" si="4"/>
        <v>23.008568</v>
      </c>
      <c r="N21" s="41" t="s">
        <v>70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ht="15.75" customHeight="1">
      <c r="A22" s="10"/>
      <c r="B22" s="74">
        <v>9138.0</v>
      </c>
      <c r="C22" s="137" t="s">
        <v>73</v>
      </c>
      <c r="D22" s="16">
        <v>127699.0</v>
      </c>
      <c r="E22" s="18">
        <v>46246.0</v>
      </c>
      <c r="F22" s="19" t="s">
        <v>48</v>
      </c>
      <c r="G22" s="20">
        <v>38.66</v>
      </c>
      <c r="H22" s="85">
        <v>527.369</v>
      </c>
      <c r="I22" s="26">
        <f t="shared" si="1"/>
        <v>20388.08554</v>
      </c>
      <c r="J22" s="27">
        <v>0.015</v>
      </c>
      <c r="K22" s="26">
        <f t="shared" si="2"/>
        <v>305.8212831</v>
      </c>
      <c r="L22" s="26">
        <f t="shared" si="5"/>
        <v>18.34927699</v>
      </c>
      <c r="M22" s="26">
        <f t="shared" si="4"/>
        <v>287.4720061</v>
      </c>
      <c r="N22" s="41" t="s">
        <v>40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ht="15.75" customHeight="1">
      <c r="A23" s="10"/>
      <c r="B23" s="74">
        <v>9194.0</v>
      </c>
      <c r="C23" s="75" t="s">
        <v>75</v>
      </c>
      <c r="D23" s="16">
        <v>128109.0</v>
      </c>
      <c r="E23" s="18">
        <v>46255.0</v>
      </c>
      <c r="F23" s="19" t="s">
        <v>48</v>
      </c>
      <c r="G23" s="20">
        <v>39.59</v>
      </c>
      <c r="H23" s="85">
        <v>161.477</v>
      </c>
      <c r="I23" s="26">
        <f t="shared" si="1"/>
        <v>6392.87443</v>
      </c>
      <c r="J23" s="27">
        <v>0.015</v>
      </c>
      <c r="K23" s="26">
        <f t="shared" si="2"/>
        <v>95.89311645</v>
      </c>
      <c r="L23" s="26">
        <f t="shared" si="5"/>
        <v>5.753586987</v>
      </c>
      <c r="M23" s="26">
        <f t="shared" si="4"/>
        <v>90.13952946</v>
      </c>
      <c r="N23" s="41" t="s">
        <v>40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ht="16.5" customHeight="1">
      <c r="A24" s="10"/>
      <c r="B24" s="12"/>
      <c r="C24" s="15"/>
      <c r="D24" s="46"/>
      <c r="E24" s="48"/>
      <c r="F24" s="50"/>
      <c r="G24" s="26">
        <v>0.0</v>
      </c>
      <c r="H24" s="139"/>
      <c r="I24" s="26">
        <f t="shared" si="1"/>
        <v>0</v>
      </c>
      <c r="J24" s="141"/>
      <c r="K24" s="26">
        <f t="shared" si="2"/>
        <v>0</v>
      </c>
      <c r="L24" s="26">
        <f t="shared" si="5"/>
        <v>0</v>
      </c>
      <c r="M24" s="26">
        <f t="shared" si="4"/>
        <v>0</v>
      </c>
      <c r="N24" s="145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ht="15.75" customHeight="1">
      <c r="A25" s="10"/>
      <c r="B25" s="12"/>
      <c r="C25" s="15"/>
      <c r="D25" s="46"/>
      <c r="E25" s="48"/>
      <c r="F25" s="50"/>
      <c r="G25" s="26">
        <v>0.0</v>
      </c>
      <c r="H25" s="139"/>
      <c r="I25" s="26">
        <f t="shared" si="1"/>
        <v>0</v>
      </c>
      <c r="J25" s="141"/>
      <c r="K25" s="26">
        <f t="shared" si="2"/>
        <v>0</v>
      </c>
      <c r="L25" s="26">
        <f t="shared" si="5"/>
        <v>0</v>
      </c>
      <c r="M25" s="26">
        <f t="shared" si="4"/>
        <v>0</v>
      </c>
      <c r="N25" s="145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ht="15.75" customHeight="1">
      <c r="A26" s="10"/>
      <c r="B26" s="12"/>
      <c r="C26" s="15"/>
      <c r="D26" s="46"/>
      <c r="E26" s="48"/>
      <c r="F26" s="50"/>
      <c r="G26" s="26">
        <v>0.0</v>
      </c>
      <c r="H26" s="139"/>
      <c r="I26" s="26">
        <f t="shared" si="1"/>
        <v>0</v>
      </c>
      <c r="J26" s="141"/>
      <c r="K26" s="26">
        <f t="shared" si="2"/>
        <v>0</v>
      </c>
      <c r="L26" s="26">
        <f t="shared" si="5"/>
        <v>0</v>
      </c>
      <c r="M26" s="26">
        <f t="shared" si="4"/>
        <v>0</v>
      </c>
      <c r="N26" s="145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ht="15.75" customHeight="1">
      <c r="A27" s="10"/>
      <c r="B27" s="12"/>
      <c r="C27" s="15"/>
      <c r="D27" s="46"/>
      <c r="E27" s="48"/>
      <c r="F27" s="50"/>
      <c r="G27" s="26">
        <v>0.0</v>
      </c>
      <c r="H27" s="139"/>
      <c r="I27" s="26">
        <f t="shared" si="1"/>
        <v>0</v>
      </c>
      <c r="J27" s="141"/>
      <c r="K27" s="26">
        <f t="shared" si="2"/>
        <v>0</v>
      </c>
      <c r="L27" s="26">
        <f t="shared" si="5"/>
        <v>0</v>
      </c>
      <c r="M27" s="26">
        <f t="shared" si="4"/>
        <v>0</v>
      </c>
      <c r="N27" s="145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ht="15.75" customHeight="1">
      <c r="A28" s="10"/>
      <c r="B28" s="12"/>
      <c r="C28" s="15"/>
      <c r="D28" s="46"/>
      <c r="E28" s="126"/>
      <c r="F28" s="50"/>
      <c r="G28" s="26">
        <v>0.0</v>
      </c>
      <c r="H28" s="139"/>
      <c r="I28" s="26">
        <f t="shared" si="1"/>
        <v>0</v>
      </c>
      <c r="J28" s="141"/>
      <c r="K28" s="26">
        <f t="shared" si="2"/>
        <v>0</v>
      </c>
      <c r="L28" s="26">
        <f t="shared" si="5"/>
        <v>0</v>
      </c>
      <c r="M28" s="26">
        <f t="shared" si="4"/>
        <v>0</v>
      </c>
      <c r="N28" s="145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ht="15.75" customHeight="1">
      <c r="A29" s="10"/>
      <c r="B29" s="12"/>
      <c r="C29" s="15"/>
      <c r="D29" s="46"/>
      <c r="E29" s="48"/>
      <c r="F29" s="50"/>
      <c r="G29" s="26">
        <v>0.0</v>
      </c>
      <c r="H29" s="139"/>
      <c r="I29" s="26">
        <f t="shared" si="1"/>
        <v>0</v>
      </c>
      <c r="J29" s="141"/>
      <c r="K29" s="26">
        <f t="shared" si="2"/>
        <v>0</v>
      </c>
      <c r="L29" s="26">
        <f t="shared" si="5"/>
        <v>0</v>
      </c>
      <c r="M29" s="26">
        <f t="shared" si="4"/>
        <v>0</v>
      </c>
      <c r="N29" s="145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ht="15.75" customHeight="1">
      <c r="A30" s="10"/>
      <c r="B30" s="12"/>
      <c r="C30" s="15"/>
      <c r="D30" s="127"/>
      <c r="E30" s="48"/>
      <c r="F30" s="50"/>
      <c r="G30" s="26">
        <v>0.0</v>
      </c>
      <c r="H30" s="139"/>
      <c r="I30" s="26">
        <f t="shared" si="1"/>
        <v>0</v>
      </c>
      <c r="J30" s="141"/>
      <c r="K30" s="154">
        <f t="shared" si="2"/>
        <v>0</v>
      </c>
      <c r="L30" s="26">
        <f t="shared" si="5"/>
        <v>0</v>
      </c>
      <c r="M30" s="154">
        <f t="shared" si="4"/>
        <v>0</v>
      </c>
      <c r="N30" s="145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ht="15.75" customHeight="1">
      <c r="A31" s="10"/>
      <c r="B31" s="12"/>
      <c r="C31" s="15"/>
      <c r="D31" s="46"/>
      <c r="E31" s="48"/>
      <c r="F31" s="50"/>
      <c r="G31" s="26">
        <v>0.0</v>
      </c>
      <c r="H31" s="139"/>
      <c r="I31" s="26">
        <f t="shared" si="1"/>
        <v>0</v>
      </c>
      <c r="J31" s="141"/>
      <c r="K31" s="154">
        <f t="shared" si="2"/>
        <v>0</v>
      </c>
      <c r="L31" s="26">
        <f t="shared" si="5"/>
        <v>0</v>
      </c>
      <c r="M31" s="154">
        <f t="shared" si="4"/>
        <v>0</v>
      </c>
      <c r="N31" s="145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ht="15.75" customHeight="1">
      <c r="A32" s="10"/>
      <c r="B32" s="12"/>
      <c r="C32" s="15"/>
      <c r="D32" s="46"/>
      <c r="E32" s="48"/>
      <c r="F32" s="50"/>
      <c r="G32" s="26">
        <v>0.0</v>
      </c>
      <c r="H32" s="139"/>
      <c r="I32" s="26">
        <f t="shared" si="1"/>
        <v>0</v>
      </c>
      <c r="J32" s="141"/>
      <c r="K32" s="26">
        <f t="shared" si="2"/>
        <v>0</v>
      </c>
      <c r="L32" s="26">
        <f t="shared" si="5"/>
        <v>0</v>
      </c>
      <c r="M32" s="26">
        <f t="shared" si="4"/>
        <v>0</v>
      </c>
      <c r="N32" s="145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ht="15.75" customHeight="1">
      <c r="A33" s="10"/>
      <c r="B33" s="12"/>
      <c r="C33" s="15"/>
      <c r="D33" s="46"/>
      <c r="E33" s="126"/>
      <c r="F33" s="50"/>
      <c r="G33" s="26">
        <v>0.0</v>
      </c>
      <c r="H33" s="139"/>
      <c r="I33" s="26">
        <f t="shared" si="1"/>
        <v>0</v>
      </c>
      <c r="J33" s="141"/>
      <c r="K33" s="154">
        <f t="shared" si="2"/>
        <v>0</v>
      </c>
      <c r="L33" s="26">
        <f t="shared" si="5"/>
        <v>0</v>
      </c>
      <c r="M33" s="154">
        <f t="shared" si="4"/>
        <v>0</v>
      </c>
      <c r="N33" s="145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ht="15.75" customHeight="1">
      <c r="A34" s="10"/>
      <c r="B34" s="12"/>
      <c r="C34" s="15"/>
      <c r="D34" s="127"/>
      <c r="E34" s="129"/>
      <c r="F34" s="50"/>
      <c r="G34" s="26">
        <v>0.0</v>
      </c>
      <c r="H34" s="139"/>
      <c r="I34" s="26">
        <f t="shared" si="1"/>
        <v>0</v>
      </c>
      <c r="J34" s="141"/>
      <c r="K34" s="154">
        <f t="shared" si="2"/>
        <v>0</v>
      </c>
      <c r="L34" s="26">
        <f t="shared" si="5"/>
        <v>0</v>
      </c>
      <c r="M34" s="154">
        <f t="shared" si="4"/>
        <v>0</v>
      </c>
      <c r="N34" s="145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ht="15.75" customHeight="1">
      <c r="A35" s="10"/>
      <c r="B35" s="12"/>
      <c r="C35" s="15"/>
      <c r="D35" s="46"/>
      <c r="E35" s="48"/>
      <c r="F35" s="50"/>
      <c r="G35" s="26">
        <v>0.0</v>
      </c>
      <c r="H35" s="139"/>
      <c r="I35" s="26">
        <f t="shared" si="1"/>
        <v>0</v>
      </c>
      <c r="J35" s="141"/>
      <c r="K35" s="154">
        <f t="shared" si="2"/>
        <v>0</v>
      </c>
      <c r="L35" s="26">
        <f t="shared" si="5"/>
        <v>0</v>
      </c>
      <c r="M35" s="154">
        <f t="shared" si="4"/>
        <v>0</v>
      </c>
      <c r="N35" s="145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ht="15.75" customHeight="1">
      <c r="A36" s="10"/>
      <c r="B36" s="12"/>
      <c r="C36" s="15"/>
      <c r="D36" s="46"/>
      <c r="E36" s="48"/>
      <c r="F36" s="50"/>
      <c r="G36" s="26">
        <v>0.0</v>
      </c>
      <c r="H36" s="139"/>
      <c r="I36" s="26">
        <f t="shared" si="1"/>
        <v>0</v>
      </c>
      <c r="J36" s="141"/>
      <c r="K36" s="154">
        <f t="shared" si="2"/>
        <v>0</v>
      </c>
      <c r="L36" s="26">
        <f t="shared" si="5"/>
        <v>0</v>
      </c>
      <c r="M36" s="154">
        <f t="shared" si="4"/>
        <v>0</v>
      </c>
      <c r="N36" s="145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15.75" customHeight="1">
      <c r="A37" s="10"/>
      <c r="B37" s="12"/>
      <c r="C37" s="15"/>
      <c r="D37" s="46"/>
      <c r="E37" s="48"/>
      <c r="F37" s="50"/>
      <c r="G37" s="26">
        <v>0.0</v>
      </c>
      <c r="H37" s="139"/>
      <c r="I37" s="26">
        <f t="shared" si="1"/>
        <v>0</v>
      </c>
      <c r="J37" s="141"/>
      <c r="K37" s="154">
        <f t="shared" si="2"/>
        <v>0</v>
      </c>
      <c r="L37" s="26">
        <f t="shared" si="5"/>
        <v>0</v>
      </c>
      <c r="M37" s="154">
        <f t="shared" si="4"/>
        <v>0</v>
      </c>
      <c r="N37" s="145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ht="15.75" customHeight="1">
      <c r="A38" s="10"/>
      <c r="B38" s="12"/>
      <c r="C38" s="15"/>
      <c r="D38" s="46"/>
      <c r="E38" s="48"/>
      <c r="F38" s="50"/>
      <c r="G38" s="26">
        <v>0.0</v>
      </c>
      <c r="H38" s="139"/>
      <c r="I38" s="26">
        <f t="shared" si="1"/>
        <v>0</v>
      </c>
      <c r="J38" s="141"/>
      <c r="K38" s="154">
        <f t="shared" si="2"/>
        <v>0</v>
      </c>
      <c r="L38" s="26">
        <f t="shared" si="5"/>
        <v>0</v>
      </c>
      <c r="M38" s="154">
        <f t="shared" si="4"/>
        <v>0</v>
      </c>
      <c r="N38" s="145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ht="15.75" customHeight="1">
      <c r="A39" s="10"/>
      <c r="B39" s="12"/>
      <c r="C39" s="15"/>
      <c r="D39" s="46"/>
      <c r="E39" s="48"/>
      <c r="F39" s="50"/>
      <c r="G39" s="26">
        <v>0.0</v>
      </c>
      <c r="H39" s="139"/>
      <c r="I39" s="26">
        <f t="shared" si="1"/>
        <v>0</v>
      </c>
      <c r="J39" s="141"/>
      <c r="K39" s="154">
        <f t="shared" si="2"/>
        <v>0</v>
      </c>
      <c r="L39" s="26">
        <f t="shared" si="5"/>
        <v>0</v>
      </c>
      <c r="M39" s="154">
        <f t="shared" si="4"/>
        <v>0</v>
      </c>
      <c r="N39" s="145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ht="15.75" customHeight="1">
      <c r="A40" s="10"/>
      <c r="B40" s="12"/>
      <c r="C40" s="15"/>
      <c r="D40" s="46"/>
      <c r="E40" s="48"/>
      <c r="F40" s="50"/>
      <c r="G40" s="26">
        <v>0.0</v>
      </c>
      <c r="H40" s="139"/>
      <c r="I40" s="26">
        <f t="shared" si="1"/>
        <v>0</v>
      </c>
      <c r="J40" s="141"/>
      <c r="K40" s="154">
        <f t="shared" si="2"/>
        <v>0</v>
      </c>
      <c r="L40" s="26">
        <f t="shared" si="5"/>
        <v>0</v>
      </c>
      <c r="M40" s="154">
        <f t="shared" si="4"/>
        <v>0</v>
      </c>
      <c r="N40" s="145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ht="15.75" customHeight="1">
      <c r="A41" s="10"/>
      <c r="B41" s="12"/>
      <c r="C41" s="15"/>
      <c r="D41" s="46"/>
      <c r="E41" s="126"/>
      <c r="F41" s="50"/>
      <c r="G41" s="26">
        <v>0.0</v>
      </c>
      <c r="H41" s="139"/>
      <c r="I41" s="26">
        <f t="shared" si="1"/>
        <v>0</v>
      </c>
      <c r="J41" s="141"/>
      <c r="K41" s="154">
        <f t="shared" si="2"/>
        <v>0</v>
      </c>
      <c r="L41" s="26">
        <f t="shared" si="5"/>
        <v>0</v>
      </c>
      <c r="M41" s="154">
        <f t="shared" si="4"/>
        <v>0</v>
      </c>
      <c r="N41" s="145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ht="15.75" customHeight="1">
      <c r="A42" s="10"/>
      <c r="B42" s="12"/>
      <c r="C42" s="15"/>
      <c r="D42" s="46"/>
      <c r="E42" s="126"/>
      <c r="F42" s="50"/>
      <c r="G42" s="26">
        <v>0.0</v>
      </c>
      <c r="H42" s="139"/>
      <c r="I42" s="26">
        <f t="shared" si="1"/>
        <v>0</v>
      </c>
      <c r="J42" s="141"/>
      <c r="K42" s="154">
        <f t="shared" si="2"/>
        <v>0</v>
      </c>
      <c r="L42" s="26">
        <f t="shared" si="5"/>
        <v>0</v>
      </c>
      <c r="M42" s="154">
        <f t="shared" si="4"/>
        <v>0</v>
      </c>
      <c r="N42" s="145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ht="15.75" customHeight="1">
      <c r="A43" s="10"/>
      <c r="B43" s="12"/>
      <c r="C43" s="15"/>
      <c r="D43" s="46"/>
      <c r="E43" s="48"/>
      <c r="F43" s="50"/>
      <c r="G43" s="26">
        <v>0.0</v>
      </c>
      <c r="H43" s="139"/>
      <c r="I43" s="26">
        <f t="shared" si="1"/>
        <v>0</v>
      </c>
      <c r="J43" s="141"/>
      <c r="K43" s="154">
        <f t="shared" si="2"/>
        <v>0</v>
      </c>
      <c r="L43" s="26">
        <f t="shared" si="5"/>
        <v>0</v>
      </c>
      <c r="M43" s="154">
        <f t="shared" si="4"/>
        <v>0</v>
      </c>
      <c r="N43" s="145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ht="15.75" customHeight="1">
      <c r="A44" s="10"/>
      <c r="B44" s="167"/>
      <c r="C44" s="168"/>
      <c r="D44" s="169"/>
      <c r="E44" s="170"/>
      <c r="F44" s="171"/>
      <c r="G44" s="26">
        <v>0.0</v>
      </c>
      <c r="H44" s="172"/>
      <c r="I44" s="26">
        <f t="shared" si="1"/>
        <v>0</v>
      </c>
      <c r="J44" s="141"/>
      <c r="K44" s="154">
        <f t="shared" si="2"/>
        <v>0</v>
      </c>
      <c r="L44" s="26">
        <f t="shared" si="5"/>
        <v>0</v>
      </c>
      <c r="M44" s="154">
        <f t="shared" si="4"/>
        <v>0</v>
      </c>
      <c r="N44" s="173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ht="15.75" customHeight="1">
      <c r="A45" s="10"/>
      <c r="B45" s="167"/>
      <c r="C45" s="168"/>
      <c r="D45" s="169"/>
      <c r="E45" s="169"/>
      <c r="F45" s="171"/>
      <c r="G45" s="26">
        <v>0.0</v>
      </c>
      <c r="H45" s="172"/>
      <c r="I45" s="26">
        <f t="shared" si="1"/>
        <v>0</v>
      </c>
      <c r="J45" s="141"/>
      <c r="K45" s="154">
        <f t="shared" si="2"/>
        <v>0</v>
      </c>
      <c r="L45" s="26">
        <f t="shared" si="5"/>
        <v>0</v>
      </c>
      <c r="M45" s="154">
        <f t="shared" si="4"/>
        <v>0</v>
      </c>
      <c r="N45" s="173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ht="15.75" customHeight="1">
      <c r="A46" s="10"/>
      <c r="B46" s="174"/>
      <c r="C46" s="6"/>
      <c r="D46" s="127"/>
      <c r="E46" s="127"/>
      <c r="F46" s="175"/>
      <c r="G46" s="26">
        <v>0.0</v>
      </c>
      <c r="H46" s="176"/>
      <c r="I46" s="26">
        <f t="shared" si="1"/>
        <v>0</v>
      </c>
      <c r="J46" s="141"/>
      <c r="K46" s="154">
        <f t="shared" si="2"/>
        <v>0</v>
      </c>
      <c r="L46" s="26">
        <f t="shared" si="5"/>
        <v>0</v>
      </c>
      <c r="M46" s="154">
        <f t="shared" si="4"/>
        <v>0</v>
      </c>
      <c r="N46" s="173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ht="15.75" customHeight="1">
      <c r="A47" s="10"/>
      <c r="B47" s="174"/>
      <c r="C47" s="6"/>
      <c r="D47" s="127"/>
      <c r="E47" s="127"/>
      <c r="F47" s="175"/>
      <c r="G47" s="26">
        <v>0.0</v>
      </c>
      <c r="H47" s="176"/>
      <c r="I47" s="26">
        <f t="shared" si="1"/>
        <v>0</v>
      </c>
      <c r="J47" s="141"/>
      <c r="K47" s="154">
        <f t="shared" si="2"/>
        <v>0</v>
      </c>
      <c r="L47" s="26">
        <f t="shared" si="5"/>
        <v>0</v>
      </c>
      <c r="M47" s="154">
        <f t="shared" si="4"/>
        <v>0</v>
      </c>
      <c r="N47" s="173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ht="15.75" customHeight="1">
      <c r="A48" s="10"/>
      <c r="B48" s="174"/>
      <c r="C48" s="6"/>
      <c r="D48" s="127"/>
      <c r="E48" s="127"/>
      <c r="F48" s="175"/>
      <c r="G48" s="26">
        <v>0.0</v>
      </c>
      <c r="H48" s="176"/>
      <c r="I48" s="26">
        <f t="shared" si="1"/>
        <v>0</v>
      </c>
      <c r="J48" s="141"/>
      <c r="K48" s="154">
        <f t="shared" si="2"/>
        <v>0</v>
      </c>
      <c r="L48" s="26">
        <f t="shared" si="5"/>
        <v>0</v>
      </c>
      <c r="M48" s="154">
        <f t="shared" si="4"/>
        <v>0</v>
      </c>
      <c r="N48" s="173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ht="15.75" customHeight="1">
      <c r="A49" s="10"/>
      <c r="B49" s="174"/>
      <c r="C49" s="6"/>
      <c r="D49" s="127"/>
      <c r="E49" s="127"/>
      <c r="F49" s="175"/>
      <c r="G49" s="26">
        <v>0.0</v>
      </c>
      <c r="H49" s="176"/>
      <c r="I49" s="26">
        <f t="shared" si="1"/>
        <v>0</v>
      </c>
      <c r="J49" s="141"/>
      <c r="K49" s="154">
        <f t="shared" si="2"/>
        <v>0</v>
      </c>
      <c r="L49" s="26">
        <f t="shared" si="5"/>
        <v>0</v>
      </c>
      <c r="M49" s="154">
        <f t="shared" si="4"/>
        <v>0</v>
      </c>
      <c r="N49" s="173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ht="15.75" customHeight="1">
      <c r="A50" s="10"/>
      <c r="B50" s="174"/>
      <c r="C50" s="6"/>
      <c r="D50" s="127"/>
      <c r="E50" s="127"/>
      <c r="F50" s="175"/>
      <c r="G50" s="26">
        <v>0.0</v>
      </c>
      <c r="H50" s="176"/>
      <c r="I50" s="26">
        <f t="shared" si="1"/>
        <v>0</v>
      </c>
      <c r="J50" s="141"/>
      <c r="K50" s="154">
        <f t="shared" si="2"/>
        <v>0</v>
      </c>
      <c r="L50" s="26">
        <f t="shared" si="5"/>
        <v>0</v>
      </c>
      <c r="M50" s="154">
        <f t="shared" si="4"/>
        <v>0</v>
      </c>
      <c r="N50" s="173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ht="15.75" customHeight="1">
      <c r="A51" s="10"/>
      <c r="B51" s="174"/>
      <c r="C51" s="6"/>
      <c r="D51" s="127"/>
      <c r="E51" s="127"/>
      <c r="F51" s="175"/>
      <c r="G51" s="26">
        <v>0.0</v>
      </c>
      <c r="H51" s="176"/>
      <c r="I51" s="26">
        <f t="shared" si="1"/>
        <v>0</v>
      </c>
      <c r="J51" s="141"/>
      <c r="K51" s="154">
        <f t="shared" si="2"/>
        <v>0</v>
      </c>
      <c r="L51" s="26">
        <f t="shared" si="5"/>
        <v>0</v>
      </c>
      <c r="M51" s="154">
        <f t="shared" si="4"/>
        <v>0</v>
      </c>
      <c r="N51" s="173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ht="15.75" customHeight="1">
      <c r="A52" s="10"/>
      <c r="B52" s="174"/>
      <c r="C52" s="6"/>
      <c r="D52" s="127"/>
      <c r="E52" s="127"/>
      <c r="F52" s="175"/>
      <c r="G52" s="26">
        <v>0.0</v>
      </c>
      <c r="H52" s="176"/>
      <c r="I52" s="26">
        <f t="shared" si="1"/>
        <v>0</v>
      </c>
      <c r="J52" s="141"/>
      <c r="K52" s="154">
        <f t="shared" si="2"/>
        <v>0</v>
      </c>
      <c r="L52" s="26">
        <f t="shared" si="5"/>
        <v>0</v>
      </c>
      <c r="M52" s="154">
        <f t="shared" si="4"/>
        <v>0</v>
      </c>
      <c r="N52" s="173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ht="15.75" customHeight="1">
      <c r="A53" s="10"/>
      <c r="B53" s="174"/>
      <c r="C53" s="6"/>
      <c r="D53" s="127"/>
      <c r="E53" s="127"/>
      <c r="F53" s="175"/>
      <c r="G53" s="26">
        <v>0.0</v>
      </c>
      <c r="H53" s="176"/>
      <c r="I53" s="26">
        <f t="shared" si="1"/>
        <v>0</v>
      </c>
      <c r="J53" s="141"/>
      <c r="K53" s="154">
        <f t="shared" si="2"/>
        <v>0</v>
      </c>
      <c r="L53" s="26">
        <f t="shared" si="5"/>
        <v>0</v>
      </c>
      <c r="M53" s="154">
        <f t="shared" si="4"/>
        <v>0</v>
      </c>
      <c r="N53" s="173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ht="15.75" customHeight="1">
      <c r="A54" s="10"/>
      <c r="B54" s="174"/>
      <c r="C54" s="6"/>
      <c r="D54" s="127"/>
      <c r="E54" s="127"/>
      <c r="F54" s="175"/>
      <c r="G54" s="26">
        <v>0.0</v>
      </c>
      <c r="H54" s="176"/>
      <c r="I54" s="26">
        <f t="shared" si="1"/>
        <v>0</v>
      </c>
      <c r="J54" s="141"/>
      <c r="K54" s="154">
        <f t="shared" si="2"/>
        <v>0</v>
      </c>
      <c r="L54" s="26">
        <f t="shared" si="5"/>
        <v>0</v>
      </c>
      <c r="M54" s="154">
        <f t="shared" si="4"/>
        <v>0</v>
      </c>
      <c r="N54" s="173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ht="15.75" customHeight="1">
      <c r="A55" s="10"/>
      <c r="B55" s="174"/>
      <c r="C55" s="6"/>
      <c r="D55" s="127"/>
      <c r="E55" s="127"/>
      <c r="F55" s="175"/>
      <c r="G55" s="26">
        <v>0.0</v>
      </c>
      <c r="H55" s="176"/>
      <c r="I55" s="26">
        <f t="shared" si="1"/>
        <v>0</v>
      </c>
      <c r="J55" s="141"/>
      <c r="K55" s="154">
        <f t="shared" si="2"/>
        <v>0</v>
      </c>
      <c r="L55" s="26">
        <f t="shared" si="5"/>
        <v>0</v>
      </c>
      <c r="M55" s="154">
        <f t="shared" si="4"/>
        <v>0</v>
      </c>
      <c r="N55" s="173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ht="15.75" customHeight="1">
      <c r="A56" s="10"/>
      <c r="B56" s="174"/>
      <c r="C56" s="6"/>
      <c r="D56" s="127"/>
      <c r="E56" s="127"/>
      <c r="F56" s="175"/>
      <c r="G56" s="26">
        <v>0.0</v>
      </c>
      <c r="H56" s="176"/>
      <c r="I56" s="26">
        <f t="shared" si="1"/>
        <v>0</v>
      </c>
      <c r="J56" s="141"/>
      <c r="K56" s="154">
        <f t="shared" si="2"/>
        <v>0</v>
      </c>
      <c r="L56" s="26">
        <f t="shared" si="5"/>
        <v>0</v>
      </c>
      <c r="M56" s="154">
        <f t="shared" si="4"/>
        <v>0</v>
      </c>
      <c r="N56" s="173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ht="15.75" customHeight="1">
      <c r="A57" s="10"/>
      <c r="B57" s="174"/>
      <c r="C57" s="6"/>
      <c r="D57" s="127"/>
      <c r="E57" s="127"/>
      <c r="F57" s="175"/>
      <c r="G57" s="26">
        <v>0.0</v>
      </c>
      <c r="H57" s="176"/>
      <c r="I57" s="26">
        <f t="shared" si="1"/>
        <v>0</v>
      </c>
      <c r="J57" s="141"/>
      <c r="K57" s="154">
        <f t="shared" si="2"/>
        <v>0</v>
      </c>
      <c r="L57" s="26">
        <f t="shared" si="5"/>
        <v>0</v>
      </c>
      <c r="M57" s="154">
        <f t="shared" si="4"/>
        <v>0</v>
      </c>
      <c r="N57" s="173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ht="15.75" customHeight="1">
      <c r="A58" s="10"/>
      <c r="B58" s="174"/>
      <c r="C58" s="6"/>
      <c r="D58" s="127"/>
      <c r="E58" s="127"/>
      <c r="F58" s="175"/>
      <c r="G58" s="26">
        <v>0.0</v>
      </c>
      <c r="H58" s="176"/>
      <c r="I58" s="26">
        <f t="shared" si="1"/>
        <v>0</v>
      </c>
      <c r="J58" s="141"/>
      <c r="K58" s="154">
        <f t="shared" si="2"/>
        <v>0</v>
      </c>
      <c r="L58" s="26">
        <f t="shared" si="5"/>
        <v>0</v>
      </c>
      <c r="M58" s="154">
        <f t="shared" si="4"/>
        <v>0</v>
      </c>
      <c r="N58" s="173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ht="15.75" customHeight="1">
      <c r="A59" s="10"/>
      <c r="B59" s="174"/>
      <c r="C59" s="6"/>
      <c r="D59" s="127"/>
      <c r="E59" s="127"/>
      <c r="F59" s="175"/>
      <c r="G59" s="26">
        <v>0.0</v>
      </c>
      <c r="H59" s="176"/>
      <c r="I59" s="26">
        <f t="shared" si="1"/>
        <v>0</v>
      </c>
      <c r="J59" s="141"/>
      <c r="K59" s="154">
        <f t="shared" si="2"/>
        <v>0</v>
      </c>
      <c r="L59" s="26">
        <f t="shared" si="5"/>
        <v>0</v>
      </c>
      <c r="M59" s="154">
        <f t="shared" si="4"/>
        <v>0</v>
      </c>
      <c r="N59" s="173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ht="15.75" customHeight="1">
      <c r="A60" s="10"/>
      <c r="B60" s="174"/>
      <c r="C60" s="6"/>
      <c r="D60" s="127"/>
      <c r="E60" s="127"/>
      <c r="F60" s="175"/>
      <c r="G60" s="26">
        <v>0.0</v>
      </c>
      <c r="H60" s="176"/>
      <c r="I60" s="26">
        <f t="shared" si="1"/>
        <v>0</v>
      </c>
      <c r="J60" s="141"/>
      <c r="K60" s="154">
        <f t="shared" si="2"/>
        <v>0</v>
      </c>
      <c r="L60" s="26">
        <f t="shared" si="5"/>
        <v>0</v>
      </c>
      <c r="M60" s="154">
        <f t="shared" si="4"/>
        <v>0</v>
      </c>
      <c r="N60" s="173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ht="15.75" customHeight="1">
      <c r="A61" s="10"/>
      <c r="B61" s="174"/>
      <c r="C61" s="6"/>
      <c r="D61" s="127"/>
      <c r="E61" s="127"/>
      <c r="F61" s="175"/>
      <c r="G61" s="26">
        <v>0.0</v>
      </c>
      <c r="H61" s="176"/>
      <c r="I61" s="26">
        <f t="shared" si="1"/>
        <v>0</v>
      </c>
      <c r="J61" s="141"/>
      <c r="K61" s="154">
        <f t="shared" si="2"/>
        <v>0</v>
      </c>
      <c r="L61" s="26">
        <f t="shared" si="5"/>
        <v>0</v>
      </c>
      <c r="M61" s="154">
        <f t="shared" si="4"/>
        <v>0</v>
      </c>
      <c r="N61" s="173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ht="15.75" customHeight="1">
      <c r="A62" s="10"/>
      <c r="B62" s="174"/>
      <c r="C62" s="6"/>
      <c r="D62" s="127"/>
      <c r="E62" s="127"/>
      <c r="F62" s="175"/>
      <c r="G62" s="26">
        <v>0.0</v>
      </c>
      <c r="H62" s="176"/>
      <c r="I62" s="26">
        <f t="shared" si="1"/>
        <v>0</v>
      </c>
      <c r="J62" s="141"/>
      <c r="K62" s="154">
        <f t="shared" si="2"/>
        <v>0</v>
      </c>
      <c r="L62" s="26">
        <f t="shared" si="5"/>
        <v>0</v>
      </c>
      <c r="M62" s="154">
        <f t="shared" si="4"/>
        <v>0</v>
      </c>
      <c r="N62" s="173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ht="15.75" customHeight="1">
      <c r="A63" s="10"/>
      <c r="B63" s="174"/>
      <c r="C63" s="6"/>
      <c r="D63" s="127"/>
      <c r="E63" s="127"/>
      <c r="F63" s="175"/>
      <c r="G63" s="26">
        <v>0.0</v>
      </c>
      <c r="H63" s="176"/>
      <c r="I63" s="26">
        <f t="shared" si="1"/>
        <v>0</v>
      </c>
      <c r="J63" s="141"/>
      <c r="K63" s="154">
        <f t="shared" si="2"/>
        <v>0</v>
      </c>
      <c r="L63" s="26">
        <f t="shared" si="5"/>
        <v>0</v>
      </c>
      <c r="M63" s="154">
        <f t="shared" si="4"/>
        <v>0</v>
      </c>
      <c r="N63" s="173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ht="15.75" customHeight="1">
      <c r="A64" s="10"/>
      <c r="B64" s="174"/>
      <c r="C64" s="6"/>
      <c r="D64" s="127"/>
      <c r="E64" s="127"/>
      <c r="F64" s="175"/>
      <c r="G64" s="26">
        <v>0.0</v>
      </c>
      <c r="H64" s="176"/>
      <c r="I64" s="26">
        <f t="shared" si="1"/>
        <v>0</v>
      </c>
      <c r="J64" s="141"/>
      <c r="K64" s="154">
        <f t="shared" si="2"/>
        <v>0</v>
      </c>
      <c r="L64" s="26">
        <f t="shared" si="5"/>
        <v>0</v>
      </c>
      <c r="M64" s="154">
        <f t="shared" si="4"/>
        <v>0</v>
      </c>
      <c r="N64" s="173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ht="15.75" customHeight="1">
      <c r="A65" s="10"/>
      <c r="B65" s="174"/>
      <c r="C65" s="6"/>
      <c r="D65" s="127"/>
      <c r="E65" s="127"/>
      <c r="F65" s="175"/>
      <c r="G65" s="26">
        <v>0.0</v>
      </c>
      <c r="H65" s="176"/>
      <c r="I65" s="26">
        <f t="shared" si="1"/>
        <v>0</v>
      </c>
      <c r="J65" s="141"/>
      <c r="K65" s="154">
        <f t="shared" si="2"/>
        <v>0</v>
      </c>
      <c r="L65" s="26">
        <f t="shared" si="5"/>
        <v>0</v>
      </c>
      <c r="M65" s="154">
        <f t="shared" si="4"/>
        <v>0</v>
      </c>
      <c r="N65" s="173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ht="15.75" customHeight="1">
      <c r="A66" s="10"/>
      <c r="B66" s="174"/>
      <c r="C66" s="6"/>
      <c r="D66" s="127"/>
      <c r="E66" s="127"/>
      <c r="F66" s="175"/>
      <c r="G66" s="26">
        <v>0.0</v>
      </c>
      <c r="H66" s="176"/>
      <c r="I66" s="26">
        <f t="shared" si="1"/>
        <v>0</v>
      </c>
      <c r="J66" s="141"/>
      <c r="K66" s="154">
        <f t="shared" si="2"/>
        <v>0</v>
      </c>
      <c r="L66" s="26">
        <f t="shared" si="5"/>
        <v>0</v>
      </c>
      <c r="M66" s="154">
        <f t="shared" si="4"/>
        <v>0</v>
      </c>
      <c r="N66" s="173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ht="15.75" customHeight="1">
      <c r="A67" s="10"/>
      <c r="B67" s="174"/>
      <c r="C67" s="6"/>
      <c r="D67" s="127"/>
      <c r="E67" s="127"/>
      <c r="F67" s="175"/>
      <c r="G67" s="26">
        <v>0.0</v>
      </c>
      <c r="H67" s="176"/>
      <c r="I67" s="26">
        <f t="shared" si="1"/>
        <v>0</v>
      </c>
      <c r="J67" s="141"/>
      <c r="K67" s="154">
        <f t="shared" si="2"/>
        <v>0</v>
      </c>
      <c r="L67" s="26">
        <f t="shared" si="5"/>
        <v>0</v>
      </c>
      <c r="M67" s="154">
        <f t="shared" si="4"/>
        <v>0</v>
      </c>
      <c r="N67" s="173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ht="15.75" customHeight="1">
      <c r="A68" s="10"/>
      <c r="B68" s="174"/>
      <c r="C68" s="6"/>
      <c r="D68" s="127"/>
      <c r="E68" s="127"/>
      <c r="F68" s="175"/>
      <c r="G68" s="26">
        <v>0.0</v>
      </c>
      <c r="H68" s="176"/>
      <c r="I68" s="26">
        <f t="shared" si="1"/>
        <v>0</v>
      </c>
      <c r="J68" s="141"/>
      <c r="K68" s="154">
        <f t="shared" si="2"/>
        <v>0</v>
      </c>
      <c r="L68" s="26">
        <f t="shared" si="5"/>
        <v>0</v>
      </c>
      <c r="M68" s="154">
        <f t="shared" si="4"/>
        <v>0</v>
      </c>
      <c r="N68" s="173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ht="15.75" customHeight="1">
      <c r="A69" s="10"/>
      <c r="B69" s="174"/>
      <c r="C69" s="6"/>
      <c r="D69" s="127"/>
      <c r="E69" s="127"/>
      <c r="F69" s="175"/>
      <c r="G69" s="26">
        <v>0.0</v>
      </c>
      <c r="H69" s="176"/>
      <c r="I69" s="26">
        <f t="shared" si="1"/>
        <v>0</v>
      </c>
      <c r="J69" s="141"/>
      <c r="K69" s="154">
        <f t="shared" si="2"/>
        <v>0</v>
      </c>
      <c r="L69" s="26">
        <f t="shared" si="5"/>
        <v>0</v>
      </c>
      <c r="M69" s="154">
        <f t="shared" si="4"/>
        <v>0</v>
      </c>
      <c r="N69" s="173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ht="15.75" customHeight="1">
      <c r="A70" s="10"/>
      <c r="B70" s="174"/>
      <c r="C70" s="6"/>
      <c r="D70" s="127"/>
      <c r="E70" s="127"/>
      <c r="F70" s="175"/>
      <c r="G70" s="26">
        <v>0.0</v>
      </c>
      <c r="H70" s="176"/>
      <c r="I70" s="26">
        <f t="shared" si="1"/>
        <v>0</v>
      </c>
      <c r="J70" s="141"/>
      <c r="K70" s="154">
        <f t="shared" si="2"/>
        <v>0</v>
      </c>
      <c r="L70" s="26">
        <f t="shared" si="5"/>
        <v>0</v>
      </c>
      <c r="M70" s="154">
        <f t="shared" si="4"/>
        <v>0</v>
      </c>
      <c r="N70" s="173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ht="15.75" customHeight="1">
      <c r="A71" s="10"/>
      <c r="B71" s="174"/>
      <c r="C71" s="6"/>
      <c r="D71" s="127"/>
      <c r="E71" s="127"/>
      <c r="F71" s="175"/>
      <c r="G71" s="26">
        <v>0.0</v>
      </c>
      <c r="H71" s="176"/>
      <c r="I71" s="26">
        <f t="shared" si="1"/>
        <v>0</v>
      </c>
      <c r="J71" s="141"/>
      <c r="K71" s="154">
        <f t="shared" si="2"/>
        <v>0</v>
      </c>
      <c r="L71" s="26">
        <f t="shared" si="5"/>
        <v>0</v>
      </c>
      <c r="M71" s="154">
        <f t="shared" si="4"/>
        <v>0</v>
      </c>
      <c r="N71" s="173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ht="15.75" customHeight="1">
      <c r="A72" s="10"/>
      <c r="B72" s="174"/>
      <c r="C72" s="6"/>
      <c r="D72" s="127"/>
      <c r="E72" s="127"/>
      <c r="F72" s="175"/>
      <c r="G72" s="26">
        <v>0.0</v>
      </c>
      <c r="H72" s="176"/>
      <c r="I72" s="26">
        <f t="shared" si="1"/>
        <v>0</v>
      </c>
      <c r="J72" s="141"/>
      <c r="K72" s="154">
        <f t="shared" si="2"/>
        <v>0</v>
      </c>
      <c r="L72" s="26">
        <f t="shared" si="5"/>
        <v>0</v>
      </c>
      <c r="M72" s="154">
        <f t="shared" si="4"/>
        <v>0</v>
      </c>
      <c r="N72" s="173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ht="15.75" customHeight="1">
      <c r="A73" s="10"/>
      <c r="B73" s="174"/>
      <c r="C73" s="6"/>
      <c r="D73" s="127"/>
      <c r="E73" s="127"/>
      <c r="F73" s="175"/>
      <c r="G73" s="26">
        <v>0.0</v>
      </c>
      <c r="H73" s="176"/>
      <c r="I73" s="26">
        <f t="shared" si="1"/>
        <v>0</v>
      </c>
      <c r="J73" s="141"/>
      <c r="K73" s="154">
        <f t="shared" si="2"/>
        <v>0</v>
      </c>
      <c r="L73" s="26">
        <f t="shared" si="5"/>
        <v>0</v>
      </c>
      <c r="M73" s="154">
        <f t="shared" si="4"/>
        <v>0</v>
      </c>
      <c r="N73" s="173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ht="15.75" customHeight="1">
      <c r="A74" s="10"/>
      <c r="B74" s="174"/>
      <c r="C74" s="6"/>
      <c r="D74" s="127"/>
      <c r="E74" s="127"/>
      <c r="F74" s="175"/>
      <c r="G74" s="26">
        <v>0.0</v>
      </c>
      <c r="H74" s="176"/>
      <c r="I74" s="26">
        <f t="shared" si="1"/>
        <v>0</v>
      </c>
      <c r="J74" s="141"/>
      <c r="K74" s="154">
        <f t="shared" si="2"/>
        <v>0</v>
      </c>
      <c r="L74" s="26">
        <f t="shared" si="5"/>
        <v>0</v>
      </c>
      <c r="M74" s="154">
        <f t="shared" si="4"/>
        <v>0</v>
      </c>
      <c r="N74" s="173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ht="15.75" customHeight="1">
      <c r="A75" s="10"/>
      <c r="B75" s="174"/>
      <c r="C75" s="6"/>
      <c r="D75" s="127"/>
      <c r="E75" s="127"/>
      <c r="F75" s="175"/>
      <c r="G75" s="26">
        <v>0.0</v>
      </c>
      <c r="H75" s="176"/>
      <c r="I75" s="26">
        <f t="shared" si="1"/>
        <v>0</v>
      </c>
      <c r="J75" s="141"/>
      <c r="K75" s="154">
        <f t="shared" si="2"/>
        <v>0</v>
      </c>
      <c r="L75" s="26">
        <f t="shared" si="5"/>
        <v>0</v>
      </c>
      <c r="M75" s="154">
        <f t="shared" si="4"/>
        <v>0</v>
      </c>
      <c r="N75" s="173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ht="15.75" customHeight="1">
      <c r="A76" s="10"/>
      <c r="B76" s="174"/>
      <c r="C76" s="6"/>
      <c r="D76" s="127"/>
      <c r="E76" s="127"/>
      <c r="F76" s="175"/>
      <c r="G76" s="26">
        <v>0.0</v>
      </c>
      <c r="H76" s="176"/>
      <c r="I76" s="26">
        <f t="shared" si="1"/>
        <v>0</v>
      </c>
      <c r="J76" s="141"/>
      <c r="K76" s="154">
        <f t="shared" si="2"/>
        <v>0</v>
      </c>
      <c r="L76" s="26">
        <f t="shared" si="5"/>
        <v>0</v>
      </c>
      <c r="M76" s="154">
        <f t="shared" si="4"/>
        <v>0</v>
      </c>
      <c r="N76" s="173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ht="15.75" customHeight="1">
      <c r="A77" s="10"/>
      <c r="B77" s="174"/>
      <c r="C77" s="6"/>
      <c r="D77" s="127"/>
      <c r="E77" s="127"/>
      <c r="F77" s="175"/>
      <c r="G77" s="26">
        <v>0.0</v>
      </c>
      <c r="H77" s="176"/>
      <c r="I77" s="26">
        <f t="shared" si="1"/>
        <v>0</v>
      </c>
      <c r="J77" s="141"/>
      <c r="K77" s="154">
        <f t="shared" si="2"/>
        <v>0</v>
      </c>
      <c r="L77" s="26">
        <f t="shared" si="5"/>
        <v>0</v>
      </c>
      <c r="M77" s="154">
        <f t="shared" si="4"/>
        <v>0</v>
      </c>
      <c r="N77" s="173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ht="15.75" customHeight="1">
      <c r="A78" s="10"/>
      <c r="B78" s="174"/>
      <c r="C78" s="6"/>
      <c r="D78" s="127"/>
      <c r="E78" s="127"/>
      <c r="F78" s="175"/>
      <c r="G78" s="26">
        <v>0.0</v>
      </c>
      <c r="H78" s="176"/>
      <c r="I78" s="26">
        <f t="shared" si="1"/>
        <v>0</v>
      </c>
      <c r="J78" s="141"/>
      <c r="K78" s="154">
        <f t="shared" si="2"/>
        <v>0</v>
      </c>
      <c r="L78" s="26">
        <f t="shared" si="5"/>
        <v>0</v>
      </c>
      <c r="M78" s="154">
        <f t="shared" si="4"/>
        <v>0</v>
      </c>
      <c r="N78" s="173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ht="15.75" customHeight="1">
      <c r="A79" s="10"/>
      <c r="B79" s="174"/>
      <c r="C79" s="6"/>
      <c r="D79" s="127"/>
      <c r="E79" s="127"/>
      <c r="F79" s="175"/>
      <c r="G79" s="26">
        <v>0.0</v>
      </c>
      <c r="H79" s="176"/>
      <c r="I79" s="26">
        <f t="shared" si="1"/>
        <v>0</v>
      </c>
      <c r="J79" s="141"/>
      <c r="K79" s="154">
        <f t="shared" si="2"/>
        <v>0</v>
      </c>
      <c r="L79" s="26">
        <f t="shared" si="5"/>
        <v>0</v>
      </c>
      <c r="M79" s="154">
        <f t="shared" si="4"/>
        <v>0</v>
      </c>
      <c r="N79" s="173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ht="15.75" customHeight="1">
      <c r="A80" s="10"/>
      <c r="B80" s="174"/>
      <c r="C80" s="6"/>
      <c r="D80" s="127"/>
      <c r="E80" s="127"/>
      <c r="F80" s="175"/>
      <c r="G80" s="26">
        <v>0.0</v>
      </c>
      <c r="H80" s="176"/>
      <c r="I80" s="26">
        <f t="shared" si="1"/>
        <v>0</v>
      </c>
      <c r="J80" s="141"/>
      <c r="K80" s="154">
        <f t="shared" si="2"/>
        <v>0</v>
      </c>
      <c r="L80" s="26">
        <f t="shared" si="5"/>
        <v>0</v>
      </c>
      <c r="M80" s="154">
        <f t="shared" si="4"/>
        <v>0</v>
      </c>
      <c r="N80" s="173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ht="15.75" customHeight="1">
      <c r="A81" s="10"/>
      <c r="B81" s="174"/>
      <c r="C81" s="6"/>
      <c r="D81" s="127"/>
      <c r="E81" s="127"/>
      <c r="F81" s="175"/>
      <c r="G81" s="26">
        <v>0.0</v>
      </c>
      <c r="H81" s="176"/>
      <c r="I81" s="26">
        <f t="shared" si="1"/>
        <v>0</v>
      </c>
      <c r="J81" s="141"/>
      <c r="K81" s="154">
        <f t="shared" si="2"/>
        <v>0</v>
      </c>
      <c r="L81" s="26">
        <f t="shared" si="5"/>
        <v>0</v>
      </c>
      <c r="M81" s="154">
        <f t="shared" si="4"/>
        <v>0</v>
      </c>
      <c r="N81" s="173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ht="15.75" customHeight="1">
      <c r="A82" s="10"/>
      <c r="B82" s="174"/>
      <c r="C82" s="6"/>
      <c r="D82" s="127"/>
      <c r="E82" s="127"/>
      <c r="F82" s="175"/>
      <c r="G82" s="26">
        <v>0.0</v>
      </c>
      <c r="H82" s="176"/>
      <c r="I82" s="26">
        <f t="shared" si="1"/>
        <v>0</v>
      </c>
      <c r="J82" s="141"/>
      <c r="K82" s="154">
        <f t="shared" si="2"/>
        <v>0</v>
      </c>
      <c r="L82" s="26">
        <f t="shared" si="5"/>
        <v>0</v>
      </c>
      <c r="M82" s="154">
        <f t="shared" si="4"/>
        <v>0</v>
      </c>
      <c r="N82" s="173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ht="15.75" customHeight="1">
      <c r="A83" s="10"/>
      <c r="B83" s="174"/>
      <c r="C83" s="6"/>
      <c r="D83" s="127"/>
      <c r="E83" s="127"/>
      <c r="F83" s="175"/>
      <c r="G83" s="26">
        <v>0.0</v>
      </c>
      <c r="H83" s="176"/>
      <c r="I83" s="26">
        <f t="shared" si="1"/>
        <v>0</v>
      </c>
      <c r="J83" s="141"/>
      <c r="K83" s="154">
        <f t="shared" si="2"/>
        <v>0</v>
      </c>
      <c r="L83" s="26">
        <f t="shared" si="5"/>
        <v>0</v>
      </c>
      <c r="M83" s="154">
        <f t="shared" si="4"/>
        <v>0</v>
      </c>
      <c r="N83" s="173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ht="15.75" customHeight="1">
      <c r="A84" s="10"/>
      <c r="B84" s="174"/>
      <c r="C84" s="6"/>
      <c r="D84" s="127"/>
      <c r="E84" s="127"/>
      <c r="F84" s="175"/>
      <c r="G84" s="26">
        <v>0.0</v>
      </c>
      <c r="H84" s="176"/>
      <c r="I84" s="26">
        <f t="shared" si="1"/>
        <v>0</v>
      </c>
      <c r="J84" s="141"/>
      <c r="K84" s="154">
        <f t="shared" si="2"/>
        <v>0</v>
      </c>
      <c r="L84" s="26">
        <f t="shared" si="5"/>
        <v>0</v>
      </c>
      <c r="M84" s="154">
        <f t="shared" si="4"/>
        <v>0</v>
      </c>
      <c r="N84" s="173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ht="15.75" customHeight="1">
      <c r="A85" s="10"/>
      <c r="B85" s="174"/>
      <c r="C85" s="6"/>
      <c r="D85" s="127"/>
      <c r="E85" s="127"/>
      <c r="F85" s="175"/>
      <c r="G85" s="26">
        <v>0.0</v>
      </c>
      <c r="H85" s="176"/>
      <c r="I85" s="26">
        <f t="shared" si="1"/>
        <v>0</v>
      </c>
      <c r="J85" s="141"/>
      <c r="K85" s="154">
        <f t="shared" si="2"/>
        <v>0</v>
      </c>
      <c r="L85" s="26">
        <f t="shared" si="5"/>
        <v>0</v>
      </c>
      <c r="M85" s="154">
        <f t="shared" si="4"/>
        <v>0</v>
      </c>
      <c r="N85" s="173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ht="15.75" customHeight="1">
      <c r="A86" s="10"/>
      <c r="B86" s="174"/>
      <c r="C86" s="6"/>
      <c r="D86" s="127"/>
      <c r="E86" s="127"/>
      <c r="F86" s="175"/>
      <c r="G86" s="26">
        <v>0.0</v>
      </c>
      <c r="H86" s="176"/>
      <c r="I86" s="26">
        <f t="shared" si="1"/>
        <v>0</v>
      </c>
      <c r="J86" s="141"/>
      <c r="K86" s="154">
        <f t="shared" si="2"/>
        <v>0</v>
      </c>
      <c r="L86" s="26">
        <f t="shared" si="5"/>
        <v>0</v>
      </c>
      <c r="M86" s="154">
        <f t="shared" si="4"/>
        <v>0</v>
      </c>
      <c r="N86" s="173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ht="15.75" customHeight="1">
      <c r="A87" s="10"/>
      <c r="B87" s="174"/>
      <c r="C87" s="6"/>
      <c r="D87" s="127"/>
      <c r="E87" s="127"/>
      <c r="F87" s="175"/>
      <c r="G87" s="26">
        <v>0.0</v>
      </c>
      <c r="H87" s="176"/>
      <c r="I87" s="26">
        <f t="shared" si="1"/>
        <v>0</v>
      </c>
      <c r="J87" s="141"/>
      <c r="K87" s="154">
        <f t="shared" si="2"/>
        <v>0</v>
      </c>
      <c r="L87" s="26">
        <f t="shared" si="5"/>
        <v>0</v>
      </c>
      <c r="M87" s="154">
        <f t="shared" si="4"/>
        <v>0</v>
      </c>
      <c r="N87" s="173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ht="15.75" customHeight="1">
      <c r="A88" s="10"/>
      <c r="B88" s="174"/>
      <c r="C88" s="6"/>
      <c r="D88" s="127"/>
      <c r="E88" s="127"/>
      <c r="F88" s="175"/>
      <c r="G88" s="26">
        <v>0.0</v>
      </c>
      <c r="H88" s="176"/>
      <c r="I88" s="26">
        <f t="shared" si="1"/>
        <v>0</v>
      </c>
      <c r="J88" s="141"/>
      <c r="K88" s="154">
        <f t="shared" si="2"/>
        <v>0</v>
      </c>
      <c r="L88" s="26">
        <f t="shared" si="5"/>
        <v>0</v>
      </c>
      <c r="M88" s="154">
        <f t="shared" si="4"/>
        <v>0</v>
      </c>
      <c r="N88" s="173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ht="15.75" customHeight="1">
      <c r="A89" s="10"/>
      <c r="B89" s="174"/>
      <c r="C89" s="6"/>
      <c r="D89" s="127"/>
      <c r="E89" s="127"/>
      <c r="F89" s="175"/>
      <c r="G89" s="26">
        <v>0.0</v>
      </c>
      <c r="H89" s="176"/>
      <c r="I89" s="26">
        <f t="shared" si="1"/>
        <v>0</v>
      </c>
      <c r="J89" s="141"/>
      <c r="K89" s="154">
        <f t="shared" si="2"/>
        <v>0</v>
      </c>
      <c r="L89" s="26">
        <f t="shared" si="5"/>
        <v>0</v>
      </c>
      <c r="M89" s="154">
        <f t="shared" si="4"/>
        <v>0</v>
      </c>
      <c r="N89" s="173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ht="15.75" customHeight="1">
      <c r="A90" s="10"/>
      <c r="B90" s="174"/>
      <c r="C90" s="6"/>
      <c r="D90" s="127"/>
      <c r="E90" s="127"/>
      <c r="F90" s="175"/>
      <c r="G90" s="26">
        <v>0.0</v>
      </c>
      <c r="H90" s="176"/>
      <c r="I90" s="26">
        <f t="shared" si="1"/>
        <v>0</v>
      </c>
      <c r="J90" s="141"/>
      <c r="K90" s="154">
        <f t="shared" si="2"/>
        <v>0</v>
      </c>
      <c r="L90" s="26">
        <f t="shared" si="5"/>
        <v>0</v>
      </c>
      <c r="M90" s="154">
        <f t="shared" si="4"/>
        <v>0</v>
      </c>
      <c r="N90" s="173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ht="15.75" customHeight="1">
      <c r="A91" s="10"/>
      <c r="B91" s="174"/>
      <c r="C91" s="6"/>
      <c r="D91" s="127"/>
      <c r="E91" s="127"/>
      <c r="F91" s="175"/>
      <c r="G91" s="26">
        <v>0.0</v>
      </c>
      <c r="H91" s="176"/>
      <c r="I91" s="26">
        <f t="shared" si="1"/>
        <v>0</v>
      </c>
      <c r="J91" s="141"/>
      <c r="K91" s="154">
        <f t="shared" si="2"/>
        <v>0</v>
      </c>
      <c r="L91" s="26">
        <f t="shared" si="5"/>
        <v>0</v>
      </c>
      <c r="M91" s="154">
        <f t="shared" si="4"/>
        <v>0</v>
      </c>
      <c r="N91" s="173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ht="15.75" customHeight="1">
      <c r="A92" s="10"/>
      <c r="B92" s="174"/>
      <c r="C92" s="6"/>
      <c r="D92" s="127"/>
      <c r="E92" s="127"/>
      <c r="F92" s="175"/>
      <c r="G92" s="26">
        <v>0.0</v>
      </c>
      <c r="H92" s="176"/>
      <c r="I92" s="26">
        <f t="shared" si="1"/>
        <v>0</v>
      </c>
      <c r="J92" s="141"/>
      <c r="K92" s="154">
        <f t="shared" si="2"/>
        <v>0</v>
      </c>
      <c r="L92" s="26">
        <f t="shared" si="5"/>
        <v>0</v>
      </c>
      <c r="M92" s="154">
        <f t="shared" si="4"/>
        <v>0</v>
      </c>
      <c r="N92" s="173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ht="15.75" customHeight="1">
      <c r="A93" s="10"/>
      <c r="B93" s="174"/>
      <c r="C93" s="6"/>
      <c r="D93" s="127"/>
      <c r="E93" s="127"/>
      <c r="F93" s="175"/>
      <c r="G93" s="26">
        <v>0.0</v>
      </c>
      <c r="H93" s="176"/>
      <c r="I93" s="26">
        <f t="shared" si="1"/>
        <v>0</v>
      </c>
      <c r="J93" s="141"/>
      <c r="K93" s="154">
        <f t="shared" si="2"/>
        <v>0</v>
      </c>
      <c r="L93" s="26">
        <f t="shared" si="5"/>
        <v>0</v>
      </c>
      <c r="M93" s="154">
        <f t="shared" si="4"/>
        <v>0</v>
      </c>
      <c r="N93" s="173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ht="15.75" customHeight="1">
      <c r="A94" s="10"/>
      <c r="B94" s="174"/>
      <c r="C94" s="6"/>
      <c r="D94" s="127"/>
      <c r="E94" s="127"/>
      <c r="F94" s="175"/>
      <c r="G94" s="26">
        <v>0.0</v>
      </c>
      <c r="H94" s="176"/>
      <c r="I94" s="26">
        <f t="shared" si="1"/>
        <v>0</v>
      </c>
      <c r="J94" s="141"/>
      <c r="K94" s="154">
        <f t="shared" si="2"/>
        <v>0</v>
      </c>
      <c r="L94" s="26">
        <f t="shared" si="5"/>
        <v>0</v>
      </c>
      <c r="M94" s="154">
        <f t="shared" si="4"/>
        <v>0</v>
      </c>
      <c r="N94" s="173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ht="15.75" customHeight="1">
      <c r="A95" s="10"/>
      <c r="B95" s="174"/>
      <c r="C95" s="6"/>
      <c r="D95" s="127"/>
      <c r="E95" s="127"/>
      <c r="F95" s="175"/>
      <c r="G95" s="26">
        <v>0.0</v>
      </c>
      <c r="H95" s="176"/>
      <c r="I95" s="26">
        <f t="shared" si="1"/>
        <v>0</v>
      </c>
      <c r="J95" s="141"/>
      <c r="K95" s="154">
        <f t="shared" si="2"/>
        <v>0</v>
      </c>
      <c r="L95" s="26">
        <f t="shared" si="5"/>
        <v>0</v>
      </c>
      <c r="M95" s="154">
        <f t="shared" si="4"/>
        <v>0</v>
      </c>
      <c r="N95" s="173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ht="15.75" customHeight="1">
      <c r="A96" s="10"/>
      <c r="B96" s="174"/>
      <c r="C96" s="6"/>
      <c r="D96" s="127"/>
      <c r="E96" s="127"/>
      <c r="F96" s="175"/>
      <c r="G96" s="26">
        <v>0.0</v>
      </c>
      <c r="H96" s="176"/>
      <c r="I96" s="154">
        <f t="shared" si="1"/>
        <v>0</v>
      </c>
      <c r="J96" s="141"/>
      <c r="K96" s="154">
        <f t="shared" si="2"/>
        <v>0</v>
      </c>
      <c r="L96" s="26">
        <f t="shared" si="5"/>
        <v>0</v>
      </c>
      <c r="M96" s="154">
        <f t="shared" si="4"/>
        <v>0</v>
      </c>
      <c r="N96" s="173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ht="15.75" customHeight="1">
      <c r="A97" s="10"/>
      <c r="B97" s="174"/>
      <c r="C97" s="6"/>
      <c r="D97" s="127"/>
      <c r="E97" s="127"/>
      <c r="F97" s="175"/>
      <c r="G97" s="26">
        <v>0.0</v>
      </c>
      <c r="H97" s="176"/>
      <c r="I97" s="154">
        <f t="shared" si="1"/>
        <v>0</v>
      </c>
      <c r="J97" s="141"/>
      <c r="K97" s="154">
        <f t="shared" si="2"/>
        <v>0</v>
      </c>
      <c r="L97" s="26">
        <f t="shared" si="5"/>
        <v>0</v>
      </c>
      <c r="M97" s="154">
        <f t="shared" si="4"/>
        <v>0</v>
      </c>
      <c r="N97" s="173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ht="15.75" customHeight="1">
      <c r="A98" s="10"/>
      <c r="B98" s="174"/>
      <c r="C98" s="6"/>
      <c r="D98" s="127"/>
      <c r="E98" s="127"/>
      <c r="F98" s="175"/>
      <c r="G98" s="26">
        <v>0.0</v>
      </c>
      <c r="H98" s="176"/>
      <c r="I98" s="154">
        <f t="shared" si="1"/>
        <v>0</v>
      </c>
      <c r="J98" s="141"/>
      <c r="K98" s="154">
        <f t="shared" si="2"/>
        <v>0</v>
      </c>
      <c r="L98" s="26">
        <f t="shared" si="5"/>
        <v>0</v>
      </c>
      <c r="M98" s="154">
        <f t="shared" si="4"/>
        <v>0</v>
      </c>
      <c r="N98" s="173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ht="15.75" customHeight="1">
      <c r="A99" s="10"/>
      <c r="B99" s="174"/>
      <c r="C99" s="6"/>
      <c r="D99" s="127"/>
      <c r="E99" s="127"/>
      <c r="F99" s="175"/>
      <c r="G99" s="26">
        <v>0.0</v>
      </c>
      <c r="H99" s="176"/>
      <c r="I99" s="154">
        <f t="shared" si="1"/>
        <v>0</v>
      </c>
      <c r="J99" s="141"/>
      <c r="K99" s="154">
        <f t="shared" si="2"/>
        <v>0</v>
      </c>
      <c r="L99" s="26">
        <f t="shared" si="5"/>
        <v>0</v>
      </c>
      <c r="M99" s="154">
        <f t="shared" si="4"/>
        <v>0</v>
      </c>
      <c r="N99" s="173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ht="15.75" customHeight="1">
      <c r="A100" s="10"/>
      <c r="B100" s="174"/>
      <c r="C100" s="6"/>
      <c r="D100" s="127"/>
      <c r="E100" s="127"/>
      <c r="F100" s="175"/>
      <c r="G100" s="26">
        <v>0.0</v>
      </c>
      <c r="H100" s="176"/>
      <c r="I100" s="154">
        <f t="shared" si="1"/>
        <v>0</v>
      </c>
      <c r="J100" s="141"/>
      <c r="K100" s="154">
        <f t="shared" si="2"/>
        <v>0</v>
      </c>
      <c r="L100" s="26">
        <f t="shared" si="5"/>
        <v>0</v>
      </c>
      <c r="M100" s="154">
        <f t="shared" si="4"/>
        <v>0</v>
      </c>
      <c r="N100" s="173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ht="15.75" customHeight="1">
      <c r="A101" s="10"/>
      <c r="B101" s="174"/>
      <c r="C101" s="6"/>
      <c r="D101" s="127"/>
      <c r="E101" s="127"/>
      <c r="F101" s="175"/>
      <c r="G101" s="26">
        <v>0.0</v>
      </c>
      <c r="H101" s="176"/>
      <c r="I101" s="154">
        <f t="shared" si="1"/>
        <v>0</v>
      </c>
      <c r="J101" s="141"/>
      <c r="K101" s="154">
        <f t="shared" si="2"/>
        <v>0</v>
      </c>
      <c r="L101" s="26">
        <f t="shared" si="5"/>
        <v>0</v>
      </c>
      <c r="M101" s="154">
        <f t="shared" si="4"/>
        <v>0</v>
      </c>
      <c r="N101" s="173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ht="15.75" customHeight="1">
      <c r="A102" s="10"/>
      <c r="B102" s="174"/>
      <c r="C102" s="6"/>
      <c r="D102" s="127"/>
      <c r="E102" s="127"/>
      <c r="F102" s="175"/>
      <c r="G102" s="26">
        <v>0.0</v>
      </c>
      <c r="H102" s="176"/>
      <c r="I102" s="154">
        <f t="shared" si="1"/>
        <v>0</v>
      </c>
      <c r="J102" s="141"/>
      <c r="K102" s="154">
        <f t="shared" si="2"/>
        <v>0</v>
      </c>
      <c r="L102" s="26">
        <f t="shared" si="5"/>
        <v>0</v>
      </c>
      <c r="M102" s="154">
        <f t="shared" si="4"/>
        <v>0</v>
      </c>
      <c r="N102" s="173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ht="15.75" customHeight="1">
      <c r="A103" s="10"/>
      <c r="B103" s="174"/>
      <c r="C103" s="6"/>
      <c r="D103" s="127"/>
      <c r="E103" s="127"/>
      <c r="F103" s="175"/>
      <c r="G103" s="26">
        <v>0.0</v>
      </c>
      <c r="H103" s="176"/>
      <c r="I103" s="154">
        <f t="shared" si="1"/>
        <v>0</v>
      </c>
      <c r="J103" s="141"/>
      <c r="K103" s="154">
        <f t="shared" si="2"/>
        <v>0</v>
      </c>
      <c r="L103" s="26">
        <f t="shared" si="5"/>
        <v>0</v>
      </c>
      <c r="M103" s="154">
        <f t="shared" si="4"/>
        <v>0</v>
      </c>
      <c r="N103" s="173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ht="15.75" customHeight="1">
      <c r="A104" s="10"/>
      <c r="B104" s="174"/>
      <c r="C104" s="6"/>
      <c r="D104" s="127"/>
      <c r="E104" s="127"/>
      <c r="F104" s="175"/>
      <c r="G104" s="26">
        <v>0.0</v>
      </c>
      <c r="H104" s="176"/>
      <c r="I104" s="154">
        <f t="shared" si="1"/>
        <v>0</v>
      </c>
      <c r="J104" s="141"/>
      <c r="K104" s="154">
        <f t="shared" si="2"/>
        <v>0</v>
      </c>
      <c r="L104" s="26">
        <f t="shared" si="5"/>
        <v>0</v>
      </c>
      <c r="M104" s="154">
        <f t="shared" si="4"/>
        <v>0</v>
      </c>
      <c r="N104" s="173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ht="15.75" customHeight="1">
      <c r="A105" s="10"/>
      <c r="B105" s="174"/>
      <c r="C105" s="6"/>
      <c r="D105" s="127"/>
      <c r="E105" s="127"/>
      <c r="F105" s="175"/>
      <c r="G105" s="26">
        <v>0.0</v>
      </c>
      <c r="H105" s="176"/>
      <c r="I105" s="154">
        <f t="shared" si="1"/>
        <v>0</v>
      </c>
      <c r="J105" s="141"/>
      <c r="K105" s="154">
        <f t="shared" si="2"/>
        <v>0</v>
      </c>
      <c r="L105" s="26">
        <f t="shared" si="5"/>
        <v>0</v>
      </c>
      <c r="M105" s="154">
        <f t="shared" si="4"/>
        <v>0</v>
      </c>
      <c r="N105" s="173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ht="15.75" customHeight="1">
      <c r="A106" s="10"/>
      <c r="B106" s="174"/>
      <c r="C106" s="6"/>
      <c r="D106" s="127"/>
      <c r="E106" s="127"/>
      <c r="F106" s="175"/>
      <c r="G106" s="26">
        <v>0.0</v>
      </c>
      <c r="H106" s="176"/>
      <c r="I106" s="154">
        <f t="shared" si="1"/>
        <v>0</v>
      </c>
      <c r="J106" s="141"/>
      <c r="K106" s="154">
        <f t="shared" si="2"/>
        <v>0</v>
      </c>
      <c r="L106" s="26">
        <f t="shared" si="5"/>
        <v>0</v>
      </c>
      <c r="M106" s="154">
        <f t="shared" si="4"/>
        <v>0</v>
      </c>
      <c r="N106" s="173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ht="15.75" customHeight="1">
      <c r="A107" s="10"/>
      <c r="B107" s="174"/>
      <c r="C107" s="6"/>
      <c r="D107" s="127"/>
      <c r="E107" s="127"/>
      <c r="F107" s="175"/>
      <c r="G107" s="26">
        <v>0.0</v>
      </c>
      <c r="H107" s="176"/>
      <c r="I107" s="154">
        <f t="shared" si="1"/>
        <v>0</v>
      </c>
      <c r="J107" s="141"/>
      <c r="K107" s="154">
        <f t="shared" si="2"/>
        <v>0</v>
      </c>
      <c r="L107" s="26">
        <f t="shared" si="5"/>
        <v>0</v>
      </c>
      <c r="M107" s="154">
        <f t="shared" si="4"/>
        <v>0</v>
      </c>
      <c r="N107" s="173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ht="15.75" customHeight="1">
      <c r="A108" s="10"/>
      <c r="B108" s="174"/>
      <c r="C108" s="6"/>
      <c r="D108" s="127"/>
      <c r="E108" s="127"/>
      <c r="F108" s="175"/>
      <c r="G108" s="26">
        <v>0.0</v>
      </c>
      <c r="H108" s="176"/>
      <c r="I108" s="154">
        <f t="shared" si="1"/>
        <v>0</v>
      </c>
      <c r="J108" s="141"/>
      <c r="K108" s="154">
        <f t="shared" si="2"/>
        <v>0</v>
      </c>
      <c r="L108" s="26">
        <f t="shared" si="5"/>
        <v>0</v>
      </c>
      <c r="M108" s="154">
        <f t="shared" si="4"/>
        <v>0</v>
      </c>
      <c r="N108" s="173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ht="15.75" customHeight="1">
      <c r="A109" s="10"/>
      <c r="B109" s="174"/>
      <c r="C109" s="6"/>
      <c r="D109" s="127"/>
      <c r="E109" s="127"/>
      <c r="F109" s="175"/>
      <c r="G109" s="26">
        <v>0.0</v>
      </c>
      <c r="H109" s="176"/>
      <c r="I109" s="154">
        <f t="shared" si="1"/>
        <v>0</v>
      </c>
      <c r="J109" s="141"/>
      <c r="K109" s="154">
        <f t="shared" si="2"/>
        <v>0</v>
      </c>
      <c r="L109" s="26">
        <f t="shared" si="5"/>
        <v>0</v>
      </c>
      <c r="M109" s="154">
        <f t="shared" si="4"/>
        <v>0</v>
      </c>
      <c r="N109" s="173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ht="15.75" customHeight="1">
      <c r="A110" s="10"/>
      <c r="B110" s="174"/>
      <c r="C110" s="6"/>
      <c r="D110" s="127"/>
      <c r="E110" s="127"/>
      <c r="F110" s="175"/>
      <c r="G110" s="26">
        <v>0.0</v>
      </c>
      <c r="H110" s="176"/>
      <c r="I110" s="154">
        <f t="shared" si="1"/>
        <v>0</v>
      </c>
      <c r="J110" s="141"/>
      <c r="K110" s="154">
        <f t="shared" si="2"/>
        <v>0</v>
      </c>
      <c r="L110" s="26">
        <f t="shared" si="5"/>
        <v>0</v>
      </c>
      <c r="M110" s="154">
        <f t="shared" si="4"/>
        <v>0</v>
      </c>
      <c r="N110" s="173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ht="15.75" customHeight="1">
      <c r="A111" s="10"/>
      <c r="B111" s="174"/>
      <c r="C111" s="6"/>
      <c r="D111" s="127"/>
      <c r="E111" s="127"/>
      <c r="F111" s="175"/>
      <c r="G111" s="26">
        <v>0.0</v>
      </c>
      <c r="H111" s="176"/>
      <c r="I111" s="154">
        <f t="shared" si="1"/>
        <v>0</v>
      </c>
      <c r="J111" s="141"/>
      <c r="K111" s="154">
        <f t="shared" si="2"/>
        <v>0</v>
      </c>
      <c r="L111" s="26">
        <f t="shared" si="5"/>
        <v>0</v>
      </c>
      <c r="M111" s="154">
        <f t="shared" si="4"/>
        <v>0</v>
      </c>
      <c r="N111" s="173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ht="15.75" customHeight="1">
      <c r="A112" s="10"/>
      <c r="B112" s="174"/>
      <c r="C112" s="6"/>
      <c r="D112" s="127"/>
      <c r="E112" s="127"/>
      <c r="F112" s="175"/>
      <c r="G112" s="26">
        <v>0.0</v>
      </c>
      <c r="H112" s="176"/>
      <c r="I112" s="154">
        <f t="shared" si="1"/>
        <v>0</v>
      </c>
      <c r="J112" s="141"/>
      <c r="K112" s="154">
        <f t="shared" si="2"/>
        <v>0</v>
      </c>
      <c r="L112" s="26">
        <f t="shared" si="5"/>
        <v>0</v>
      </c>
      <c r="M112" s="154">
        <f t="shared" si="4"/>
        <v>0</v>
      </c>
      <c r="N112" s="173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ht="15.75" customHeight="1">
      <c r="A113" s="10"/>
      <c r="B113" s="174"/>
      <c r="C113" s="6"/>
      <c r="D113" s="127"/>
      <c r="E113" s="127"/>
      <c r="F113" s="175"/>
      <c r="G113" s="26">
        <v>0.0</v>
      </c>
      <c r="H113" s="176"/>
      <c r="I113" s="154">
        <f t="shared" si="1"/>
        <v>0</v>
      </c>
      <c r="J113" s="141"/>
      <c r="K113" s="154">
        <f t="shared" si="2"/>
        <v>0</v>
      </c>
      <c r="L113" s="26">
        <f t="shared" si="5"/>
        <v>0</v>
      </c>
      <c r="M113" s="154">
        <f t="shared" si="4"/>
        <v>0</v>
      </c>
      <c r="N113" s="173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ht="15.75" customHeight="1">
      <c r="A114" s="10"/>
      <c r="B114" s="174"/>
      <c r="C114" s="6"/>
      <c r="D114" s="127"/>
      <c r="E114" s="127"/>
      <c r="F114" s="175"/>
      <c r="G114" s="26">
        <v>0.0</v>
      </c>
      <c r="H114" s="176"/>
      <c r="I114" s="154">
        <f t="shared" si="1"/>
        <v>0</v>
      </c>
      <c r="J114" s="141"/>
      <c r="K114" s="154">
        <f t="shared" si="2"/>
        <v>0</v>
      </c>
      <c r="L114" s="26">
        <f t="shared" si="5"/>
        <v>0</v>
      </c>
      <c r="M114" s="154">
        <f t="shared" si="4"/>
        <v>0</v>
      </c>
      <c r="N114" s="173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ht="15.75" customHeight="1">
      <c r="A115" s="10"/>
      <c r="B115" s="174"/>
      <c r="C115" s="6"/>
      <c r="D115" s="127"/>
      <c r="E115" s="127"/>
      <c r="F115" s="175"/>
      <c r="G115" s="26">
        <v>0.0</v>
      </c>
      <c r="H115" s="176"/>
      <c r="I115" s="154">
        <f t="shared" si="1"/>
        <v>0</v>
      </c>
      <c r="J115" s="141"/>
      <c r="K115" s="154">
        <f t="shared" si="2"/>
        <v>0</v>
      </c>
      <c r="L115" s="26">
        <f t="shared" si="5"/>
        <v>0</v>
      </c>
      <c r="M115" s="154">
        <f t="shared" si="4"/>
        <v>0</v>
      </c>
      <c r="N115" s="173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ht="15.75" customHeight="1">
      <c r="A116" s="10"/>
      <c r="B116" s="174"/>
      <c r="C116" s="6"/>
      <c r="D116" s="127"/>
      <c r="E116" s="127"/>
      <c r="F116" s="175"/>
      <c r="G116" s="26">
        <v>0.0</v>
      </c>
      <c r="H116" s="176"/>
      <c r="I116" s="154">
        <f t="shared" si="1"/>
        <v>0</v>
      </c>
      <c r="J116" s="141"/>
      <c r="K116" s="154">
        <f t="shared" si="2"/>
        <v>0</v>
      </c>
      <c r="L116" s="26">
        <f t="shared" si="5"/>
        <v>0</v>
      </c>
      <c r="M116" s="154">
        <f t="shared" si="4"/>
        <v>0</v>
      </c>
      <c r="N116" s="173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ht="15.75" customHeight="1">
      <c r="A117" s="10"/>
      <c r="B117" s="174"/>
      <c r="C117" s="6"/>
      <c r="D117" s="127"/>
      <c r="E117" s="127"/>
      <c r="F117" s="175"/>
      <c r="G117" s="26">
        <v>0.0</v>
      </c>
      <c r="H117" s="176"/>
      <c r="I117" s="154">
        <f t="shared" si="1"/>
        <v>0</v>
      </c>
      <c r="J117" s="141"/>
      <c r="K117" s="154">
        <f t="shared" si="2"/>
        <v>0</v>
      </c>
      <c r="L117" s="26">
        <f t="shared" si="5"/>
        <v>0</v>
      </c>
      <c r="M117" s="154">
        <f t="shared" si="4"/>
        <v>0</v>
      </c>
      <c r="N117" s="173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ht="15.75" customHeight="1">
      <c r="A118" s="10"/>
      <c r="B118" s="174"/>
      <c r="C118" s="6"/>
      <c r="D118" s="127"/>
      <c r="E118" s="127"/>
      <c r="F118" s="175"/>
      <c r="G118" s="26">
        <v>0.0</v>
      </c>
      <c r="H118" s="176"/>
      <c r="I118" s="154">
        <f t="shared" si="1"/>
        <v>0</v>
      </c>
      <c r="J118" s="141"/>
      <c r="K118" s="154">
        <f t="shared" si="2"/>
        <v>0</v>
      </c>
      <c r="L118" s="26">
        <f t="shared" si="5"/>
        <v>0</v>
      </c>
      <c r="M118" s="154">
        <f t="shared" si="4"/>
        <v>0</v>
      </c>
      <c r="N118" s="173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ht="15.75" customHeight="1">
      <c r="A119" s="10"/>
      <c r="B119" s="174"/>
      <c r="C119" s="6"/>
      <c r="D119" s="127"/>
      <c r="E119" s="127"/>
      <c r="F119" s="175"/>
      <c r="G119" s="26">
        <v>0.0</v>
      </c>
      <c r="H119" s="176"/>
      <c r="I119" s="154">
        <f t="shared" si="1"/>
        <v>0</v>
      </c>
      <c r="J119" s="141"/>
      <c r="K119" s="154">
        <f t="shared" si="2"/>
        <v>0</v>
      </c>
      <c r="L119" s="26">
        <f t="shared" si="5"/>
        <v>0</v>
      </c>
      <c r="M119" s="154">
        <f t="shared" si="4"/>
        <v>0</v>
      </c>
      <c r="N119" s="173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ht="15.75" customHeight="1">
      <c r="A120" s="10"/>
      <c r="B120" s="174"/>
      <c r="C120" s="6"/>
      <c r="D120" s="127"/>
      <c r="E120" s="127"/>
      <c r="F120" s="175"/>
      <c r="G120" s="26">
        <v>0.0</v>
      </c>
      <c r="H120" s="176"/>
      <c r="I120" s="154">
        <f t="shared" si="1"/>
        <v>0</v>
      </c>
      <c r="J120" s="141"/>
      <c r="K120" s="154">
        <f t="shared" si="2"/>
        <v>0</v>
      </c>
      <c r="L120" s="26">
        <f t="shared" si="5"/>
        <v>0</v>
      </c>
      <c r="M120" s="154">
        <f t="shared" si="4"/>
        <v>0</v>
      </c>
      <c r="N120" s="173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ht="15.75" customHeight="1">
      <c r="A121" s="10"/>
      <c r="B121" s="174"/>
      <c r="C121" s="6"/>
      <c r="D121" s="127"/>
      <c r="E121" s="127"/>
      <c r="F121" s="175"/>
      <c r="G121" s="26">
        <v>0.0</v>
      </c>
      <c r="H121" s="176"/>
      <c r="I121" s="154">
        <f t="shared" si="1"/>
        <v>0</v>
      </c>
      <c r="J121" s="141"/>
      <c r="K121" s="154">
        <f t="shared" si="2"/>
        <v>0</v>
      </c>
      <c r="L121" s="26">
        <f t="shared" si="5"/>
        <v>0</v>
      </c>
      <c r="M121" s="154">
        <f t="shared" si="4"/>
        <v>0</v>
      </c>
      <c r="N121" s="173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ht="15.75" customHeight="1">
      <c r="A122" s="10"/>
      <c r="B122" s="174"/>
      <c r="C122" s="6"/>
      <c r="D122" s="127"/>
      <c r="E122" s="127"/>
      <c r="F122" s="175"/>
      <c r="G122" s="26">
        <v>0.0</v>
      </c>
      <c r="H122" s="176"/>
      <c r="I122" s="154">
        <f t="shared" si="1"/>
        <v>0</v>
      </c>
      <c r="J122" s="141"/>
      <c r="K122" s="154">
        <f t="shared" si="2"/>
        <v>0</v>
      </c>
      <c r="L122" s="26">
        <f t="shared" si="5"/>
        <v>0</v>
      </c>
      <c r="M122" s="154">
        <f t="shared" si="4"/>
        <v>0</v>
      </c>
      <c r="N122" s="173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ht="15.75" customHeight="1">
      <c r="A123" s="10"/>
      <c r="B123" s="174"/>
      <c r="C123" s="6"/>
      <c r="D123" s="127"/>
      <c r="E123" s="127"/>
      <c r="F123" s="175"/>
      <c r="G123" s="26">
        <v>0.0</v>
      </c>
      <c r="H123" s="176"/>
      <c r="I123" s="154">
        <f t="shared" si="1"/>
        <v>0</v>
      </c>
      <c r="J123" s="141"/>
      <c r="K123" s="154">
        <f t="shared" si="2"/>
        <v>0</v>
      </c>
      <c r="L123" s="26">
        <f t="shared" si="5"/>
        <v>0</v>
      </c>
      <c r="M123" s="154">
        <f t="shared" si="4"/>
        <v>0</v>
      </c>
      <c r="N123" s="173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ht="15.75" customHeight="1">
      <c r="A124" s="10"/>
      <c r="B124" s="174"/>
      <c r="C124" s="6"/>
      <c r="D124" s="127"/>
      <c r="E124" s="127"/>
      <c r="F124" s="175"/>
      <c r="G124" s="26">
        <v>0.0</v>
      </c>
      <c r="H124" s="176"/>
      <c r="I124" s="154">
        <f t="shared" si="1"/>
        <v>0</v>
      </c>
      <c r="J124" s="141"/>
      <c r="K124" s="154">
        <f t="shared" si="2"/>
        <v>0</v>
      </c>
      <c r="L124" s="26">
        <f t="shared" si="5"/>
        <v>0</v>
      </c>
      <c r="M124" s="154">
        <f t="shared" si="4"/>
        <v>0</v>
      </c>
      <c r="N124" s="173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ht="15.75" customHeight="1">
      <c r="A125" s="10"/>
      <c r="B125" s="174"/>
      <c r="C125" s="6"/>
      <c r="D125" s="127"/>
      <c r="E125" s="127"/>
      <c r="F125" s="175"/>
      <c r="G125" s="26">
        <v>0.0</v>
      </c>
      <c r="H125" s="176"/>
      <c r="I125" s="154">
        <f t="shared" si="1"/>
        <v>0</v>
      </c>
      <c r="J125" s="141"/>
      <c r="K125" s="154">
        <f t="shared" si="2"/>
        <v>0</v>
      </c>
      <c r="L125" s="26">
        <f t="shared" si="5"/>
        <v>0</v>
      </c>
      <c r="M125" s="154">
        <f t="shared" si="4"/>
        <v>0</v>
      </c>
      <c r="N125" s="173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ht="15.75" customHeight="1">
      <c r="A126" s="10"/>
      <c r="B126" s="174"/>
      <c r="C126" s="6"/>
      <c r="D126" s="127"/>
      <c r="E126" s="127"/>
      <c r="F126" s="175"/>
      <c r="G126" s="26">
        <v>0.0</v>
      </c>
      <c r="H126" s="176"/>
      <c r="I126" s="154">
        <f t="shared" si="1"/>
        <v>0</v>
      </c>
      <c r="J126" s="141"/>
      <c r="K126" s="154">
        <f t="shared" si="2"/>
        <v>0</v>
      </c>
      <c r="L126" s="26">
        <f t="shared" si="5"/>
        <v>0</v>
      </c>
      <c r="M126" s="154">
        <f t="shared" si="4"/>
        <v>0</v>
      </c>
      <c r="N126" s="173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ht="15.75" customHeight="1">
      <c r="A127" s="10"/>
      <c r="B127" s="174"/>
      <c r="C127" s="6"/>
      <c r="D127" s="127"/>
      <c r="E127" s="127"/>
      <c r="F127" s="175"/>
      <c r="G127" s="26">
        <v>0.0</v>
      </c>
      <c r="H127" s="176"/>
      <c r="I127" s="154">
        <f t="shared" si="1"/>
        <v>0</v>
      </c>
      <c r="J127" s="141"/>
      <c r="K127" s="154">
        <f t="shared" si="2"/>
        <v>0</v>
      </c>
      <c r="L127" s="26">
        <f t="shared" si="5"/>
        <v>0</v>
      </c>
      <c r="M127" s="154">
        <f t="shared" si="4"/>
        <v>0</v>
      </c>
      <c r="N127" s="173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ht="15.75" customHeight="1">
      <c r="A128" s="10"/>
      <c r="B128" s="174"/>
      <c r="C128" s="6"/>
      <c r="D128" s="127"/>
      <c r="E128" s="127"/>
      <c r="F128" s="175"/>
      <c r="G128" s="26">
        <v>0.0</v>
      </c>
      <c r="H128" s="176"/>
      <c r="I128" s="154">
        <f t="shared" si="1"/>
        <v>0</v>
      </c>
      <c r="J128" s="141"/>
      <c r="K128" s="154">
        <f t="shared" si="2"/>
        <v>0</v>
      </c>
      <c r="L128" s="26">
        <f t="shared" si="5"/>
        <v>0</v>
      </c>
      <c r="M128" s="154">
        <f t="shared" si="4"/>
        <v>0</v>
      </c>
      <c r="N128" s="173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ht="15.75" customHeight="1">
      <c r="A129" s="10"/>
      <c r="B129" s="174"/>
      <c r="C129" s="6"/>
      <c r="D129" s="127"/>
      <c r="E129" s="127"/>
      <c r="F129" s="175"/>
      <c r="G129" s="26">
        <v>0.0</v>
      </c>
      <c r="H129" s="176"/>
      <c r="I129" s="154">
        <f t="shared" si="1"/>
        <v>0</v>
      </c>
      <c r="J129" s="141"/>
      <c r="K129" s="154">
        <f t="shared" si="2"/>
        <v>0</v>
      </c>
      <c r="L129" s="26">
        <f t="shared" si="5"/>
        <v>0</v>
      </c>
      <c r="M129" s="154">
        <f t="shared" si="4"/>
        <v>0</v>
      </c>
      <c r="N129" s="173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ht="15.75" customHeight="1">
      <c r="A130" s="10"/>
      <c r="B130" s="174"/>
      <c r="C130" s="6"/>
      <c r="D130" s="127"/>
      <c r="E130" s="127"/>
      <c r="F130" s="175"/>
      <c r="G130" s="26">
        <v>0.0</v>
      </c>
      <c r="H130" s="176"/>
      <c r="I130" s="154">
        <f t="shared" si="1"/>
        <v>0</v>
      </c>
      <c r="J130" s="141"/>
      <c r="K130" s="154">
        <f t="shared" si="2"/>
        <v>0</v>
      </c>
      <c r="L130" s="26">
        <f t="shared" si="5"/>
        <v>0</v>
      </c>
      <c r="M130" s="154">
        <f t="shared" si="4"/>
        <v>0</v>
      </c>
      <c r="N130" s="173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ht="15.75" customHeight="1">
      <c r="A131" s="10"/>
      <c r="B131" s="174"/>
      <c r="C131" s="6"/>
      <c r="D131" s="127"/>
      <c r="E131" s="127"/>
      <c r="F131" s="175"/>
      <c r="G131" s="26">
        <v>0.0</v>
      </c>
      <c r="H131" s="176"/>
      <c r="I131" s="154">
        <f t="shared" si="1"/>
        <v>0</v>
      </c>
      <c r="J131" s="141"/>
      <c r="K131" s="154">
        <f t="shared" si="2"/>
        <v>0</v>
      </c>
      <c r="L131" s="26">
        <f t="shared" si="5"/>
        <v>0</v>
      </c>
      <c r="M131" s="154">
        <f t="shared" si="4"/>
        <v>0</v>
      </c>
      <c r="N131" s="173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ht="15.75" customHeight="1">
      <c r="A132" s="10"/>
      <c r="B132" s="174"/>
      <c r="C132" s="6"/>
      <c r="D132" s="127"/>
      <c r="E132" s="127"/>
      <c r="F132" s="175"/>
      <c r="G132" s="26">
        <v>0.0</v>
      </c>
      <c r="H132" s="176"/>
      <c r="I132" s="154">
        <f t="shared" si="1"/>
        <v>0</v>
      </c>
      <c r="J132" s="141"/>
      <c r="K132" s="154">
        <f t="shared" si="2"/>
        <v>0</v>
      </c>
      <c r="L132" s="26">
        <f t="shared" si="5"/>
        <v>0</v>
      </c>
      <c r="M132" s="154">
        <f t="shared" si="4"/>
        <v>0</v>
      </c>
      <c r="N132" s="173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ht="15.75" customHeight="1">
      <c r="A133" s="10"/>
      <c r="B133" s="174"/>
      <c r="C133" s="6"/>
      <c r="D133" s="127"/>
      <c r="E133" s="127"/>
      <c r="F133" s="175"/>
      <c r="G133" s="26">
        <v>0.0</v>
      </c>
      <c r="H133" s="176"/>
      <c r="I133" s="154">
        <f t="shared" si="1"/>
        <v>0</v>
      </c>
      <c r="J133" s="141"/>
      <c r="K133" s="154">
        <f t="shared" si="2"/>
        <v>0</v>
      </c>
      <c r="L133" s="26">
        <f t="shared" si="5"/>
        <v>0</v>
      </c>
      <c r="M133" s="154">
        <f t="shared" si="4"/>
        <v>0</v>
      </c>
      <c r="N133" s="173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ht="15.75" customHeight="1">
      <c r="A134" s="10"/>
      <c r="B134" s="174"/>
      <c r="C134" s="6"/>
      <c r="D134" s="127"/>
      <c r="E134" s="127"/>
      <c r="F134" s="175"/>
      <c r="G134" s="26">
        <v>0.0</v>
      </c>
      <c r="H134" s="176"/>
      <c r="I134" s="154">
        <f t="shared" si="1"/>
        <v>0</v>
      </c>
      <c r="J134" s="141"/>
      <c r="K134" s="154">
        <f t="shared" si="2"/>
        <v>0</v>
      </c>
      <c r="L134" s="26">
        <f t="shared" si="5"/>
        <v>0</v>
      </c>
      <c r="M134" s="154">
        <f t="shared" si="4"/>
        <v>0</v>
      </c>
      <c r="N134" s="173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ht="15.75" customHeight="1">
      <c r="A135" s="10"/>
      <c r="B135" s="174"/>
      <c r="C135" s="6"/>
      <c r="D135" s="127"/>
      <c r="E135" s="127"/>
      <c r="F135" s="175"/>
      <c r="G135" s="26">
        <v>0.0</v>
      </c>
      <c r="H135" s="176"/>
      <c r="I135" s="154">
        <f t="shared" si="1"/>
        <v>0</v>
      </c>
      <c r="J135" s="141"/>
      <c r="K135" s="154">
        <f t="shared" si="2"/>
        <v>0</v>
      </c>
      <c r="L135" s="26">
        <f t="shared" si="5"/>
        <v>0</v>
      </c>
      <c r="M135" s="154">
        <f t="shared" si="4"/>
        <v>0</v>
      </c>
      <c r="N135" s="173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ht="15.75" customHeight="1">
      <c r="A136" s="10"/>
      <c r="B136" s="174"/>
      <c r="C136" s="6"/>
      <c r="D136" s="127"/>
      <c r="E136" s="127"/>
      <c r="F136" s="175"/>
      <c r="G136" s="26">
        <v>0.0</v>
      </c>
      <c r="H136" s="176"/>
      <c r="I136" s="154">
        <f t="shared" si="1"/>
        <v>0</v>
      </c>
      <c r="J136" s="141"/>
      <c r="K136" s="154">
        <f t="shared" si="2"/>
        <v>0</v>
      </c>
      <c r="L136" s="26">
        <f t="shared" si="5"/>
        <v>0</v>
      </c>
      <c r="M136" s="154">
        <f t="shared" si="4"/>
        <v>0</v>
      </c>
      <c r="N136" s="173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ht="15.75" customHeight="1">
      <c r="A137" s="10"/>
      <c r="B137" s="174"/>
      <c r="C137" s="6"/>
      <c r="D137" s="127"/>
      <c r="E137" s="127"/>
      <c r="F137" s="175"/>
      <c r="G137" s="26">
        <v>0.0</v>
      </c>
      <c r="H137" s="176"/>
      <c r="I137" s="154">
        <f t="shared" si="1"/>
        <v>0</v>
      </c>
      <c r="J137" s="141"/>
      <c r="K137" s="154">
        <f t="shared" si="2"/>
        <v>0</v>
      </c>
      <c r="L137" s="26">
        <f t="shared" si="5"/>
        <v>0</v>
      </c>
      <c r="M137" s="154">
        <f t="shared" si="4"/>
        <v>0</v>
      </c>
      <c r="N137" s="173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ht="15.75" customHeight="1">
      <c r="A138" s="10"/>
      <c r="B138" s="174"/>
      <c r="C138" s="6"/>
      <c r="D138" s="127"/>
      <c r="E138" s="127"/>
      <c r="F138" s="175"/>
      <c r="G138" s="26">
        <v>0.0</v>
      </c>
      <c r="H138" s="176"/>
      <c r="I138" s="154">
        <f t="shared" si="1"/>
        <v>0</v>
      </c>
      <c r="J138" s="141"/>
      <c r="K138" s="154">
        <f t="shared" si="2"/>
        <v>0</v>
      </c>
      <c r="L138" s="26">
        <f t="shared" si="5"/>
        <v>0</v>
      </c>
      <c r="M138" s="154">
        <f t="shared" si="4"/>
        <v>0</v>
      </c>
      <c r="N138" s="173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ht="15.75" customHeight="1">
      <c r="A139" s="10"/>
      <c r="B139" s="174"/>
      <c r="C139" s="6"/>
      <c r="D139" s="127"/>
      <c r="E139" s="127"/>
      <c r="F139" s="175"/>
      <c r="G139" s="26">
        <v>0.0</v>
      </c>
      <c r="H139" s="176"/>
      <c r="I139" s="154">
        <f t="shared" si="1"/>
        <v>0</v>
      </c>
      <c r="J139" s="141"/>
      <c r="K139" s="154">
        <f t="shared" si="2"/>
        <v>0</v>
      </c>
      <c r="L139" s="26">
        <f t="shared" si="5"/>
        <v>0</v>
      </c>
      <c r="M139" s="154">
        <f t="shared" si="4"/>
        <v>0</v>
      </c>
      <c r="N139" s="173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ht="15.75" customHeight="1">
      <c r="A140" s="10"/>
      <c r="B140" s="174"/>
      <c r="C140" s="6"/>
      <c r="D140" s="127"/>
      <c r="E140" s="127"/>
      <c r="F140" s="175"/>
      <c r="G140" s="26">
        <v>0.0</v>
      </c>
      <c r="H140" s="176"/>
      <c r="I140" s="154">
        <f t="shared" si="1"/>
        <v>0</v>
      </c>
      <c r="J140" s="141"/>
      <c r="K140" s="154">
        <f t="shared" si="2"/>
        <v>0</v>
      </c>
      <c r="L140" s="26">
        <f t="shared" si="5"/>
        <v>0</v>
      </c>
      <c r="M140" s="154">
        <f t="shared" si="4"/>
        <v>0</v>
      </c>
      <c r="N140" s="173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ht="15.75" customHeight="1">
      <c r="A141" s="10"/>
      <c r="B141" s="174"/>
      <c r="C141" s="6"/>
      <c r="D141" s="127"/>
      <c r="E141" s="127"/>
      <c r="F141" s="175"/>
      <c r="G141" s="26">
        <v>0.0</v>
      </c>
      <c r="H141" s="176"/>
      <c r="I141" s="154">
        <f t="shared" si="1"/>
        <v>0</v>
      </c>
      <c r="J141" s="141"/>
      <c r="K141" s="154">
        <f t="shared" si="2"/>
        <v>0</v>
      </c>
      <c r="L141" s="26">
        <f t="shared" si="5"/>
        <v>0</v>
      </c>
      <c r="M141" s="154">
        <f t="shared" si="4"/>
        <v>0</v>
      </c>
      <c r="N141" s="173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ht="15.75" customHeight="1">
      <c r="A142" s="10"/>
      <c r="B142" s="174"/>
      <c r="C142" s="6"/>
      <c r="D142" s="127"/>
      <c r="E142" s="127"/>
      <c r="F142" s="175"/>
      <c r="G142" s="26">
        <v>0.0</v>
      </c>
      <c r="H142" s="176"/>
      <c r="I142" s="154">
        <f t="shared" si="1"/>
        <v>0</v>
      </c>
      <c r="J142" s="141"/>
      <c r="K142" s="154">
        <f t="shared" si="2"/>
        <v>0</v>
      </c>
      <c r="L142" s="26">
        <f t="shared" si="5"/>
        <v>0</v>
      </c>
      <c r="M142" s="154">
        <f t="shared" si="4"/>
        <v>0</v>
      </c>
      <c r="N142" s="173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ht="15.75" customHeight="1">
      <c r="A143" s="10"/>
      <c r="B143" s="174"/>
      <c r="C143" s="6"/>
      <c r="D143" s="127"/>
      <c r="E143" s="127"/>
      <c r="F143" s="175"/>
      <c r="G143" s="26">
        <v>0.0</v>
      </c>
      <c r="H143" s="176"/>
      <c r="I143" s="154">
        <f t="shared" si="1"/>
        <v>0</v>
      </c>
      <c r="J143" s="141"/>
      <c r="K143" s="154">
        <f t="shared" si="2"/>
        <v>0</v>
      </c>
      <c r="L143" s="26">
        <f t="shared" si="5"/>
        <v>0</v>
      </c>
      <c r="M143" s="154">
        <f t="shared" si="4"/>
        <v>0</v>
      </c>
      <c r="N143" s="173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ht="15.75" customHeight="1">
      <c r="A144" s="10"/>
      <c r="B144" s="174"/>
      <c r="C144" s="6"/>
      <c r="D144" s="127"/>
      <c r="E144" s="127"/>
      <c r="F144" s="175"/>
      <c r="G144" s="26">
        <v>0.0</v>
      </c>
      <c r="H144" s="176"/>
      <c r="I144" s="154">
        <f t="shared" si="1"/>
        <v>0</v>
      </c>
      <c r="J144" s="141"/>
      <c r="K144" s="154">
        <f t="shared" si="2"/>
        <v>0</v>
      </c>
      <c r="L144" s="26">
        <f t="shared" si="5"/>
        <v>0</v>
      </c>
      <c r="M144" s="154">
        <f t="shared" si="4"/>
        <v>0</v>
      </c>
      <c r="N144" s="173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ht="15.75" customHeight="1">
      <c r="A145" s="10"/>
      <c r="B145" s="174"/>
      <c r="C145" s="6"/>
      <c r="D145" s="127"/>
      <c r="E145" s="127"/>
      <c r="F145" s="175"/>
      <c r="G145" s="26">
        <v>0.0</v>
      </c>
      <c r="H145" s="176"/>
      <c r="I145" s="154">
        <f t="shared" si="1"/>
        <v>0</v>
      </c>
      <c r="J145" s="141"/>
      <c r="K145" s="154">
        <f t="shared" si="2"/>
        <v>0</v>
      </c>
      <c r="L145" s="26">
        <f t="shared" si="5"/>
        <v>0</v>
      </c>
      <c r="M145" s="154">
        <f t="shared" si="4"/>
        <v>0</v>
      </c>
      <c r="N145" s="173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ht="15.75" customHeight="1">
      <c r="A146" s="10"/>
      <c r="B146" s="174"/>
      <c r="C146" s="6"/>
      <c r="D146" s="127"/>
      <c r="E146" s="127"/>
      <c r="F146" s="175"/>
      <c r="G146" s="26">
        <v>0.0</v>
      </c>
      <c r="H146" s="176"/>
      <c r="I146" s="154">
        <f t="shared" si="1"/>
        <v>0</v>
      </c>
      <c r="J146" s="141"/>
      <c r="K146" s="154">
        <f t="shared" si="2"/>
        <v>0</v>
      </c>
      <c r="L146" s="26">
        <f t="shared" si="5"/>
        <v>0</v>
      </c>
      <c r="M146" s="154">
        <f t="shared" si="4"/>
        <v>0</v>
      </c>
      <c r="N146" s="173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ht="15.75" customHeight="1">
      <c r="A147" s="10"/>
      <c r="B147" s="174"/>
      <c r="C147" s="6"/>
      <c r="D147" s="127"/>
      <c r="E147" s="127"/>
      <c r="F147" s="175"/>
      <c r="G147" s="26">
        <v>0.0</v>
      </c>
      <c r="H147" s="176"/>
      <c r="I147" s="154">
        <f t="shared" si="1"/>
        <v>0</v>
      </c>
      <c r="J147" s="141"/>
      <c r="K147" s="154">
        <f t="shared" si="2"/>
        <v>0</v>
      </c>
      <c r="L147" s="26">
        <f t="shared" si="5"/>
        <v>0</v>
      </c>
      <c r="M147" s="154">
        <f t="shared" si="4"/>
        <v>0</v>
      </c>
      <c r="N147" s="173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ht="15.75" customHeight="1">
      <c r="A148" s="10"/>
      <c r="B148" s="174"/>
      <c r="C148" s="6"/>
      <c r="D148" s="127"/>
      <c r="E148" s="127"/>
      <c r="F148" s="175"/>
      <c r="G148" s="26">
        <v>0.0</v>
      </c>
      <c r="H148" s="176"/>
      <c r="I148" s="154">
        <f t="shared" si="1"/>
        <v>0</v>
      </c>
      <c r="J148" s="141"/>
      <c r="K148" s="154">
        <f t="shared" si="2"/>
        <v>0</v>
      </c>
      <c r="L148" s="26">
        <f t="shared" si="5"/>
        <v>0</v>
      </c>
      <c r="M148" s="154">
        <f t="shared" si="4"/>
        <v>0</v>
      </c>
      <c r="N148" s="173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ht="15.75" customHeight="1">
      <c r="A149" s="10"/>
      <c r="B149" s="174"/>
      <c r="C149" s="6"/>
      <c r="D149" s="127"/>
      <c r="E149" s="127"/>
      <c r="F149" s="175"/>
      <c r="G149" s="26">
        <v>0.0</v>
      </c>
      <c r="H149" s="176"/>
      <c r="I149" s="154">
        <f t="shared" si="1"/>
        <v>0</v>
      </c>
      <c r="J149" s="141"/>
      <c r="K149" s="154">
        <f t="shared" si="2"/>
        <v>0</v>
      </c>
      <c r="L149" s="26">
        <f t="shared" si="5"/>
        <v>0</v>
      </c>
      <c r="M149" s="154">
        <f t="shared" si="4"/>
        <v>0</v>
      </c>
      <c r="N149" s="173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ht="15.75" customHeight="1">
      <c r="A150" s="10"/>
      <c r="B150" s="174"/>
      <c r="C150" s="6"/>
      <c r="D150" s="127"/>
      <c r="E150" s="127"/>
      <c r="F150" s="175"/>
      <c r="G150" s="26">
        <v>0.0</v>
      </c>
      <c r="H150" s="176"/>
      <c r="I150" s="154">
        <f t="shared" si="1"/>
        <v>0</v>
      </c>
      <c r="J150" s="141"/>
      <c r="K150" s="154">
        <f t="shared" si="2"/>
        <v>0</v>
      </c>
      <c r="L150" s="26">
        <f t="shared" si="5"/>
        <v>0</v>
      </c>
      <c r="M150" s="154">
        <f t="shared" si="4"/>
        <v>0</v>
      </c>
      <c r="N150" s="173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ht="15.75" customHeight="1">
      <c r="A151" s="10"/>
      <c r="B151" s="174"/>
      <c r="C151" s="6"/>
      <c r="D151" s="127"/>
      <c r="E151" s="127"/>
      <c r="F151" s="175"/>
      <c r="G151" s="26">
        <v>0.0</v>
      </c>
      <c r="H151" s="176"/>
      <c r="I151" s="154">
        <f t="shared" si="1"/>
        <v>0</v>
      </c>
      <c r="J151" s="141"/>
      <c r="K151" s="154">
        <f t="shared" si="2"/>
        <v>0</v>
      </c>
      <c r="L151" s="26">
        <f t="shared" si="5"/>
        <v>0</v>
      </c>
      <c r="M151" s="154">
        <f t="shared" si="4"/>
        <v>0</v>
      </c>
      <c r="N151" s="173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ht="15.75" customHeight="1">
      <c r="A152" s="10"/>
      <c r="B152" s="174"/>
      <c r="C152" s="6"/>
      <c r="D152" s="127"/>
      <c r="E152" s="127"/>
      <c r="F152" s="175"/>
      <c r="G152" s="26">
        <v>0.0</v>
      </c>
      <c r="H152" s="176"/>
      <c r="I152" s="154">
        <f t="shared" si="1"/>
        <v>0</v>
      </c>
      <c r="J152" s="141"/>
      <c r="K152" s="154">
        <f t="shared" si="2"/>
        <v>0</v>
      </c>
      <c r="L152" s="26">
        <f t="shared" si="5"/>
        <v>0</v>
      </c>
      <c r="M152" s="154">
        <f t="shared" si="4"/>
        <v>0</v>
      </c>
      <c r="N152" s="173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ht="15.75" customHeight="1">
      <c r="A153" s="10"/>
      <c r="B153" s="174"/>
      <c r="C153" s="6"/>
      <c r="D153" s="127"/>
      <c r="E153" s="127"/>
      <c r="F153" s="175"/>
      <c r="G153" s="26">
        <v>0.0</v>
      </c>
      <c r="H153" s="176"/>
      <c r="I153" s="154">
        <f t="shared" si="1"/>
        <v>0</v>
      </c>
      <c r="J153" s="141"/>
      <c r="K153" s="154">
        <f t="shared" si="2"/>
        <v>0</v>
      </c>
      <c r="L153" s="26">
        <f t="shared" si="5"/>
        <v>0</v>
      </c>
      <c r="M153" s="154">
        <f t="shared" si="4"/>
        <v>0</v>
      </c>
      <c r="N153" s="173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ht="15.75" customHeight="1">
      <c r="A154" s="10"/>
      <c r="B154" s="174"/>
      <c r="C154" s="6"/>
      <c r="D154" s="127"/>
      <c r="E154" s="127"/>
      <c r="F154" s="175"/>
      <c r="G154" s="26">
        <v>0.0</v>
      </c>
      <c r="H154" s="176"/>
      <c r="I154" s="154">
        <f t="shared" si="1"/>
        <v>0</v>
      </c>
      <c r="J154" s="141"/>
      <c r="K154" s="154">
        <f t="shared" si="2"/>
        <v>0</v>
      </c>
      <c r="L154" s="26">
        <f t="shared" si="5"/>
        <v>0</v>
      </c>
      <c r="M154" s="154">
        <f t="shared" si="4"/>
        <v>0</v>
      </c>
      <c r="N154" s="173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ht="15.75" customHeight="1">
      <c r="A155" s="10"/>
      <c r="B155" s="174"/>
      <c r="C155" s="6"/>
      <c r="D155" s="127"/>
      <c r="E155" s="127"/>
      <c r="F155" s="175"/>
      <c r="G155" s="26">
        <v>0.0</v>
      </c>
      <c r="H155" s="176"/>
      <c r="I155" s="154">
        <f t="shared" si="1"/>
        <v>0</v>
      </c>
      <c r="J155" s="141"/>
      <c r="K155" s="154">
        <f t="shared" si="2"/>
        <v>0</v>
      </c>
      <c r="L155" s="26">
        <f t="shared" si="5"/>
        <v>0</v>
      </c>
      <c r="M155" s="154">
        <f t="shared" si="4"/>
        <v>0</v>
      </c>
      <c r="N155" s="173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ht="15.75" customHeight="1">
      <c r="A156" s="10"/>
      <c r="B156" s="174"/>
      <c r="C156" s="6"/>
      <c r="D156" s="127"/>
      <c r="E156" s="127"/>
      <c r="F156" s="175"/>
      <c r="G156" s="26">
        <v>0.0</v>
      </c>
      <c r="H156" s="176"/>
      <c r="I156" s="154">
        <f t="shared" si="1"/>
        <v>0</v>
      </c>
      <c r="J156" s="141"/>
      <c r="K156" s="154">
        <f t="shared" si="2"/>
        <v>0</v>
      </c>
      <c r="L156" s="26">
        <f t="shared" si="5"/>
        <v>0</v>
      </c>
      <c r="M156" s="154">
        <f t="shared" si="4"/>
        <v>0</v>
      </c>
      <c r="N156" s="173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ht="15.75" customHeight="1">
      <c r="A157" s="10"/>
      <c r="B157" s="174"/>
      <c r="C157" s="6"/>
      <c r="D157" s="127"/>
      <c r="E157" s="127"/>
      <c r="F157" s="175"/>
      <c r="G157" s="26">
        <v>0.0</v>
      </c>
      <c r="H157" s="176"/>
      <c r="I157" s="154">
        <f t="shared" si="1"/>
        <v>0</v>
      </c>
      <c r="J157" s="141"/>
      <c r="K157" s="154">
        <f t="shared" si="2"/>
        <v>0</v>
      </c>
      <c r="L157" s="26">
        <f t="shared" si="5"/>
        <v>0</v>
      </c>
      <c r="M157" s="154">
        <f t="shared" si="4"/>
        <v>0</v>
      </c>
      <c r="N157" s="173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ht="15.75" customHeight="1">
      <c r="A158" s="10"/>
      <c r="B158" s="174"/>
      <c r="C158" s="6"/>
      <c r="D158" s="127"/>
      <c r="E158" s="127"/>
      <c r="F158" s="175"/>
      <c r="G158" s="26">
        <v>0.0</v>
      </c>
      <c r="H158" s="176"/>
      <c r="I158" s="154">
        <f t="shared" si="1"/>
        <v>0</v>
      </c>
      <c r="J158" s="141"/>
      <c r="K158" s="154">
        <f t="shared" si="2"/>
        <v>0</v>
      </c>
      <c r="L158" s="26">
        <f t="shared" si="5"/>
        <v>0</v>
      </c>
      <c r="M158" s="154">
        <f t="shared" si="4"/>
        <v>0</v>
      </c>
      <c r="N158" s="173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ht="15.75" customHeight="1">
      <c r="A159" s="10"/>
      <c r="B159" s="174"/>
      <c r="C159" s="6"/>
      <c r="D159" s="127"/>
      <c r="E159" s="127"/>
      <c r="F159" s="175"/>
      <c r="G159" s="26">
        <v>0.0</v>
      </c>
      <c r="H159" s="176"/>
      <c r="I159" s="154">
        <f t="shared" si="1"/>
        <v>0</v>
      </c>
      <c r="J159" s="141"/>
      <c r="K159" s="154">
        <f t="shared" si="2"/>
        <v>0</v>
      </c>
      <c r="L159" s="26">
        <f t="shared" si="5"/>
        <v>0</v>
      </c>
      <c r="M159" s="154">
        <f t="shared" si="4"/>
        <v>0</v>
      </c>
      <c r="N159" s="173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ht="15.75" customHeight="1">
      <c r="A160" s="10"/>
      <c r="B160" s="174"/>
      <c r="C160" s="6"/>
      <c r="D160" s="127"/>
      <c r="E160" s="127"/>
      <c r="F160" s="175"/>
      <c r="G160" s="26">
        <v>0.0</v>
      </c>
      <c r="H160" s="176"/>
      <c r="I160" s="154">
        <f t="shared" si="1"/>
        <v>0</v>
      </c>
      <c r="J160" s="141"/>
      <c r="K160" s="154">
        <f t="shared" si="2"/>
        <v>0</v>
      </c>
      <c r="L160" s="26">
        <f t="shared" si="5"/>
        <v>0</v>
      </c>
      <c r="M160" s="154">
        <f t="shared" si="4"/>
        <v>0</v>
      </c>
      <c r="N160" s="173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ht="15.75" customHeight="1">
      <c r="A161" s="10"/>
      <c r="B161" s="174"/>
      <c r="C161" s="6"/>
      <c r="D161" s="127"/>
      <c r="E161" s="127"/>
      <c r="F161" s="175"/>
      <c r="G161" s="26">
        <v>0.0</v>
      </c>
      <c r="H161" s="176"/>
      <c r="I161" s="154">
        <f t="shared" si="1"/>
        <v>0</v>
      </c>
      <c r="J161" s="141"/>
      <c r="K161" s="154">
        <f t="shared" si="2"/>
        <v>0</v>
      </c>
      <c r="L161" s="26">
        <f t="shared" si="5"/>
        <v>0</v>
      </c>
      <c r="M161" s="154">
        <f t="shared" si="4"/>
        <v>0</v>
      </c>
      <c r="N161" s="173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ht="15.75" customHeight="1">
      <c r="A162" s="10"/>
      <c r="B162" s="174"/>
      <c r="C162" s="6"/>
      <c r="D162" s="127"/>
      <c r="E162" s="127"/>
      <c r="F162" s="175"/>
      <c r="G162" s="26">
        <v>0.0</v>
      </c>
      <c r="H162" s="176"/>
      <c r="I162" s="154">
        <f t="shared" si="1"/>
        <v>0</v>
      </c>
      <c r="J162" s="141"/>
      <c r="K162" s="154">
        <f t="shared" si="2"/>
        <v>0</v>
      </c>
      <c r="L162" s="26">
        <f t="shared" si="5"/>
        <v>0</v>
      </c>
      <c r="M162" s="154">
        <f t="shared" si="4"/>
        <v>0</v>
      </c>
      <c r="N162" s="173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ht="15.75" customHeight="1">
      <c r="A163" s="10"/>
      <c r="B163" s="174"/>
      <c r="C163" s="6"/>
      <c r="D163" s="127"/>
      <c r="E163" s="127"/>
      <c r="F163" s="175"/>
      <c r="G163" s="26">
        <v>0.0</v>
      </c>
      <c r="H163" s="176"/>
      <c r="I163" s="154">
        <f t="shared" si="1"/>
        <v>0</v>
      </c>
      <c r="J163" s="141"/>
      <c r="K163" s="154">
        <f t="shared" si="2"/>
        <v>0</v>
      </c>
      <c r="L163" s="26">
        <f t="shared" si="5"/>
        <v>0</v>
      </c>
      <c r="M163" s="154">
        <f t="shared" si="4"/>
        <v>0</v>
      </c>
      <c r="N163" s="173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ht="15.75" customHeight="1">
      <c r="A164" s="10"/>
      <c r="B164" s="174"/>
      <c r="C164" s="6"/>
      <c r="D164" s="127"/>
      <c r="E164" s="127"/>
      <c r="F164" s="175"/>
      <c r="G164" s="26">
        <v>0.0</v>
      </c>
      <c r="H164" s="176"/>
      <c r="I164" s="154">
        <f t="shared" si="1"/>
        <v>0</v>
      </c>
      <c r="J164" s="141"/>
      <c r="K164" s="154">
        <f t="shared" si="2"/>
        <v>0</v>
      </c>
      <c r="L164" s="26">
        <f t="shared" si="5"/>
        <v>0</v>
      </c>
      <c r="M164" s="154">
        <f t="shared" si="4"/>
        <v>0</v>
      </c>
      <c r="N164" s="173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ht="15.75" customHeight="1">
      <c r="A165" s="10"/>
      <c r="B165" s="174"/>
      <c r="C165" s="6"/>
      <c r="D165" s="127"/>
      <c r="E165" s="127"/>
      <c r="F165" s="175"/>
      <c r="G165" s="26">
        <v>0.0</v>
      </c>
      <c r="H165" s="176"/>
      <c r="I165" s="154">
        <f t="shared" si="1"/>
        <v>0</v>
      </c>
      <c r="J165" s="141"/>
      <c r="K165" s="154">
        <f t="shared" si="2"/>
        <v>0</v>
      </c>
      <c r="L165" s="26">
        <f t="shared" si="5"/>
        <v>0</v>
      </c>
      <c r="M165" s="154">
        <f t="shared" si="4"/>
        <v>0</v>
      </c>
      <c r="N165" s="173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ht="15.75" customHeight="1">
      <c r="A166" s="10"/>
      <c r="B166" s="174"/>
      <c r="C166" s="6"/>
      <c r="D166" s="127"/>
      <c r="E166" s="127"/>
      <c r="F166" s="175"/>
      <c r="G166" s="26">
        <v>0.0</v>
      </c>
      <c r="H166" s="176"/>
      <c r="I166" s="154">
        <f t="shared" si="1"/>
        <v>0</v>
      </c>
      <c r="J166" s="141"/>
      <c r="K166" s="154">
        <f t="shared" si="2"/>
        <v>0</v>
      </c>
      <c r="L166" s="26">
        <f t="shared" si="5"/>
        <v>0</v>
      </c>
      <c r="M166" s="154">
        <f t="shared" si="4"/>
        <v>0</v>
      </c>
      <c r="N166" s="173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ht="15.75" customHeight="1">
      <c r="A167" s="10"/>
      <c r="B167" s="174"/>
      <c r="C167" s="6"/>
      <c r="D167" s="127"/>
      <c r="E167" s="127"/>
      <c r="F167" s="175"/>
      <c r="G167" s="26">
        <v>0.0</v>
      </c>
      <c r="H167" s="176"/>
      <c r="I167" s="154">
        <f t="shared" si="1"/>
        <v>0</v>
      </c>
      <c r="J167" s="141"/>
      <c r="K167" s="154">
        <f t="shared" si="2"/>
        <v>0</v>
      </c>
      <c r="L167" s="26">
        <f t="shared" si="5"/>
        <v>0</v>
      </c>
      <c r="M167" s="154">
        <f t="shared" si="4"/>
        <v>0</v>
      </c>
      <c r="N167" s="173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ht="15.75" customHeight="1">
      <c r="A168" s="10"/>
      <c r="B168" s="174"/>
      <c r="C168" s="6"/>
      <c r="D168" s="127"/>
      <c r="E168" s="127"/>
      <c r="F168" s="175"/>
      <c r="G168" s="26">
        <v>0.0</v>
      </c>
      <c r="H168" s="176"/>
      <c r="I168" s="154">
        <f t="shared" si="1"/>
        <v>0</v>
      </c>
      <c r="J168" s="141"/>
      <c r="K168" s="154">
        <f t="shared" si="2"/>
        <v>0</v>
      </c>
      <c r="L168" s="26">
        <f t="shared" si="5"/>
        <v>0</v>
      </c>
      <c r="M168" s="154">
        <f t="shared" si="4"/>
        <v>0</v>
      </c>
      <c r="N168" s="173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ht="15.75" customHeight="1">
      <c r="A169" s="10"/>
      <c r="B169" s="174"/>
      <c r="C169" s="6"/>
      <c r="D169" s="127"/>
      <c r="E169" s="127"/>
      <c r="F169" s="175"/>
      <c r="G169" s="26">
        <v>0.0</v>
      </c>
      <c r="H169" s="176"/>
      <c r="I169" s="154">
        <f t="shared" si="1"/>
        <v>0</v>
      </c>
      <c r="J169" s="141"/>
      <c r="K169" s="154">
        <f t="shared" si="2"/>
        <v>0</v>
      </c>
      <c r="L169" s="26">
        <f t="shared" si="5"/>
        <v>0</v>
      </c>
      <c r="M169" s="154">
        <f t="shared" si="4"/>
        <v>0</v>
      </c>
      <c r="N169" s="173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ht="15.75" customHeight="1">
      <c r="A170" s="10"/>
      <c r="B170" s="174"/>
      <c r="C170" s="6"/>
      <c r="D170" s="127"/>
      <c r="E170" s="127"/>
      <c r="F170" s="175"/>
      <c r="G170" s="26">
        <v>0.0</v>
      </c>
      <c r="H170" s="176"/>
      <c r="I170" s="154">
        <f t="shared" si="1"/>
        <v>0</v>
      </c>
      <c r="J170" s="141"/>
      <c r="K170" s="154">
        <f t="shared" si="2"/>
        <v>0</v>
      </c>
      <c r="L170" s="26">
        <f t="shared" si="5"/>
        <v>0</v>
      </c>
      <c r="M170" s="154">
        <f t="shared" si="4"/>
        <v>0</v>
      </c>
      <c r="N170" s="173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ht="15.75" customHeight="1">
      <c r="A171" s="10"/>
      <c r="B171" s="174"/>
      <c r="C171" s="6"/>
      <c r="D171" s="127"/>
      <c r="E171" s="127"/>
      <c r="F171" s="175"/>
      <c r="G171" s="26">
        <v>0.0</v>
      </c>
      <c r="H171" s="176"/>
      <c r="I171" s="154">
        <f t="shared" si="1"/>
        <v>0</v>
      </c>
      <c r="J171" s="141"/>
      <c r="K171" s="154">
        <f t="shared" si="2"/>
        <v>0</v>
      </c>
      <c r="L171" s="26">
        <f t="shared" si="5"/>
        <v>0</v>
      </c>
      <c r="M171" s="154">
        <f t="shared" si="4"/>
        <v>0</v>
      </c>
      <c r="N171" s="173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ht="15.75" customHeight="1">
      <c r="A172" s="10"/>
      <c r="B172" s="174"/>
      <c r="C172" s="6"/>
      <c r="D172" s="127"/>
      <c r="E172" s="127"/>
      <c r="F172" s="175"/>
      <c r="G172" s="26">
        <v>0.0</v>
      </c>
      <c r="H172" s="176"/>
      <c r="I172" s="154">
        <f t="shared" si="1"/>
        <v>0</v>
      </c>
      <c r="J172" s="141"/>
      <c r="K172" s="154">
        <f t="shared" si="2"/>
        <v>0</v>
      </c>
      <c r="L172" s="26">
        <f t="shared" si="5"/>
        <v>0</v>
      </c>
      <c r="M172" s="154">
        <f t="shared" si="4"/>
        <v>0</v>
      </c>
      <c r="N172" s="173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ht="15.75" customHeight="1">
      <c r="A173" s="10"/>
      <c r="B173" s="174"/>
      <c r="C173" s="6"/>
      <c r="D173" s="127"/>
      <c r="E173" s="127"/>
      <c r="F173" s="175"/>
      <c r="G173" s="26">
        <v>0.0</v>
      </c>
      <c r="H173" s="176"/>
      <c r="I173" s="154">
        <f t="shared" si="1"/>
        <v>0</v>
      </c>
      <c r="J173" s="141"/>
      <c r="K173" s="154">
        <f t="shared" si="2"/>
        <v>0</v>
      </c>
      <c r="L173" s="26">
        <f t="shared" si="5"/>
        <v>0</v>
      </c>
      <c r="M173" s="154">
        <f t="shared" si="4"/>
        <v>0</v>
      </c>
      <c r="N173" s="173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ht="15.75" customHeight="1">
      <c r="A174" s="10"/>
      <c r="B174" s="174"/>
      <c r="C174" s="6"/>
      <c r="D174" s="127"/>
      <c r="E174" s="127"/>
      <c r="F174" s="175"/>
      <c r="G174" s="26">
        <v>0.0</v>
      </c>
      <c r="H174" s="176"/>
      <c r="I174" s="154">
        <f t="shared" si="1"/>
        <v>0</v>
      </c>
      <c r="J174" s="141"/>
      <c r="K174" s="154">
        <f t="shared" si="2"/>
        <v>0</v>
      </c>
      <c r="L174" s="26">
        <f t="shared" si="5"/>
        <v>0</v>
      </c>
      <c r="M174" s="154">
        <f t="shared" si="4"/>
        <v>0</v>
      </c>
      <c r="N174" s="173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ht="15.75" customHeight="1">
      <c r="A175" s="10"/>
      <c r="B175" s="174"/>
      <c r="C175" s="6"/>
      <c r="D175" s="127"/>
      <c r="E175" s="127"/>
      <c r="F175" s="175"/>
      <c r="G175" s="26">
        <v>0.0</v>
      </c>
      <c r="H175" s="176"/>
      <c r="I175" s="154">
        <f t="shared" si="1"/>
        <v>0</v>
      </c>
      <c r="J175" s="141"/>
      <c r="K175" s="154">
        <f t="shared" si="2"/>
        <v>0</v>
      </c>
      <c r="L175" s="26">
        <f t="shared" si="5"/>
        <v>0</v>
      </c>
      <c r="M175" s="154">
        <f t="shared" si="4"/>
        <v>0</v>
      </c>
      <c r="N175" s="173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ht="15.75" customHeight="1">
      <c r="A176" s="10"/>
      <c r="B176" s="174"/>
      <c r="C176" s="6"/>
      <c r="D176" s="127"/>
      <c r="E176" s="127"/>
      <c r="F176" s="175"/>
      <c r="G176" s="26">
        <v>0.0</v>
      </c>
      <c r="H176" s="176"/>
      <c r="I176" s="154">
        <f t="shared" si="1"/>
        <v>0</v>
      </c>
      <c r="J176" s="141"/>
      <c r="K176" s="154">
        <f t="shared" si="2"/>
        <v>0</v>
      </c>
      <c r="L176" s="26">
        <f t="shared" si="5"/>
        <v>0</v>
      </c>
      <c r="M176" s="154">
        <f t="shared" si="4"/>
        <v>0</v>
      </c>
      <c r="N176" s="173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ht="15.75" customHeight="1">
      <c r="A177" s="10"/>
      <c r="B177" s="174"/>
      <c r="C177" s="6"/>
      <c r="D177" s="127"/>
      <c r="E177" s="127"/>
      <c r="F177" s="175"/>
      <c r="G177" s="26">
        <v>0.0</v>
      </c>
      <c r="H177" s="176"/>
      <c r="I177" s="154">
        <f t="shared" si="1"/>
        <v>0</v>
      </c>
      <c r="J177" s="141"/>
      <c r="K177" s="154">
        <f t="shared" si="2"/>
        <v>0</v>
      </c>
      <c r="L177" s="26">
        <f t="shared" si="5"/>
        <v>0</v>
      </c>
      <c r="M177" s="154">
        <f t="shared" si="4"/>
        <v>0</v>
      </c>
      <c r="N177" s="173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ht="15.75" customHeight="1">
      <c r="A178" s="10"/>
      <c r="B178" s="174"/>
      <c r="C178" s="6"/>
      <c r="D178" s="127"/>
      <c r="E178" s="127"/>
      <c r="F178" s="175"/>
      <c r="G178" s="26">
        <v>0.0</v>
      </c>
      <c r="H178" s="176"/>
      <c r="I178" s="154">
        <f t="shared" si="1"/>
        <v>0</v>
      </c>
      <c r="J178" s="141"/>
      <c r="K178" s="154">
        <f t="shared" si="2"/>
        <v>0</v>
      </c>
      <c r="L178" s="26">
        <f t="shared" si="5"/>
        <v>0</v>
      </c>
      <c r="M178" s="154">
        <f t="shared" si="4"/>
        <v>0</v>
      </c>
      <c r="N178" s="173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ht="15.75" customHeight="1">
      <c r="A179" s="10"/>
      <c r="B179" s="174"/>
      <c r="C179" s="6"/>
      <c r="D179" s="127"/>
      <c r="E179" s="127"/>
      <c r="F179" s="175"/>
      <c r="G179" s="26">
        <v>0.0</v>
      </c>
      <c r="H179" s="176"/>
      <c r="I179" s="154">
        <f t="shared" si="1"/>
        <v>0</v>
      </c>
      <c r="J179" s="141"/>
      <c r="K179" s="154">
        <f t="shared" si="2"/>
        <v>0</v>
      </c>
      <c r="L179" s="26">
        <f t="shared" si="5"/>
        <v>0</v>
      </c>
      <c r="M179" s="154">
        <f t="shared" si="4"/>
        <v>0</v>
      </c>
      <c r="N179" s="173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ht="15.75" customHeight="1">
      <c r="A180" s="10"/>
      <c r="B180" s="174"/>
      <c r="C180" s="6"/>
      <c r="D180" s="127"/>
      <c r="E180" s="127"/>
      <c r="F180" s="175"/>
      <c r="G180" s="26">
        <v>0.0</v>
      </c>
      <c r="H180" s="176"/>
      <c r="I180" s="154">
        <f t="shared" si="1"/>
        <v>0</v>
      </c>
      <c r="J180" s="141"/>
      <c r="K180" s="154">
        <f t="shared" si="2"/>
        <v>0</v>
      </c>
      <c r="L180" s="26">
        <f t="shared" si="5"/>
        <v>0</v>
      </c>
      <c r="M180" s="154">
        <f t="shared" si="4"/>
        <v>0</v>
      </c>
      <c r="N180" s="173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ht="15.75" customHeight="1">
      <c r="A181" s="10"/>
      <c r="B181" s="174"/>
      <c r="C181" s="6"/>
      <c r="D181" s="127"/>
      <c r="E181" s="127"/>
      <c r="F181" s="175"/>
      <c r="G181" s="26">
        <v>0.0</v>
      </c>
      <c r="H181" s="176"/>
      <c r="I181" s="154">
        <f t="shared" si="1"/>
        <v>0</v>
      </c>
      <c r="J181" s="141"/>
      <c r="K181" s="154">
        <f t="shared" si="2"/>
        <v>0</v>
      </c>
      <c r="L181" s="26">
        <f t="shared" si="5"/>
        <v>0</v>
      </c>
      <c r="M181" s="154">
        <f t="shared" si="4"/>
        <v>0</v>
      </c>
      <c r="N181" s="173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ht="15.75" customHeight="1">
      <c r="A182" s="10"/>
      <c r="B182" s="174"/>
      <c r="C182" s="6"/>
      <c r="D182" s="127"/>
      <c r="E182" s="127"/>
      <c r="F182" s="175"/>
      <c r="G182" s="26">
        <v>0.0</v>
      </c>
      <c r="H182" s="176"/>
      <c r="I182" s="154">
        <f t="shared" si="1"/>
        <v>0</v>
      </c>
      <c r="J182" s="141"/>
      <c r="K182" s="154">
        <f t="shared" si="2"/>
        <v>0</v>
      </c>
      <c r="L182" s="26">
        <f t="shared" si="5"/>
        <v>0</v>
      </c>
      <c r="M182" s="154">
        <f t="shared" si="4"/>
        <v>0</v>
      </c>
      <c r="N182" s="173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ht="15.75" customHeight="1">
      <c r="A183" s="10"/>
      <c r="B183" s="174"/>
      <c r="C183" s="6"/>
      <c r="D183" s="127"/>
      <c r="E183" s="127"/>
      <c r="F183" s="175"/>
      <c r="G183" s="26">
        <v>0.0</v>
      </c>
      <c r="H183" s="176"/>
      <c r="I183" s="154">
        <f t="shared" si="1"/>
        <v>0</v>
      </c>
      <c r="J183" s="141"/>
      <c r="K183" s="154">
        <f t="shared" si="2"/>
        <v>0</v>
      </c>
      <c r="L183" s="26">
        <f t="shared" si="5"/>
        <v>0</v>
      </c>
      <c r="M183" s="154">
        <f t="shared" si="4"/>
        <v>0</v>
      </c>
      <c r="N183" s="173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ht="15.75" customHeight="1">
      <c r="A184" s="10"/>
      <c r="B184" s="174"/>
      <c r="C184" s="6"/>
      <c r="D184" s="127"/>
      <c r="E184" s="127"/>
      <c r="F184" s="175"/>
      <c r="G184" s="26">
        <v>0.0</v>
      </c>
      <c r="H184" s="176"/>
      <c r="I184" s="154">
        <f t="shared" si="1"/>
        <v>0</v>
      </c>
      <c r="J184" s="141"/>
      <c r="K184" s="154">
        <f t="shared" si="2"/>
        <v>0</v>
      </c>
      <c r="L184" s="26">
        <f t="shared" si="5"/>
        <v>0</v>
      </c>
      <c r="M184" s="154">
        <f t="shared" si="4"/>
        <v>0</v>
      </c>
      <c r="N184" s="173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ht="15.75" customHeight="1">
      <c r="A185" s="10"/>
      <c r="B185" s="174"/>
      <c r="C185" s="6"/>
      <c r="D185" s="127"/>
      <c r="E185" s="127"/>
      <c r="F185" s="175"/>
      <c r="G185" s="26">
        <v>0.0</v>
      </c>
      <c r="H185" s="176"/>
      <c r="I185" s="154">
        <f t="shared" si="1"/>
        <v>0</v>
      </c>
      <c r="J185" s="141"/>
      <c r="K185" s="154">
        <f t="shared" si="2"/>
        <v>0</v>
      </c>
      <c r="L185" s="26">
        <f t="shared" si="5"/>
        <v>0</v>
      </c>
      <c r="M185" s="154">
        <f t="shared" si="4"/>
        <v>0</v>
      </c>
      <c r="N185" s="173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ht="15.75" customHeight="1">
      <c r="A186" s="10"/>
      <c r="B186" s="174"/>
      <c r="C186" s="6"/>
      <c r="D186" s="127"/>
      <c r="E186" s="127"/>
      <c r="F186" s="175"/>
      <c r="G186" s="26">
        <v>0.0</v>
      </c>
      <c r="H186" s="176"/>
      <c r="I186" s="154">
        <f t="shared" si="1"/>
        <v>0</v>
      </c>
      <c r="J186" s="141"/>
      <c r="K186" s="154">
        <f t="shared" si="2"/>
        <v>0</v>
      </c>
      <c r="L186" s="26">
        <f t="shared" si="5"/>
        <v>0</v>
      </c>
      <c r="M186" s="154">
        <f t="shared" si="4"/>
        <v>0</v>
      </c>
      <c r="N186" s="173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ht="15.75" customHeight="1">
      <c r="A187" s="10"/>
      <c r="B187" s="174"/>
      <c r="C187" s="6"/>
      <c r="D187" s="127"/>
      <c r="E187" s="127"/>
      <c r="F187" s="175"/>
      <c r="G187" s="26">
        <v>0.0</v>
      </c>
      <c r="H187" s="176"/>
      <c r="I187" s="154">
        <f t="shared" si="1"/>
        <v>0</v>
      </c>
      <c r="J187" s="141"/>
      <c r="K187" s="154">
        <f t="shared" si="2"/>
        <v>0</v>
      </c>
      <c r="L187" s="26">
        <f t="shared" si="5"/>
        <v>0</v>
      </c>
      <c r="M187" s="154">
        <f t="shared" si="4"/>
        <v>0</v>
      </c>
      <c r="N187" s="173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ht="15.75" customHeight="1">
      <c r="A188" s="10"/>
      <c r="B188" s="174"/>
      <c r="C188" s="6"/>
      <c r="D188" s="127"/>
      <c r="E188" s="127"/>
      <c r="F188" s="175"/>
      <c r="G188" s="26">
        <v>0.0</v>
      </c>
      <c r="H188" s="176"/>
      <c r="I188" s="154">
        <f t="shared" si="1"/>
        <v>0</v>
      </c>
      <c r="J188" s="141"/>
      <c r="K188" s="154">
        <f t="shared" si="2"/>
        <v>0</v>
      </c>
      <c r="L188" s="26">
        <f t="shared" si="5"/>
        <v>0</v>
      </c>
      <c r="M188" s="154">
        <f t="shared" si="4"/>
        <v>0</v>
      </c>
      <c r="N188" s="173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ht="15.75" customHeight="1">
      <c r="A189" s="10"/>
      <c r="B189" s="174"/>
      <c r="C189" s="6"/>
      <c r="D189" s="127"/>
      <c r="E189" s="127"/>
      <c r="F189" s="175"/>
      <c r="G189" s="26">
        <v>0.0</v>
      </c>
      <c r="H189" s="176"/>
      <c r="I189" s="154">
        <f t="shared" si="1"/>
        <v>0</v>
      </c>
      <c r="J189" s="141"/>
      <c r="K189" s="154">
        <f t="shared" si="2"/>
        <v>0</v>
      </c>
      <c r="L189" s="26">
        <f t="shared" si="5"/>
        <v>0</v>
      </c>
      <c r="M189" s="154">
        <f t="shared" si="4"/>
        <v>0</v>
      </c>
      <c r="N189" s="173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ht="15.75" customHeight="1">
      <c r="A190" s="10"/>
      <c r="B190" s="174"/>
      <c r="C190" s="6"/>
      <c r="D190" s="127"/>
      <c r="E190" s="127"/>
      <c r="F190" s="175"/>
      <c r="G190" s="26">
        <v>0.0</v>
      </c>
      <c r="H190" s="176"/>
      <c r="I190" s="154">
        <f t="shared" si="1"/>
        <v>0</v>
      </c>
      <c r="J190" s="141"/>
      <c r="K190" s="154">
        <f t="shared" si="2"/>
        <v>0</v>
      </c>
      <c r="L190" s="26">
        <f t="shared" si="5"/>
        <v>0</v>
      </c>
      <c r="M190" s="154">
        <f t="shared" si="4"/>
        <v>0</v>
      </c>
      <c r="N190" s="173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ht="15.75" customHeight="1">
      <c r="A191" s="10"/>
      <c r="B191" s="174"/>
      <c r="C191" s="6"/>
      <c r="D191" s="127"/>
      <c r="E191" s="127"/>
      <c r="F191" s="175"/>
      <c r="G191" s="26">
        <v>0.0</v>
      </c>
      <c r="H191" s="176"/>
      <c r="I191" s="154">
        <f t="shared" si="1"/>
        <v>0</v>
      </c>
      <c r="J191" s="141"/>
      <c r="K191" s="154">
        <f t="shared" si="2"/>
        <v>0</v>
      </c>
      <c r="L191" s="26">
        <f t="shared" si="5"/>
        <v>0</v>
      </c>
      <c r="M191" s="154">
        <f t="shared" si="4"/>
        <v>0</v>
      </c>
      <c r="N191" s="173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ht="15.75" customHeight="1">
      <c r="A192" s="10"/>
      <c r="B192" s="174"/>
      <c r="C192" s="6"/>
      <c r="D192" s="127"/>
      <c r="E192" s="127"/>
      <c r="F192" s="175"/>
      <c r="G192" s="26">
        <v>0.0</v>
      </c>
      <c r="H192" s="176"/>
      <c r="I192" s="154">
        <f t="shared" si="1"/>
        <v>0</v>
      </c>
      <c r="J192" s="141"/>
      <c r="K192" s="154">
        <f t="shared" si="2"/>
        <v>0</v>
      </c>
      <c r="L192" s="26">
        <f t="shared" si="5"/>
        <v>0</v>
      </c>
      <c r="M192" s="154">
        <f t="shared" si="4"/>
        <v>0</v>
      </c>
      <c r="N192" s="173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ht="15.75" customHeight="1">
      <c r="A193" s="10"/>
      <c r="B193" s="174"/>
      <c r="C193" s="6"/>
      <c r="D193" s="127"/>
      <c r="E193" s="127"/>
      <c r="F193" s="175"/>
      <c r="G193" s="26">
        <v>0.0</v>
      </c>
      <c r="H193" s="176"/>
      <c r="I193" s="154">
        <f t="shared" si="1"/>
        <v>0</v>
      </c>
      <c r="J193" s="141"/>
      <c r="K193" s="154">
        <f t="shared" si="2"/>
        <v>0</v>
      </c>
      <c r="L193" s="26">
        <f t="shared" si="5"/>
        <v>0</v>
      </c>
      <c r="M193" s="154">
        <f t="shared" si="4"/>
        <v>0</v>
      </c>
      <c r="N193" s="173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ht="15.75" customHeight="1">
      <c r="A194" s="10"/>
      <c r="B194" s="174"/>
      <c r="C194" s="6"/>
      <c r="D194" s="127"/>
      <c r="E194" s="127"/>
      <c r="F194" s="175"/>
      <c r="G194" s="26">
        <v>0.0</v>
      </c>
      <c r="H194" s="176"/>
      <c r="I194" s="154">
        <f t="shared" si="1"/>
        <v>0</v>
      </c>
      <c r="J194" s="141"/>
      <c r="K194" s="154">
        <f t="shared" si="2"/>
        <v>0</v>
      </c>
      <c r="L194" s="26">
        <f t="shared" si="5"/>
        <v>0</v>
      </c>
      <c r="M194" s="154">
        <f t="shared" si="4"/>
        <v>0</v>
      </c>
      <c r="N194" s="173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ht="15.75" customHeight="1">
      <c r="A195" s="10"/>
      <c r="B195" s="174"/>
      <c r="C195" s="6"/>
      <c r="D195" s="127"/>
      <c r="E195" s="127"/>
      <c r="F195" s="175"/>
      <c r="G195" s="26">
        <v>0.0</v>
      </c>
      <c r="H195" s="176"/>
      <c r="I195" s="154">
        <f t="shared" si="1"/>
        <v>0</v>
      </c>
      <c r="J195" s="141"/>
      <c r="K195" s="154">
        <f t="shared" si="2"/>
        <v>0</v>
      </c>
      <c r="L195" s="26">
        <f t="shared" si="5"/>
        <v>0</v>
      </c>
      <c r="M195" s="154">
        <f t="shared" si="4"/>
        <v>0</v>
      </c>
      <c r="N195" s="173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ht="15.75" customHeight="1">
      <c r="A196" s="10"/>
      <c r="B196" s="174"/>
      <c r="C196" s="6"/>
      <c r="D196" s="127"/>
      <c r="E196" s="127"/>
      <c r="F196" s="175"/>
      <c r="G196" s="26">
        <v>0.0</v>
      </c>
      <c r="H196" s="176"/>
      <c r="I196" s="154">
        <f t="shared" si="1"/>
        <v>0</v>
      </c>
      <c r="J196" s="141"/>
      <c r="K196" s="154">
        <f t="shared" si="2"/>
        <v>0</v>
      </c>
      <c r="L196" s="26">
        <f t="shared" si="5"/>
        <v>0</v>
      </c>
      <c r="M196" s="154">
        <f t="shared" si="4"/>
        <v>0</v>
      </c>
      <c r="N196" s="173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ht="15.75" customHeight="1">
      <c r="A197" s="10"/>
      <c r="B197" s="174"/>
      <c r="C197" s="6"/>
      <c r="D197" s="127"/>
      <c r="E197" s="127"/>
      <c r="F197" s="175"/>
      <c r="G197" s="26">
        <v>0.0</v>
      </c>
      <c r="H197" s="176"/>
      <c r="I197" s="154">
        <f t="shared" si="1"/>
        <v>0</v>
      </c>
      <c r="J197" s="141"/>
      <c r="K197" s="154">
        <f t="shared" si="2"/>
        <v>0</v>
      </c>
      <c r="L197" s="26">
        <f t="shared" si="5"/>
        <v>0</v>
      </c>
      <c r="M197" s="154">
        <f t="shared" si="4"/>
        <v>0</v>
      </c>
      <c r="N197" s="173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ht="15.75" customHeight="1">
      <c r="A198" s="10"/>
      <c r="B198" s="174"/>
      <c r="C198" s="6"/>
      <c r="D198" s="127"/>
      <c r="E198" s="127"/>
      <c r="F198" s="175"/>
      <c r="G198" s="26">
        <v>0.0</v>
      </c>
      <c r="H198" s="176"/>
      <c r="I198" s="154">
        <f t="shared" si="1"/>
        <v>0</v>
      </c>
      <c r="J198" s="141"/>
      <c r="K198" s="154">
        <f t="shared" si="2"/>
        <v>0</v>
      </c>
      <c r="L198" s="26">
        <f t="shared" si="5"/>
        <v>0</v>
      </c>
      <c r="M198" s="154">
        <f t="shared" si="4"/>
        <v>0</v>
      </c>
      <c r="N198" s="173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ht="15.75" customHeight="1">
      <c r="A199" s="10"/>
      <c r="B199" s="174"/>
      <c r="C199" s="6"/>
      <c r="D199" s="127"/>
      <c r="E199" s="127"/>
      <c r="F199" s="175"/>
      <c r="G199" s="26">
        <v>0.0</v>
      </c>
      <c r="H199" s="176"/>
      <c r="I199" s="154">
        <f t="shared" si="1"/>
        <v>0</v>
      </c>
      <c r="J199" s="141"/>
      <c r="K199" s="154">
        <f t="shared" si="2"/>
        <v>0</v>
      </c>
      <c r="L199" s="26">
        <f t="shared" si="5"/>
        <v>0</v>
      </c>
      <c r="M199" s="154">
        <f t="shared" si="4"/>
        <v>0</v>
      </c>
      <c r="N199" s="173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ht="15.75" customHeight="1">
      <c r="A200" s="10"/>
      <c r="B200" s="174"/>
      <c r="C200" s="6"/>
      <c r="D200" s="127"/>
      <c r="E200" s="127"/>
      <c r="F200" s="175"/>
      <c r="G200" s="26">
        <v>0.0</v>
      </c>
      <c r="H200" s="176"/>
      <c r="I200" s="154">
        <f t="shared" si="1"/>
        <v>0</v>
      </c>
      <c r="J200" s="141"/>
      <c r="K200" s="154">
        <f t="shared" si="2"/>
        <v>0</v>
      </c>
      <c r="L200" s="26">
        <f t="shared" si="5"/>
        <v>0</v>
      </c>
      <c r="M200" s="154">
        <f t="shared" si="4"/>
        <v>0</v>
      </c>
      <c r="N200" s="173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ht="15.75" customHeight="1">
      <c r="A201" s="10"/>
      <c r="B201" s="174"/>
      <c r="C201" s="6"/>
      <c r="D201" s="127"/>
      <c r="E201" s="127"/>
      <c r="F201" s="175"/>
      <c r="G201" s="26">
        <v>0.0</v>
      </c>
      <c r="H201" s="176"/>
      <c r="I201" s="154">
        <f t="shared" si="1"/>
        <v>0</v>
      </c>
      <c r="J201" s="141"/>
      <c r="K201" s="154">
        <f t="shared" si="2"/>
        <v>0</v>
      </c>
      <c r="L201" s="26">
        <f t="shared" si="5"/>
        <v>0</v>
      </c>
      <c r="M201" s="154">
        <f t="shared" si="4"/>
        <v>0</v>
      </c>
      <c r="N201" s="173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ht="15.75" customHeight="1">
      <c r="A202" s="10"/>
      <c r="B202" s="174"/>
      <c r="C202" s="6"/>
      <c r="D202" s="127"/>
      <c r="E202" s="127"/>
      <c r="F202" s="175"/>
      <c r="G202" s="26">
        <v>0.0</v>
      </c>
      <c r="H202" s="176"/>
      <c r="I202" s="154">
        <f t="shared" si="1"/>
        <v>0</v>
      </c>
      <c r="J202" s="141"/>
      <c r="K202" s="154">
        <f t="shared" si="2"/>
        <v>0</v>
      </c>
      <c r="L202" s="26">
        <f t="shared" si="5"/>
        <v>0</v>
      </c>
      <c r="M202" s="154">
        <f t="shared" si="4"/>
        <v>0</v>
      </c>
      <c r="N202" s="173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ht="15.75" customHeight="1">
      <c r="A203" s="10"/>
      <c r="B203" s="174"/>
      <c r="C203" s="6"/>
      <c r="D203" s="127"/>
      <c r="E203" s="127"/>
      <c r="F203" s="175"/>
      <c r="G203" s="26">
        <v>0.0</v>
      </c>
      <c r="H203" s="176"/>
      <c r="I203" s="154">
        <f t="shared" si="1"/>
        <v>0</v>
      </c>
      <c r="J203" s="141"/>
      <c r="K203" s="154">
        <f t="shared" si="2"/>
        <v>0</v>
      </c>
      <c r="L203" s="26">
        <f t="shared" si="5"/>
        <v>0</v>
      </c>
      <c r="M203" s="154">
        <f t="shared" si="4"/>
        <v>0</v>
      </c>
      <c r="N203" s="173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ht="15.75" customHeight="1">
      <c r="A204" s="10"/>
      <c r="B204" s="174"/>
      <c r="C204" s="6"/>
      <c r="D204" s="127"/>
      <c r="E204" s="127"/>
      <c r="F204" s="175"/>
      <c r="G204" s="26">
        <v>0.0</v>
      </c>
      <c r="H204" s="176"/>
      <c r="I204" s="154">
        <f t="shared" si="1"/>
        <v>0</v>
      </c>
      <c r="J204" s="141"/>
      <c r="K204" s="154">
        <f t="shared" si="2"/>
        <v>0</v>
      </c>
      <c r="L204" s="26">
        <f t="shared" si="5"/>
        <v>0</v>
      </c>
      <c r="M204" s="154">
        <f t="shared" si="4"/>
        <v>0</v>
      </c>
      <c r="N204" s="173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ht="15.75" customHeight="1">
      <c r="A205" s="10"/>
      <c r="B205" s="174"/>
      <c r="C205" s="6"/>
      <c r="D205" s="127"/>
      <c r="E205" s="127"/>
      <c r="F205" s="175"/>
      <c r="G205" s="26">
        <v>0.0</v>
      </c>
      <c r="H205" s="176"/>
      <c r="I205" s="154">
        <f t="shared" si="1"/>
        <v>0</v>
      </c>
      <c r="J205" s="141"/>
      <c r="K205" s="154">
        <f t="shared" si="2"/>
        <v>0</v>
      </c>
      <c r="L205" s="26">
        <f t="shared" si="5"/>
        <v>0</v>
      </c>
      <c r="M205" s="154">
        <f t="shared" si="4"/>
        <v>0</v>
      </c>
      <c r="N205" s="173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ht="15.75" customHeight="1">
      <c r="A206" s="10"/>
      <c r="B206" s="174"/>
      <c r="C206" s="6"/>
      <c r="D206" s="127"/>
      <c r="E206" s="127"/>
      <c r="F206" s="175"/>
      <c r="G206" s="26">
        <v>0.0</v>
      </c>
      <c r="H206" s="176"/>
      <c r="I206" s="154">
        <f t="shared" si="1"/>
        <v>0</v>
      </c>
      <c r="J206" s="141"/>
      <c r="K206" s="154">
        <f t="shared" si="2"/>
        <v>0</v>
      </c>
      <c r="L206" s="26">
        <f t="shared" si="5"/>
        <v>0</v>
      </c>
      <c r="M206" s="154">
        <f t="shared" si="4"/>
        <v>0</v>
      </c>
      <c r="N206" s="173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ht="15.75" customHeight="1">
      <c r="A207" s="10"/>
      <c r="B207" s="174"/>
      <c r="C207" s="6"/>
      <c r="D207" s="127"/>
      <c r="E207" s="127"/>
      <c r="F207" s="175"/>
      <c r="G207" s="26">
        <v>0.0</v>
      </c>
      <c r="H207" s="176"/>
      <c r="I207" s="154">
        <f t="shared" si="1"/>
        <v>0</v>
      </c>
      <c r="J207" s="141"/>
      <c r="K207" s="154">
        <f t="shared" si="2"/>
        <v>0</v>
      </c>
      <c r="L207" s="26">
        <f t="shared" si="5"/>
        <v>0</v>
      </c>
      <c r="M207" s="154">
        <f t="shared" si="4"/>
        <v>0</v>
      </c>
      <c r="N207" s="173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ht="15.75" customHeight="1">
      <c r="A208" s="10"/>
      <c r="B208" s="174"/>
      <c r="C208" s="6"/>
      <c r="D208" s="127"/>
      <c r="E208" s="127"/>
      <c r="F208" s="175"/>
      <c r="G208" s="26">
        <v>0.0</v>
      </c>
      <c r="H208" s="176"/>
      <c r="I208" s="154">
        <f t="shared" si="1"/>
        <v>0</v>
      </c>
      <c r="J208" s="141"/>
      <c r="K208" s="154">
        <f t="shared" si="2"/>
        <v>0</v>
      </c>
      <c r="L208" s="26">
        <f t="shared" si="5"/>
        <v>0</v>
      </c>
      <c r="M208" s="154">
        <f t="shared" si="4"/>
        <v>0</v>
      </c>
      <c r="N208" s="173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ht="15.75" customHeight="1">
      <c r="A209" s="10"/>
      <c r="B209" s="174"/>
      <c r="C209" s="6"/>
      <c r="D209" s="127"/>
      <c r="E209" s="127"/>
      <c r="F209" s="175"/>
      <c r="G209" s="26">
        <v>0.0</v>
      </c>
      <c r="H209" s="176"/>
      <c r="I209" s="154">
        <f t="shared" si="1"/>
        <v>0</v>
      </c>
      <c r="J209" s="141"/>
      <c r="K209" s="154">
        <f t="shared" si="2"/>
        <v>0</v>
      </c>
      <c r="L209" s="26">
        <f t="shared" si="5"/>
        <v>0</v>
      </c>
      <c r="M209" s="154">
        <f t="shared" si="4"/>
        <v>0</v>
      </c>
      <c r="N209" s="173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ht="15.75" customHeight="1">
      <c r="A210" s="10"/>
      <c r="B210" s="174"/>
      <c r="C210" s="6"/>
      <c r="D210" s="127"/>
      <c r="E210" s="127"/>
      <c r="F210" s="175"/>
      <c r="G210" s="26">
        <v>0.0</v>
      </c>
      <c r="H210" s="176"/>
      <c r="I210" s="154">
        <f t="shared" si="1"/>
        <v>0</v>
      </c>
      <c r="J210" s="141"/>
      <c r="K210" s="154">
        <f t="shared" si="2"/>
        <v>0</v>
      </c>
      <c r="L210" s="26">
        <f t="shared" si="5"/>
        <v>0</v>
      </c>
      <c r="M210" s="154">
        <f t="shared" si="4"/>
        <v>0</v>
      </c>
      <c r="N210" s="173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ht="15.75" customHeight="1">
      <c r="A211" s="10"/>
      <c r="B211" s="174"/>
      <c r="C211" s="6"/>
      <c r="D211" s="127"/>
      <c r="E211" s="127"/>
      <c r="F211" s="175"/>
      <c r="G211" s="26">
        <v>0.0</v>
      </c>
      <c r="H211" s="176"/>
      <c r="I211" s="154">
        <f t="shared" si="1"/>
        <v>0</v>
      </c>
      <c r="J211" s="141"/>
      <c r="K211" s="154">
        <f t="shared" si="2"/>
        <v>0</v>
      </c>
      <c r="L211" s="26">
        <f t="shared" si="5"/>
        <v>0</v>
      </c>
      <c r="M211" s="154">
        <f t="shared" si="4"/>
        <v>0</v>
      </c>
      <c r="N211" s="173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ht="15.75" customHeight="1">
      <c r="A212" s="10"/>
      <c r="B212" s="174"/>
      <c r="C212" s="6"/>
      <c r="D212" s="127"/>
      <c r="E212" s="127"/>
      <c r="F212" s="175"/>
      <c r="G212" s="26">
        <v>0.0</v>
      </c>
      <c r="H212" s="176"/>
      <c r="I212" s="154">
        <f t="shared" si="1"/>
        <v>0</v>
      </c>
      <c r="J212" s="141"/>
      <c r="K212" s="154">
        <f t="shared" si="2"/>
        <v>0</v>
      </c>
      <c r="L212" s="26">
        <f t="shared" si="5"/>
        <v>0</v>
      </c>
      <c r="M212" s="154">
        <f t="shared" si="4"/>
        <v>0</v>
      </c>
      <c r="N212" s="173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ht="15.75" customHeight="1">
      <c r="A213" s="10"/>
      <c r="B213" s="174"/>
      <c r="C213" s="6"/>
      <c r="D213" s="127"/>
      <c r="E213" s="127"/>
      <c r="F213" s="175"/>
      <c r="G213" s="26">
        <v>0.0</v>
      </c>
      <c r="H213" s="176"/>
      <c r="I213" s="154">
        <f t="shared" si="1"/>
        <v>0</v>
      </c>
      <c r="J213" s="141"/>
      <c r="K213" s="154">
        <f t="shared" si="2"/>
        <v>0</v>
      </c>
      <c r="L213" s="26">
        <f t="shared" si="5"/>
        <v>0</v>
      </c>
      <c r="M213" s="154">
        <f t="shared" si="4"/>
        <v>0</v>
      </c>
      <c r="N213" s="173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ht="15.75" customHeight="1">
      <c r="A214" s="10"/>
      <c r="B214" s="174"/>
      <c r="C214" s="6"/>
      <c r="D214" s="127"/>
      <c r="E214" s="127"/>
      <c r="F214" s="175"/>
      <c r="G214" s="26">
        <v>0.0</v>
      </c>
      <c r="H214" s="176"/>
      <c r="I214" s="154">
        <f t="shared" si="1"/>
        <v>0</v>
      </c>
      <c r="J214" s="141"/>
      <c r="K214" s="154">
        <f t="shared" si="2"/>
        <v>0</v>
      </c>
      <c r="L214" s="26">
        <f t="shared" si="5"/>
        <v>0</v>
      </c>
      <c r="M214" s="154">
        <f t="shared" si="4"/>
        <v>0</v>
      </c>
      <c r="N214" s="173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ht="15.75" customHeight="1">
      <c r="A215" s="10"/>
      <c r="B215" s="174"/>
      <c r="C215" s="6"/>
      <c r="D215" s="127"/>
      <c r="E215" s="127"/>
      <c r="F215" s="175"/>
      <c r="G215" s="26">
        <v>0.0</v>
      </c>
      <c r="H215" s="176"/>
      <c r="I215" s="154">
        <f t="shared" si="1"/>
        <v>0</v>
      </c>
      <c r="J215" s="141"/>
      <c r="K215" s="154">
        <f t="shared" si="2"/>
        <v>0</v>
      </c>
      <c r="L215" s="26">
        <f t="shared" si="5"/>
        <v>0</v>
      </c>
      <c r="M215" s="154">
        <f t="shared" si="4"/>
        <v>0</v>
      </c>
      <c r="N215" s="173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ht="15.75" customHeight="1">
      <c r="A216" s="10"/>
      <c r="B216" s="174"/>
      <c r="C216" s="6"/>
      <c r="D216" s="127"/>
      <c r="E216" s="127"/>
      <c r="F216" s="175"/>
      <c r="G216" s="26">
        <v>0.0</v>
      </c>
      <c r="H216" s="176"/>
      <c r="I216" s="154">
        <f t="shared" si="1"/>
        <v>0</v>
      </c>
      <c r="J216" s="141"/>
      <c r="K216" s="154">
        <f t="shared" si="2"/>
        <v>0</v>
      </c>
      <c r="L216" s="26">
        <f t="shared" si="5"/>
        <v>0</v>
      </c>
      <c r="M216" s="154">
        <f t="shared" si="4"/>
        <v>0</v>
      </c>
      <c r="N216" s="173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ht="15.75" customHeight="1">
      <c r="A217" s="10"/>
      <c r="B217" s="174"/>
      <c r="C217" s="6"/>
      <c r="D217" s="127"/>
      <c r="E217" s="127"/>
      <c r="F217" s="175"/>
      <c r="G217" s="26">
        <v>0.0</v>
      </c>
      <c r="H217" s="176"/>
      <c r="I217" s="154">
        <f t="shared" si="1"/>
        <v>0</v>
      </c>
      <c r="J217" s="141"/>
      <c r="K217" s="154">
        <f t="shared" si="2"/>
        <v>0</v>
      </c>
      <c r="L217" s="26">
        <f t="shared" si="5"/>
        <v>0</v>
      </c>
      <c r="M217" s="154">
        <f t="shared" si="4"/>
        <v>0</v>
      </c>
      <c r="N217" s="173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ht="15.75" customHeight="1">
      <c r="A218" s="10"/>
      <c r="B218" s="174"/>
      <c r="C218" s="6"/>
      <c r="D218" s="127"/>
      <c r="E218" s="127"/>
      <c r="F218" s="175"/>
      <c r="G218" s="26">
        <v>0.0</v>
      </c>
      <c r="H218" s="176"/>
      <c r="I218" s="154">
        <f t="shared" si="1"/>
        <v>0</v>
      </c>
      <c r="J218" s="141"/>
      <c r="K218" s="154">
        <f t="shared" si="2"/>
        <v>0</v>
      </c>
      <c r="L218" s="26">
        <f t="shared" si="5"/>
        <v>0</v>
      </c>
      <c r="M218" s="154">
        <f t="shared" si="4"/>
        <v>0</v>
      </c>
      <c r="N218" s="173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ht="15.75" customHeight="1">
      <c r="A219" s="10"/>
      <c r="B219" s="174"/>
      <c r="C219" s="6"/>
      <c r="D219" s="127"/>
      <c r="E219" s="127"/>
      <c r="F219" s="175"/>
      <c r="G219" s="26">
        <v>0.0</v>
      </c>
      <c r="H219" s="176"/>
      <c r="I219" s="154">
        <f t="shared" si="1"/>
        <v>0</v>
      </c>
      <c r="J219" s="141"/>
      <c r="K219" s="154">
        <f t="shared" si="2"/>
        <v>0</v>
      </c>
      <c r="L219" s="26">
        <f t="shared" si="5"/>
        <v>0</v>
      </c>
      <c r="M219" s="154">
        <f t="shared" si="4"/>
        <v>0</v>
      </c>
      <c r="N219" s="173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ht="15.75" customHeight="1">
      <c r="A220" s="10"/>
      <c r="B220" s="174"/>
      <c r="C220" s="6"/>
      <c r="D220" s="127"/>
      <c r="E220" s="127"/>
      <c r="F220" s="175"/>
      <c r="G220" s="26">
        <v>0.0</v>
      </c>
      <c r="H220" s="176"/>
      <c r="I220" s="154">
        <f t="shared" si="1"/>
        <v>0</v>
      </c>
      <c r="J220" s="141"/>
      <c r="K220" s="154">
        <f t="shared" si="2"/>
        <v>0</v>
      </c>
      <c r="L220" s="26">
        <f t="shared" si="5"/>
        <v>0</v>
      </c>
      <c r="M220" s="154">
        <f t="shared" si="4"/>
        <v>0</v>
      </c>
      <c r="N220" s="173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ht="15.75" customHeight="1">
      <c r="A221" s="10"/>
      <c r="B221" s="174"/>
      <c r="C221" s="6"/>
      <c r="D221" s="127"/>
      <c r="E221" s="127"/>
      <c r="F221" s="175"/>
      <c r="G221" s="26">
        <v>0.0</v>
      </c>
      <c r="H221" s="176"/>
      <c r="I221" s="154">
        <f t="shared" si="1"/>
        <v>0</v>
      </c>
      <c r="J221" s="141"/>
      <c r="K221" s="154">
        <f t="shared" si="2"/>
        <v>0</v>
      </c>
      <c r="L221" s="26">
        <f t="shared" si="5"/>
        <v>0</v>
      </c>
      <c r="M221" s="154">
        <f t="shared" si="4"/>
        <v>0</v>
      </c>
      <c r="N221" s="173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ht="15.75" customHeight="1">
      <c r="A222" s="10"/>
      <c r="B222" s="174"/>
      <c r="C222" s="6"/>
      <c r="D222" s="127"/>
      <c r="E222" s="127"/>
      <c r="F222" s="175"/>
      <c r="G222" s="26">
        <v>0.0</v>
      </c>
      <c r="H222" s="176"/>
      <c r="I222" s="154">
        <f t="shared" si="1"/>
        <v>0</v>
      </c>
      <c r="J222" s="141"/>
      <c r="K222" s="154">
        <f t="shared" si="2"/>
        <v>0</v>
      </c>
      <c r="L222" s="26">
        <f t="shared" si="5"/>
        <v>0</v>
      </c>
      <c r="M222" s="154">
        <f t="shared" si="4"/>
        <v>0</v>
      </c>
      <c r="N222" s="173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ht="15.75" customHeight="1">
      <c r="A223" s="10"/>
      <c r="B223" s="174"/>
      <c r="C223" s="6"/>
      <c r="D223" s="127"/>
      <c r="E223" s="127"/>
      <c r="F223" s="175"/>
      <c r="G223" s="26">
        <v>0.0</v>
      </c>
      <c r="H223" s="176"/>
      <c r="I223" s="154">
        <f t="shared" si="1"/>
        <v>0</v>
      </c>
      <c r="J223" s="141"/>
      <c r="K223" s="154">
        <f t="shared" si="2"/>
        <v>0</v>
      </c>
      <c r="L223" s="26">
        <f t="shared" si="5"/>
        <v>0</v>
      </c>
      <c r="M223" s="154">
        <f t="shared" si="4"/>
        <v>0</v>
      </c>
      <c r="N223" s="173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ht="15.75" customHeight="1">
      <c r="A224" s="10"/>
      <c r="B224" s="174"/>
      <c r="C224" s="6"/>
      <c r="D224" s="127"/>
      <c r="E224" s="127"/>
      <c r="F224" s="175"/>
      <c r="G224" s="26">
        <v>0.0</v>
      </c>
      <c r="H224" s="176"/>
      <c r="I224" s="154">
        <f t="shared" si="1"/>
        <v>0</v>
      </c>
      <c r="J224" s="141"/>
      <c r="K224" s="154">
        <f t="shared" si="2"/>
        <v>0</v>
      </c>
      <c r="L224" s="26">
        <f t="shared" si="5"/>
        <v>0</v>
      </c>
      <c r="M224" s="154">
        <f t="shared" si="4"/>
        <v>0</v>
      </c>
      <c r="N224" s="173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ht="15.75" customHeight="1">
      <c r="A225" s="10"/>
      <c r="B225" s="174"/>
      <c r="C225" s="6"/>
      <c r="D225" s="127"/>
      <c r="E225" s="127"/>
      <c r="F225" s="175"/>
      <c r="G225" s="26">
        <v>0.0</v>
      </c>
      <c r="H225" s="176"/>
      <c r="I225" s="154">
        <f t="shared" si="1"/>
        <v>0</v>
      </c>
      <c r="J225" s="141"/>
      <c r="K225" s="154">
        <f t="shared" si="2"/>
        <v>0</v>
      </c>
      <c r="L225" s="26">
        <f t="shared" si="5"/>
        <v>0</v>
      </c>
      <c r="M225" s="154">
        <f t="shared" si="4"/>
        <v>0</v>
      </c>
      <c r="N225" s="173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ht="15.75" customHeight="1">
      <c r="A226" s="10"/>
      <c r="B226" s="174"/>
      <c r="C226" s="6"/>
      <c r="D226" s="127"/>
      <c r="E226" s="127"/>
      <c r="F226" s="175"/>
      <c r="G226" s="26">
        <v>0.0</v>
      </c>
      <c r="H226" s="176"/>
      <c r="I226" s="154">
        <f t="shared" si="1"/>
        <v>0</v>
      </c>
      <c r="J226" s="141"/>
      <c r="K226" s="154">
        <f t="shared" si="2"/>
        <v>0</v>
      </c>
      <c r="L226" s="26">
        <f t="shared" si="5"/>
        <v>0</v>
      </c>
      <c r="M226" s="154">
        <f t="shared" si="4"/>
        <v>0</v>
      </c>
      <c r="N226" s="173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ht="15.75" customHeight="1">
      <c r="A227" s="10"/>
      <c r="B227" s="174"/>
      <c r="C227" s="6"/>
      <c r="D227" s="127"/>
      <c r="E227" s="127"/>
      <c r="F227" s="175"/>
      <c r="G227" s="26">
        <v>0.0</v>
      </c>
      <c r="H227" s="176"/>
      <c r="I227" s="154">
        <f t="shared" si="1"/>
        <v>0</v>
      </c>
      <c r="J227" s="141"/>
      <c r="K227" s="154">
        <f t="shared" si="2"/>
        <v>0</v>
      </c>
      <c r="L227" s="26">
        <f t="shared" si="5"/>
        <v>0</v>
      </c>
      <c r="M227" s="154">
        <f t="shared" si="4"/>
        <v>0</v>
      </c>
      <c r="N227" s="173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ht="15.75" customHeight="1">
      <c r="A228" s="10"/>
      <c r="B228" s="174"/>
      <c r="C228" s="6"/>
      <c r="D228" s="127"/>
      <c r="E228" s="127"/>
      <c r="F228" s="175"/>
      <c r="G228" s="26">
        <v>0.0</v>
      </c>
      <c r="H228" s="176"/>
      <c r="I228" s="154">
        <f t="shared" si="1"/>
        <v>0</v>
      </c>
      <c r="J228" s="141"/>
      <c r="K228" s="154">
        <f t="shared" si="2"/>
        <v>0</v>
      </c>
      <c r="L228" s="26">
        <f t="shared" si="5"/>
        <v>0</v>
      </c>
      <c r="M228" s="154">
        <f t="shared" si="4"/>
        <v>0</v>
      </c>
      <c r="N228" s="173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ht="15.75" customHeight="1">
      <c r="A229" s="10"/>
      <c r="B229" s="174"/>
      <c r="C229" s="6"/>
      <c r="D229" s="127"/>
      <c r="E229" s="127"/>
      <c r="F229" s="175"/>
      <c r="G229" s="26">
        <v>0.0</v>
      </c>
      <c r="H229" s="176"/>
      <c r="I229" s="154">
        <f t="shared" si="1"/>
        <v>0</v>
      </c>
      <c r="J229" s="141"/>
      <c r="K229" s="154">
        <f t="shared" si="2"/>
        <v>0</v>
      </c>
      <c r="L229" s="26">
        <f t="shared" si="5"/>
        <v>0</v>
      </c>
      <c r="M229" s="154">
        <f t="shared" si="4"/>
        <v>0</v>
      </c>
      <c r="N229" s="173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ht="15.75" customHeight="1">
      <c r="A230" s="10"/>
      <c r="B230" s="174"/>
      <c r="C230" s="6"/>
      <c r="D230" s="127"/>
      <c r="E230" s="127"/>
      <c r="F230" s="175"/>
      <c r="G230" s="26">
        <v>0.0</v>
      </c>
      <c r="H230" s="176"/>
      <c r="I230" s="154">
        <f t="shared" si="1"/>
        <v>0</v>
      </c>
      <c r="J230" s="141"/>
      <c r="K230" s="154">
        <f t="shared" si="2"/>
        <v>0</v>
      </c>
      <c r="L230" s="26">
        <f t="shared" si="5"/>
        <v>0</v>
      </c>
      <c r="M230" s="154">
        <f t="shared" si="4"/>
        <v>0</v>
      </c>
      <c r="N230" s="173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ht="15.75" customHeight="1">
      <c r="A231" s="10"/>
      <c r="B231" s="174"/>
      <c r="C231" s="6"/>
      <c r="D231" s="127"/>
      <c r="E231" s="127"/>
      <c r="F231" s="175"/>
      <c r="G231" s="26">
        <v>0.0</v>
      </c>
      <c r="H231" s="176"/>
      <c r="I231" s="154">
        <f t="shared" si="1"/>
        <v>0</v>
      </c>
      <c r="J231" s="141"/>
      <c r="K231" s="154">
        <f t="shared" si="2"/>
        <v>0</v>
      </c>
      <c r="L231" s="26">
        <f t="shared" si="5"/>
        <v>0</v>
      </c>
      <c r="M231" s="154">
        <f t="shared" si="4"/>
        <v>0</v>
      </c>
      <c r="N231" s="173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ht="15.75" customHeight="1">
      <c r="A232" s="10"/>
      <c r="B232" s="174"/>
      <c r="C232" s="6"/>
      <c r="D232" s="127"/>
      <c r="E232" s="127"/>
      <c r="F232" s="175"/>
      <c r="G232" s="26">
        <v>0.0</v>
      </c>
      <c r="H232" s="176"/>
      <c r="I232" s="154">
        <f t="shared" si="1"/>
        <v>0</v>
      </c>
      <c r="J232" s="141"/>
      <c r="K232" s="154">
        <f t="shared" si="2"/>
        <v>0</v>
      </c>
      <c r="L232" s="26">
        <f t="shared" si="5"/>
        <v>0</v>
      </c>
      <c r="M232" s="154">
        <f t="shared" si="4"/>
        <v>0</v>
      </c>
      <c r="N232" s="173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ht="15.75" customHeight="1">
      <c r="A233" s="10"/>
      <c r="B233" s="174"/>
      <c r="C233" s="6"/>
      <c r="D233" s="127"/>
      <c r="E233" s="127"/>
      <c r="F233" s="175"/>
      <c r="G233" s="26">
        <v>0.0</v>
      </c>
      <c r="H233" s="176"/>
      <c r="I233" s="154">
        <f t="shared" si="1"/>
        <v>0</v>
      </c>
      <c r="J233" s="141"/>
      <c r="K233" s="154">
        <f t="shared" si="2"/>
        <v>0</v>
      </c>
      <c r="L233" s="26">
        <f t="shared" si="5"/>
        <v>0</v>
      </c>
      <c r="M233" s="154">
        <f t="shared" si="4"/>
        <v>0</v>
      </c>
      <c r="N233" s="173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ht="15.75" customHeight="1">
      <c r="A234" s="10"/>
      <c r="B234" s="174"/>
      <c r="C234" s="6"/>
      <c r="D234" s="127"/>
      <c r="E234" s="127"/>
      <c r="F234" s="175"/>
      <c r="G234" s="26">
        <v>0.0</v>
      </c>
      <c r="H234" s="176"/>
      <c r="I234" s="154">
        <f t="shared" si="1"/>
        <v>0</v>
      </c>
      <c r="J234" s="141"/>
      <c r="K234" s="154">
        <f t="shared" si="2"/>
        <v>0</v>
      </c>
      <c r="L234" s="26">
        <f t="shared" si="5"/>
        <v>0</v>
      </c>
      <c r="M234" s="154">
        <f t="shared" si="4"/>
        <v>0</v>
      </c>
      <c r="N234" s="173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ht="15.75" customHeight="1">
      <c r="A235" s="10"/>
      <c r="B235" s="174"/>
      <c r="C235" s="6"/>
      <c r="D235" s="127"/>
      <c r="E235" s="127"/>
      <c r="F235" s="175"/>
      <c r="G235" s="26">
        <v>0.0</v>
      </c>
      <c r="H235" s="176"/>
      <c r="I235" s="154">
        <f t="shared" si="1"/>
        <v>0</v>
      </c>
      <c r="J235" s="141"/>
      <c r="K235" s="154">
        <f t="shared" si="2"/>
        <v>0</v>
      </c>
      <c r="L235" s="26">
        <f t="shared" si="5"/>
        <v>0</v>
      </c>
      <c r="M235" s="154">
        <f t="shared" si="4"/>
        <v>0</v>
      </c>
      <c r="N235" s="173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ht="15.75" customHeight="1">
      <c r="A236" s="10"/>
      <c r="B236" s="174"/>
      <c r="C236" s="6"/>
      <c r="D236" s="127"/>
      <c r="E236" s="127"/>
      <c r="F236" s="175"/>
      <c r="G236" s="26">
        <v>0.0</v>
      </c>
      <c r="H236" s="176"/>
      <c r="I236" s="154">
        <f t="shared" si="1"/>
        <v>0</v>
      </c>
      <c r="J236" s="141"/>
      <c r="K236" s="154">
        <f t="shared" si="2"/>
        <v>0</v>
      </c>
      <c r="L236" s="26">
        <f t="shared" si="5"/>
        <v>0</v>
      </c>
      <c r="M236" s="154">
        <f t="shared" si="4"/>
        <v>0</v>
      </c>
      <c r="N236" s="173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ht="15.75" customHeight="1">
      <c r="A237" s="10"/>
      <c r="B237" s="174"/>
      <c r="C237" s="6"/>
      <c r="D237" s="127"/>
      <c r="E237" s="127"/>
      <c r="F237" s="175"/>
      <c r="G237" s="26">
        <v>0.0</v>
      </c>
      <c r="H237" s="176"/>
      <c r="I237" s="154">
        <f t="shared" si="1"/>
        <v>0</v>
      </c>
      <c r="J237" s="141"/>
      <c r="K237" s="154">
        <f t="shared" si="2"/>
        <v>0</v>
      </c>
      <c r="L237" s="26">
        <f t="shared" si="5"/>
        <v>0</v>
      </c>
      <c r="M237" s="154">
        <f t="shared" si="4"/>
        <v>0</v>
      </c>
      <c r="N237" s="173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ht="15.75" customHeight="1">
      <c r="A238" s="10"/>
      <c r="B238" s="174"/>
      <c r="C238" s="6"/>
      <c r="D238" s="127"/>
      <c r="E238" s="127"/>
      <c r="F238" s="175"/>
      <c r="G238" s="26">
        <v>0.0</v>
      </c>
      <c r="H238" s="176"/>
      <c r="I238" s="154">
        <f t="shared" si="1"/>
        <v>0</v>
      </c>
      <c r="J238" s="141"/>
      <c r="K238" s="154">
        <f t="shared" si="2"/>
        <v>0</v>
      </c>
      <c r="L238" s="26">
        <f t="shared" si="5"/>
        <v>0</v>
      </c>
      <c r="M238" s="154">
        <f t="shared" si="4"/>
        <v>0</v>
      </c>
      <c r="N238" s="173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ht="15.75" customHeight="1">
      <c r="A239" s="10"/>
      <c r="B239" s="174"/>
      <c r="C239" s="6"/>
      <c r="D239" s="127"/>
      <c r="E239" s="127"/>
      <c r="F239" s="175"/>
      <c r="G239" s="26">
        <v>0.0</v>
      </c>
      <c r="H239" s="176"/>
      <c r="I239" s="154">
        <f t="shared" si="1"/>
        <v>0</v>
      </c>
      <c r="J239" s="141"/>
      <c r="K239" s="154">
        <f t="shared" si="2"/>
        <v>0</v>
      </c>
      <c r="L239" s="26">
        <f t="shared" si="5"/>
        <v>0</v>
      </c>
      <c r="M239" s="154">
        <f t="shared" si="4"/>
        <v>0</v>
      </c>
      <c r="N239" s="173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ht="15.75" customHeight="1">
      <c r="A240" s="10"/>
      <c r="B240" s="174"/>
      <c r="C240" s="6"/>
      <c r="D240" s="127"/>
      <c r="E240" s="127"/>
      <c r="F240" s="175"/>
      <c r="G240" s="26">
        <v>0.0</v>
      </c>
      <c r="H240" s="176"/>
      <c r="I240" s="154">
        <f t="shared" si="1"/>
        <v>0</v>
      </c>
      <c r="J240" s="141"/>
      <c r="K240" s="154">
        <f t="shared" si="2"/>
        <v>0</v>
      </c>
      <c r="L240" s="26">
        <f t="shared" si="5"/>
        <v>0</v>
      </c>
      <c r="M240" s="154">
        <f t="shared" si="4"/>
        <v>0</v>
      </c>
      <c r="N240" s="173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ht="15.75" customHeight="1">
      <c r="A241" s="10"/>
      <c r="B241" s="174"/>
      <c r="C241" s="6"/>
      <c r="D241" s="127"/>
      <c r="E241" s="127"/>
      <c r="F241" s="175"/>
      <c r="G241" s="26">
        <v>0.0</v>
      </c>
      <c r="H241" s="176"/>
      <c r="I241" s="154">
        <f t="shared" si="1"/>
        <v>0</v>
      </c>
      <c r="J241" s="141"/>
      <c r="K241" s="154">
        <f t="shared" si="2"/>
        <v>0</v>
      </c>
      <c r="L241" s="26">
        <f t="shared" si="5"/>
        <v>0</v>
      </c>
      <c r="M241" s="154">
        <f t="shared" si="4"/>
        <v>0</v>
      </c>
      <c r="N241" s="173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ht="15.75" customHeight="1">
      <c r="A242" s="10"/>
      <c r="B242" s="174"/>
      <c r="C242" s="6"/>
      <c r="D242" s="127"/>
      <c r="E242" s="127"/>
      <c r="F242" s="175"/>
      <c r="G242" s="26">
        <v>0.0</v>
      </c>
      <c r="H242" s="176"/>
      <c r="I242" s="154">
        <f t="shared" si="1"/>
        <v>0</v>
      </c>
      <c r="J242" s="141"/>
      <c r="K242" s="154">
        <f t="shared" si="2"/>
        <v>0</v>
      </c>
      <c r="L242" s="26">
        <f t="shared" si="5"/>
        <v>0</v>
      </c>
      <c r="M242" s="154">
        <f t="shared" si="4"/>
        <v>0</v>
      </c>
      <c r="N242" s="173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ht="15.75" customHeight="1">
      <c r="A243" s="10"/>
      <c r="B243" s="174"/>
      <c r="C243" s="6"/>
      <c r="D243" s="127"/>
      <c r="E243" s="127"/>
      <c r="F243" s="175"/>
      <c r="G243" s="26">
        <v>0.0</v>
      </c>
      <c r="H243" s="176"/>
      <c r="I243" s="154">
        <f t="shared" si="1"/>
        <v>0</v>
      </c>
      <c r="J243" s="141"/>
      <c r="K243" s="154">
        <f t="shared" si="2"/>
        <v>0</v>
      </c>
      <c r="L243" s="26">
        <f t="shared" si="5"/>
        <v>0</v>
      </c>
      <c r="M243" s="154">
        <f t="shared" si="4"/>
        <v>0</v>
      </c>
      <c r="N243" s="173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ht="15.75" customHeight="1">
      <c r="A244" s="10"/>
      <c r="B244" s="174"/>
      <c r="C244" s="6"/>
      <c r="D244" s="127"/>
      <c r="E244" s="127"/>
      <c r="F244" s="175"/>
      <c r="G244" s="26">
        <v>0.0</v>
      </c>
      <c r="H244" s="176"/>
      <c r="I244" s="154">
        <f t="shared" si="1"/>
        <v>0</v>
      </c>
      <c r="J244" s="141"/>
      <c r="K244" s="154">
        <f t="shared" si="2"/>
        <v>0</v>
      </c>
      <c r="L244" s="26">
        <f t="shared" si="5"/>
        <v>0</v>
      </c>
      <c r="M244" s="154">
        <f t="shared" si="4"/>
        <v>0</v>
      </c>
      <c r="N244" s="173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ht="15.75" customHeight="1">
      <c r="A245" s="10"/>
      <c r="B245" s="174"/>
      <c r="C245" s="6"/>
      <c r="D245" s="127"/>
      <c r="E245" s="127"/>
      <c r="F245" s="175"/>
      <c r="G245" s="26">
        <v>0.0</v>
      </c>
      <c r="H245" s="176"/>
      <c r="I245" s="154">
        <f t="shared" si="1"/>
        <v>0</v>
      </c>
      <c r="J245" s="141"/>
      <c r="K245" s="154">
        <f t="shared" si="2"/>
        <v>0</v>
      </c>
      <c r="L245" s="26">
        <f t="shared" si="5"/>
        <v>0</v>
      </c>
      <c r="M245" s="154">
        <f t="shared" si="4"/>
        <v>0</v>
      </c>
      <c r="N245" s="173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ht="15.75" customHeight="1">
      <c r="A246" s="10"/>
      <c r="B246" s="174"/>
      <c r="C246" s="6"/>
      <c r="D246" s="127"/>
      <c r="E246" s="127"/>
      <c r="F246" s="175"/>
      <c r="G246" s="26">
        <v>0.0</v>
      </c>
      <c r="H246" s="176"/>
      <c r="I246" s="154">
        <f t="shared" si="1"/>
        <v>0</v>
      </c>
      <c r="J246" s="141"/>
      <c r="K246" s="154">
        <f t="shared" si="2"/>
        <v>0</v>
      </c>
      <c r="L246" s="26">
        <f t="shared" si="5"/>
        <v>0</v>
      </c>
      <c r="M246" s="154">
        <f t="shared" si="4"/>
        <v>0</v>
      </c>
      <c r="N246" s="173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ht="15.75" customHeight="1">
      <c r="A247" s="10"/>
      <c r="B247" s="174"/>
      <c r="C247" s="6"/>
      <c r="D247" s="127"/>
      <c r="E247" s="127"/>
      <c r="F247" s="175"/>
      <c r="G247" s="26">
        <v>0.0</v>
      </c>
      <c r="H247" s="176"/>
      <c r="I247" s="154">
        <f t="shared" si="1"/>
        <v>0</v>
      </c>
      <c r="J247" s="141"/>
      <c r="K247" s="154">
        <f t="shared" si="2"/>
        <v>0</v>
      </c>
      <c r="L247" s="26">
        <f t="shared" si="5"/>
        <v>0</v>
      </c>
      <c r="M247" s="154">
        <f t="shared" si="4"/>
        <v>0</v>
      </c>
      <c r="N247" s="173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ht="15.75" customHeight="1">
      <c r="A248" s="10"/>
      <c r="B248" s="174"/>
      <c r="C248" s="6"/>
      <c r="D248" s="127"/>
      <c r="E248" s="127"/>
      <c r="F248" s="175"/>
      <c r="G248" s="26">
        <v>0.0</v>
      </c>
      <c r="H248" s="176"/>
      <c r="I248" s="154">
        <f t="shared" si="1"/>
        <v>0</v>
      </c>
      <c r="J248" s="141"/>
      <c r="K248" s="154">
        <f t="shared" si="2"/>
        <v>0</v>
      </c>
      <c r="L248" s="26">
        <f t="shared" si="5"/>
        <v>0</v>
      </c>
      <c r="M248" s="154">
        <f t="shared" si="4"/>
        <v>0</v>
      </c>
      <c r="N248" s="173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ht="15.75" customHeight="1">
      <c r="A249" s="10"/>
      <c r="B249" s="174"/>
      <c r="C249" s="6"/>
      <c r="D249" s="127"/>
      <c r="E249" s="127"/>
      <c r="F249" s="175"/>
      <c r="G249" s="26">
        <v>0.0</v>
      </c>
      <c r="H249" s="176"/>
      <c r="I249" s="154">
        <f t="shared" si="1"/>
        <v>0</v>
      </c>
      <c r="J249" s="141"/>
      <c r="K249" s="154">
        <f t="shared" si="2"/>
        <v>0</v>
      </c>
      <c r="L249" s="26">
        <f t="shared" si="5"/>
        <v>0</v>
      </c>
      <c r="M249" s="154">
        <f t="shared" si="4"/>
        <v>0</v>
      </c>
      <c r="N249" s="173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ht="15.75" customHeight="1">
      <c r="A250" s="10"/>
      <c r="B250" s="174"/>
      <c r="C250" s="6"/>
      <c r="D250" s="127"/>
      <c r="E250" s="127"/>
      <c r="F250" s="175"/>
      <c r="G250" s="26">
        <v>0.0</v>
      </c>
      <c r="H250" s="176"/>
      <c r="I250" s="154">
        <f t="shared" si="1"/>
        <v>0</v>
      </c>
      <c r="J250" s="141"/>
      <c r="K250" s="154">
        <f t="shared" si="2"/>
        <v>0</v>
      </c>
      <c r="L250" s="26">
        <f t="shared" si="5"/>
        <v>0</v>
      </c>
      <c r="M250" s="154">
        <f t="shared" si="4"/>
        <v>0</v>
      </c>
      <c r="N250" s="173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ht="15.75" customHeight="1">
      <c r="A251" s="10"/>
      <c r="B251" s="174"/>
      <c r="C251" s="6"/>
      <c r="D251" s="127"/>
      <c r="E251" s="127"/>
      <c r="F251" s="175"/>
      <c r="G251" s="26">
        <v>0.0</v>
      </c>
      <c r="H251" s="176"/>
      <c r="I251" s="154">
        <f t="shared" si="1"/>
        <v>0</v>
      </c>
      <c r="J251" s="141"/>
      <c r="K251" s="154">
        <f t="shared" si="2"/>
        <v>0</v>
      </c>
      <c r="L251" s="26">
        <f t="shared" si="5"/>
        <v>0</v>
      </c>
      <c r="M251" s="154">
        <f t="shared" si="4"/>
        <v>0</v>
      </c>
      <c r="N251" s="173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ht="15.75" customHeight="1">
      <c r="A252" s="10"/>
      <c r="B252" s="174"/>
      <c r="C252" s="6"/>
      <c r="D252" s="127"/>
      <c r="E252" s="127"/>
      <c r="F252" s="175"/>
      <c r="G252" s="26">
        <v>0.0</v>
      </c>
      <c r="H252" s="176"/>
      <c r="I252" s="154">
        <f t="shared" si="1"/>
        <v>0</v>
      </c>
      <c r="J252" s="141"/>
      <c r="K252" s="154">
        <f t="shared" si="2"/>
        <v>0</v>
      </c>
      <c r="L252" s="26">
        <f t="shared" si="5"/>
        <v>0</v>
      </c>
      <c r="M252" s="154">
        <f t="shared" si="4"/>
        <v>0</v>
      </c>
      <c r="N252" s="173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ht="15.75" customHeight="1">
      <c r="A253" s="10"/>
      <c r="B253" s="174"/>
      <c r="C253" s="6"/>
      <c r="D253" s="127"/>
      <c r="E253" s="127"/>
      <c r="F253" s="175"/>
      <c r="G253" s="26">
        <v>0.0</v>
      </c>
      <c r="H253" s="176"/>
      <c r="I253" s="154">
        <f t="shared" si="1"/>
        <v>0</v>
      </c>
      <c r="J253" s="141"/>
      <c r="K253" s="154">
        <f t="shared" si="2"/>
        <v>0</v>
      </c>
      <c r="L253" s="26">
        <f t="shared" si="5"/>
        <v>0</v>
      </c>
      <c r="M253" s="154">
        <f t="shared" si="4"/>
        <v>0</v>
      </c>
      <c r="N253" s="173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ht="15.75" customHeight="1">
      <c r="A254" s="10"/>
      <c r="B254" s="174"/>
      <c r="C254" s="6"/>
      <c r="D254" s="127"/>
      <c r="E254" s="127"/>
      <c r="F254" s="175"/>
      <c r="G254" s="26">
        <v>0.0</v>
      </c>
      <c r="H254" s="176"/>
      <c r="I254" s="154">
        <f t="shared" si="1"/>
        <v>0</v>
      </c>
      <c r="J254" s="141"/>
      <c r="K254" s="154">
        <f t="shared" si="2"/>
        <v>0</v>
      </c>
      <c r="L254" s="26">
        <f t="shared" si="5"/>
        <v>0</v>
      </c>
      <c r="M254" s="154">
        <f t="shared" si="4"/>
        <v>0</v>
      </c>
      <c r="N254" s="173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ht="15.75" customHeight="1">
      <c r="A255" s="10"/>
      <c r="B255" s="174"/>
      <c r="C255" s="6"/>
      <c r="D255" s="127"/>
      <c r="E255" s="127"/>
      <c r="F255" s="175"/>
      <c r="G255" s="26">
        <v>0.0</v>
      </c>
      <c r="H255" s="176"/>
      <c r="I255" s="154">
        <f t="shared" si="1"/>
        <v>0</v>
      </c>
      <c r="J255" s="141"/>
      <c r="K255" s="154">
        <f t="shared" si="2"/>
        <v>0</v>
      </c>
      <c r="L255" s="26">
        <f t="shared" si="5"/>
        <v>0</v>
      </c>
      <c r="M255" s="154">
        <f t="shared" si="4"/>
        <v>0</v>
      </c>
      <c r="N255" s="173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ht="15.75" customHeight="1">
      <c r="A256" s="10"/>
      <c r="B256" s="174"/>
      <c r="C256" s="6"/>
      <c r="D256" s="127"/>
      <c r="E256" s="127"/>
      <c r="F256" s="175"/>
      <c r="G256" s="26">
        <v>0.0</v>
      </c>
      <c r="H256" s="176"/>
      <c r="I256" s="154">
        <f t="shared" si="1"/>
        <v>0</v>
      </c>
      <c r="J256" s="141"/>
      <c r="K256" s="154">
        <f t="shared" si="2"/>
        <v>0</v>
      </c>
      <c r="L256" s="26">
        <f t="shared" si="5"/>
        <v>0</v>
      </c>
      <c r="M256" s="154">
        <f t="shared" si="4"/>
        <v>0</v>
      </c>
      <c r="N256" s="173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ht="15.75" customHeight="1">
      <c r="A257" s="10"/>
      <c r="B257" s="174"/>
      <c r="C257" s="6"/>
      <c r="D257" s="127"/>
      <c r="E257" s="127"/>
      <c r="F257" s="175"/>
      <c r="G257" s="26">
        <v>0.0</v>
      </c>
      <c r="H257" s="176"/>
      <c r="I257" s="154">
        <f t="shared" si="1"/>
        <v>0</v>
      </c>
      <c r="J257" s="141"/>
      <c r="K257" s="154">
        <f t="shared" si="2"/>
        <v>0</v>
      </c>
      <c r="L257" s="26">
        <f t="shared" si="5"/>
        <v>0</v>
      </c>
      <c r="M257" s="154">
        <f t="shared" si="4"/>
        <v>0</v>
      </c>
      <c r="N257" s="173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ht="15.75" customHeight="1">
      <c r="A258" s="10"/>
      <c r="B258" s="174"/>
      <c r="C258" s="6"/>
      <c r="D258" s="127"/>
      <c r="E258" s="127"/>
      <c r="F258" s="175"/>
      <c r="G258" s="26">
        <v>0.0</v>
      </c>
      <c r="H258" s="176"/>
      <c r="I258" s="154">
        <f t="shared" si="1"/>
        <v>0</v>
      </c>
      <c r="J258" s="141"/>
      <c r="K258" s="154">
        <f t="shared" si="2"/>
        <v>0</v>
      </c>
      <c r="L258" s="26">
        <f t="shared" si="5"/>
        <v>0</v>
      </c>
      <c r="M258" s="154">
        <f t="shared" si="4"/>
        <v>0</v>
      </c>
      <c r="N258" s="173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ht="15.75" customHeight="1">
      <c r="A259" s="10"/>
      <c r="B259" s="174"/>
      <c r="C259" s="6"/>
      <c r="D259" s="127"/>
      <c r="E259" s="127"/>
      <c r="F259" s="175"/>
      <c r="G259" s="26">
        <v>0.0</v>
      </c>
      <c r="H259" s="176"/>
      <c r="I259" s="154">
        <f t="shared" si="1"/>
        <v>0</v>
      </c>
      <c r="J259" s="141"/>
      <c r="K259" s="154">
        <f t="shared" si="2"/>
        <v>0</v>
      </c>
      <c r="L259" s="26">
        <f t="shared" si="5"/>
        <v>0</v>
      </c>
      <c r="M259" s="154">
        <f t="shared" si="4"/>
        <v>0</v>
      </c>
      <c r="N259" s="173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ht="15.75" customHeight="1">
      <c r="A260" s="10"/>
      <c r="B260" s="174"/>
      <c r="C260" s="6"/>
      <c r="D260" s="127"/>
      <c r="E260" s="127"/>
      <c r="F260" s="175"/>
      <c r="G260" s="26">
        <v>0.0</v>
      </c>
      <c r="H260" s="176"/>
      <c r="I260" s="154">
        <f t="shared" si="1"/>
        <v>0</v>
      </c>
      <c r="J260" s="141"/>
      <c r="K260" s="154">
        <f t="shared" si="2"/>
        <v>0</v>
      </c>
      <c r="L260" s="26">
        <f t="shared" si="5"/>
        <v>0</v>
      </c>
      <c r="M260" s="154">
        <f t="shared" si="4"/>
        <v>0</v>
      </c>
      <c r="N260" s="173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ht="15.75" customHeight="1">
      <c r="A261" s="10"/>
      <c r="B261" s="174"/>
      <c r="C261" s="6"/>
      <c r="D261" s="127"/>
      <c r="E261" s="127"/>
      <c r="F261" s="175"/>
      <c r="G261" s="26">
        <v>0.0</v>
      </c>
      <c r="H261" s="176"/>
      <c r="I261" s="154">
        <f t="shared" si="1"/>
        <v>0</v>
      </c>
      <c r="J261" s="141"/>
      <c r="K261" s="154">
        <f t="shared" si="2"/>
        <v>0</v>
      </c>
      <c r="L261" s="26">
        <f t="shared" si="5"/>
        <v>0</v>
      </c>
      <c r="M261" s="154">
        <f t="shared" si="4"/>
        <v>0</v>
      </c>
      <c r="N261" s="173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ht="15.75" customHeight="1">
      <c r="A262" s="10"/>
      <c r="B262" s="174"/>
      <c r="C262" s="6"/>
      <c r="D262" s="127"/>
      <c r="E262" s="127"/>
      <c r="F262" s="175"/>
      <c r="G262" s="26">
        <v>0.0</v>
      </c>
      <c r="H262" s="176"/>
      <c r="I262" s="154">
        <f t="shared" si="1"/>
        <v>0</v>
      </c>
      <c r="J262" s="141"/>
      <c r="K262" s="154">
        <f t="shared" si="2"/>
        <v>0</v>
      </c>
      <c r="L262" s="26">
        <f t="shared" si="5"/>
        <v>0</v>
      </c>
      <c r="M262" s="154">
        <f t="shared" si="4"/>
        <v>0</v>
      </c>
      <c r="N262" s="173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ht="15.75" customHeight="1">
      <c r="A263" s="10"/>
      <c r="B263" s="174"/>
      <c r="C263" s="6"/>
      <c r="D263" s="127"/>
      <c r="E263" s="127"/>
      <c r="F263" s="175"/>
      <c r="G263" s="26">
        <v>0.0</v>
      </c>
      <c r="H263" s="176"/>
      <c r="I263" s="154">
        <f t="shared" si="1"/>
        <v>0</v>
      </c>
      <c r="J263" s="141"/>
      <c r="K263" s="154">
        <f t="shared" si="2"/>
        <v>0</v>
      </c>
      <c r="L263" s="26">
        <f t="shared" si="5"/>
        <v>0</v>
      </c>
      <c r="M263" s="154">
        <f t="shared" si="4"/>
        <v>0</v>
      </c>
      <c r="N263" s="173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ht="15.75" customHeight="1">
      <c r="A264" s="10"/>
      <c r="B264" s="174"/>
      <c r="C264" s="6"/>
      <c r="D264" s="127"/>
      <c r="E264" s="127"/>
      <c r="F264" s="175"/>
      <c r="G264" s="26">
        <v>0.0</v>
      </c>
      <c r="H264" s="176"/>
      <c r="I264" s="154">
        <f t="shared" si="1"/>
        <v>0</v>
      </c>
      <c r="J264" s="141"/>
      <c r="K264" s="154">
        <f t="shared" si="2"/>
        <v>0</v>
      </c>
      <c r="L264" s="26">
        <f t="shared" si="5"/>
        <v>0</v>
      </c>
      <c r="M264" s="154">
        <f t="shared" si="4"/>
        <v>0</v>
      </c>
      <c r="N264" s="173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ht="15.75" customHeight="1">
      <c r="A265" s="10"/>
      <c r="B265" s="174"/>
      <c r="C265" s="6"/>
      <c r="D265" s="127"/>
      <c r="E265" s="127"/>
      <c r="F265" s="175"/>
      <c r="G265" s="26">
        <v>0.0</v>
      </c>
      <c r="H265" s="176"/>
      <c r="I265" s="154">
        <f t="shared" si="1"/>
        <v>0</v>
      </c>
      <c r="J265" s="141"/>
      <c r="K265" s="154">
        <f t="shared" si="2"/>
        <v>0</v>
      </c>
      <c r="L265" s="26">
        <f t="shared" si="5"/>
        <v>0</v>
      </c>
      <c r="M265" s="154">
        <f t="shared" si="4"/>
        <v>0</v>
      </c>
      <c r="N265" s="173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ht="15.75" customHeight="1">
      <c r="A266" s="10"/>
      <c r="B266" s="174"/>
      <c r="C266" s="6"/>
      <c r="D266" s="127"/>
      <c r="E266" s="127"/>
      <c r="F266" s="175"/>
      <c r="G266" s="26">
        <v>0.0</v>
      </c>
      <c r="H266" s="176"/>
      <c r="I266" s="154">
        <f t="shared" si="1"/>
        <v>0</v>
      </c>
      <c r="J266" s="141"/>
      <c r="K266" s="154">
        <f t="shared" si="2"/>
        <v>0</v>
      </c>
      <c r="L266" s="26">
        <f t="shared" si="5"/>
        <v>0</v>
      </c>
      <c r="M266" s="154">
        <f t="shared" si="4"/>
        <v>0</v>
      </c>
      <c r="N266" s="173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ht="15.75" customHeight="1">
      <c r="A267" s="10"/>
      <c r="B267" s="174"/>
      <c r="C267" s="6"/>
      <c r="D267" s="127"/>
      <c r="E267" s="127"/>
      <c r="F267" s="175"/>
      <c r="G267" s="26">
        <v>0.0</v>
      </c>
      <c r="H267" s="176"/>
      <c r="I267" s="154">
        <f t="shared" si="1"/>
        <v>0</v>
      </c>
      <c r="J267" s="141"/>
      <c r="K267" s="154">
        <f t="shared" si="2"/>
        <v>0</v>
      </c>
      <c r="L267" s="154">
        <f t="shared" si="5"/>
        <v>0</v>
      </c>
      <c r="M267" s="154">
        <f t="shared" si="4"/>
        <v>0</v>
      </c>
      <c r="N267" s="173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ht="15.75" customHeight="1">
      <c r="A268" s="10"/>
      <c r="B268" s="174"/>
      <c r="C268" s="6"/>
      <c r="D268" s="127"/>
      <c r="E268" s="127"/>
      <c r="F268" s="175"/>
      <c r="G268" s="26">
        <v>0.0</v>
      </c>
      <c r="H268" s="176"/>
      <c r="I268" s="154">
        <f t="shared" si="1"/>
        <v>0</v>
      </c>
      <c r="J268" s="141"/>
      <c r="K268" s="154">
        <f t="shared" si="2"/>
        <v>0</v>
      </c>
      <c r="L268" s="154">
        <f t="shared" si="5"/>
        <v>0</v>
      </c>
      <c r="M268" s="154">
        <f t="shared" si="4"/>
        <v>0</v>
      </c>
      <c r="N268" s="173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ht="15.75" customHeight="1">
      <c r="A269" s="10"/>
      <c r="B269" s="174"/>
      <c r="C269" s="6"/>
      <c r="D269" s="127"/>
      <c r="E269" s="127"/>
      <c r="F269" s="175"/>
      <c r="G269" s="26">
        <v>0.0</v>
      </c>
      <c r="H269" s="176"/>
      <c r="I269" s="154">
        <f t="shared" si="1"/>
        <v>0</v>
      </c>
      <c r="J269" s="141"/>
      <c r="K269" s="154">
        <f t="shared" si="2"/>
        <v>0</v>
      </c>
      <c r="L269" s="154">
        <f t="shared" si="5"/>
        <v>0</v>
      </c>
      <c r="M269" s="154">
        <f t="shared" si="4"/>
        <v>0</v>
      </c>
      <c r="N269" s="173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ht="15.75" customHeight="1">
      <c r="A270" s="10"/>
      <c r="B270" s="174"/>
      <c r="C270" s="6"/>
      <c r="D270" s="127"/>
      <c r="E270" s="127"/>
      <c r="F270" s="175"/>
      <c r="G270" s="26">
        <v>0.0</v>
      </c>
      <c r="H270" s="176"/>
      <c r="I270" s="154">
        <f t="shared" si="1"/>
        <v>0</v>
      </c>
      <c r="J270" s="141"/>
      <c r="K270" s="154">
        <f t="shared" si="2"/>
        <v>0</v>
      </c>
      <c r="L270" s="154">
        <f t="shared" si="5"/>
        <v>0</v>
      </c>
      <c r="M270" s="154">
        <f t="shared" si="4"/>
        <v>0</v>
      </c>
      <c r="N270" s="173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ht="15.75" customHeight="1">
      <c r="A271" s="10"/>
      <c r="B271" s="174"/>
      <c r="C271" s="6"/>
      <c r="D271" s="127"/>
      <c r="E271" s="127"/>
      <c r="F271" s="175"/>
      <c r="G271" s="26">
        <v>0.0</v>
      </c>
      <c r="H271" s="176"/>
      <c r="I271" s="154">
        <f t="shared" si="1"/>
        <v>0</v>
      </c>
      <c r="J271" s="141"/>
      <c r="K271" s="154">
        <f t="shared" si="2"/>
        <v>0</v>
      </c>
      <c r="L271" s="154">
        <f t="shared" si="5"/>
        <v>0</v>
      </c>
      <c r="M271" s="154">
        <f t="shared" si="4"/>
        <v>0</v>
      </c>
      <c r="N271" s="173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ht="15.75" customHeight="1">
      <c r="A272" s="10"/>
      <c r="B272" s="174"/>
      <c r="C272" s="6"/>
      <c r="D272" s="127"/>
      <c r="E272" s="127"/>
      <c r="F272" s="175"/>
      <c r="G272" s="26">
        <v>0.0</v>
      </c>
      <c r="H272" s="176"/>
      <c r="I272" s="154">
        <f t="shared" si="1"/>
        <v>0</v>
      </c>
      <c r="J272" s="141"/>
      <c r="K272" s="154">
        <f t="shared" si="2"/>
        <v>0</v>
      </c>
      <c r="L272" s="154">
        <f t="shared" si="5"/>
        <v>0</v>
      </c>
      <c r="M272" s="154">
        <f t="shared" si="4"/>
        <v>0</v>
      </c>
      <c r="N272" s="173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ht="15.75" customHeight="1">
      <c r="A273" s="10"/>
      <c r="B273" s="174"/>
      <c r="C273" s="6"/>
      <c r="D273" s="127"/>
      <c r="E273" s="127"/>
      <c r="F273" s="175"/>
      <c r="G273" s="26">
        <v>0.0</v>
      </c>
      <c r="H273" s="176"/>
      <c r="I273" s="154">
        <f t="shared" si="1"/>
        <v>0</v>
      </c>
      <c r="J273" s="141"/>
      <c r="K273" s="154">
        <f t="shared" si="2"/>
        <v>0</v>
      </c>
      <c r="L273" s="154">
        <f t="shared" si="5"/>
        <v>0</v>
      </c>
      <c r="M273" s="154">
        <f t="shared" si="4"/>
        <v>0</v>
      </c>
      <c r="N273" s="173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ht="15.75" customHeight="1">
      <c r="A274" s="10"/>
      <c r="B274" s="174"/>
      <c r="C274" s="6"/>
      <c r="D274" s="127"/>
      <c r="E274" s="127"/>
      <c r="F274" s="175"/>
      <c r="G274" s="26">
        <v>0.0</v>
      </c>
      <c r="H274" s="176"/>
      <c r="I274" s="154">
        <f t="shared" si="1"/>
        <v>0</v>
      </c>
      <c r="J274" s="141"/>
      <c r="K274" s="154">
        <f t="shared" si="2"/>
        <v>0</v>
      </c>
      <c r="L274" s="154">
        <f t="shared" si="5"/>
        <v>0</v>
      </c>
      <c r="M274" s="154">
        <f t="shared" si="4"/>
        <v>0</v>
      </c>
      <c r="N274" s="173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ht="15.75" customHeight="1">
      <c r="A275" s="10"/>
      <c r="B275" s="174"/>
      <c r="C275" s="6"/>
      <c r="D275" s="127"/>
      <c r="E275" s="127"/>
      <c r="F275" s="175"/>
      <c r="G275" s="26">
        <v>0.0</v>
      </c>
      <c r="H275" s="176"/>
      <c r="I275" s="154">
        <f t="shared" si="1"/>
        <v>0</v>
      </c>
      <c r="J275" s="141"/>
      <c r="K275" s="154">
        <f t="shared" si="2"/>
        <v>0</v>
      </c>
      <c r="L275" s="154">
        <f t="shared" si="5"/>
        <v>0</v>
      </c>
      <c r="M275" s="154">
        <f t="shared" si="4"/>
        <v>0</v>
      </c>
      <c r="N275" s="173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ht="15.75" customHeight="1">
      <c r="A276" s="10"/>
      <c r="B276" s="174"/>
      <c r="C276" s="6"/>
      <c r="D276" s="127"/>
      <c r="E276" s="127"/>
      <c r="F276" s="175"/>
      <c r="G276" s="26">
        <v>0.0</v>
      </c>
      <c r="H276" s="176"/>
      <c r="I276" s="154">
        <f t="shared" si="1"/>
        <v>0</v>
      </c>
      <c r="J276" s="141"/>
      <c r="K276" s="154">
        <f t="shared" si="2"/>
        <v>0</v>
      </c>
      <c r="L276" s="154">
        <f t="shared" si="5"/>
        <v>0</v>
      </c>
      <c r="M276" s="154">
        <f t="shared" si="4"/>
        <v>0</v>
      </c>
      <c r="N276" s="173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ht="15.75" customHeight="1">
      <c r="A277" s="10"/>
      <c r="B277" s="174"/>
      <c r="C277" s="6"/>
      <c r="D277" s="127"/>
      <c r="E277" s="127"/>
      <c r="F277" s="175"/>
      <c r="G277" s="26">
        <v>0.0</v>
      </c>
      <c r="H277" s="176"/>
      <c r="I277" s="154">
        <f t="shared" si="1"/>
        <v>0</v>
      </c>
      <c r="J277" s="141"/>
      <c r="K277" s="154">
        <f t="shared" si="2"/>
        <v>0</v>
      </c>
      <c r="L277" s="154">
        <f t="shared" si="5"/>
        <v>0</v>
      </c>
      <c r="M277" s="154">
        <f t="shared" si="4"/>
        <v>0</v>
      </c>
      <c r="N277" s="173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ht="15.75" customHeight="1">
      <c r="A278" s="10"/>
      <c r="B278" s="174"/>
      <c r="C278" s="6"/>
      <c r="D278" s="127"/>
      <c r="E278" s="127"/>
      <c r="F278" s="175"/>
      <c r="G278" s="26">
        <v>0.0</v>
      </c>
      <c r="H278" s="176"/>
      <c r="I278" s="154">
        <f t="shared" si="1"/>
        <v>0</v>
      </c>
      <c r="J278" s="141"/>
      <c r="K278" s="154">
        <f t="shared" si="2"/>
        <v>0</v>
      </c>
      <c r="L278" s="154">
        <f t="shared" si="5"/>
        <v>0</v>
      </c>
      <c r="M278" s="154">
        <f t="shared" si="4"/>
        <v>0</v>
      </c>
      <c r="N278" s="173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ht="15.75" customHeight="1">
      <c r="A279" s="10"/>
      <c r="B279" s="174"/>
      <c r="C279" s="6"/>
      <c r="D279" s="127"/>
      <c r="E279" s="127"/>
      <c r="F279" s="175"/>
      <c r="G279" s="26">
        <v>0.0</v>
      </c>
      <c r="H279" s="176"/>
      <c r="I279" s="154">
        <f t="shared" si="1"/>
        <v>0</v>
      </c>
      <c r="J279" s="141"/>
      <c r="K279" s="154">
        <f t="shared" si="2"/>
        <v>0</v>
      </c>
      <c r="L279" s="154">
        <f t="shared" si="5"/>
        <v>0</v>
      </c>
      <c r="M279" s="154">
        <f t="shared" si="4"/>
        <v>0</v>
      </c>
      <c r="N279" s="173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ht="15.75" customHeight="1">
      <c r="A280" s="10"/>
      <c r="B280" s="174"/>
      <c r="C280" s="6"/>
      <c r="D280" s="127"/>
      <c r="E280" s="127"/>
      <c r="F280" s="175"/>
      <c r="G280" s="26">
        <v>0.0</v>
      </c>
      <c r="H280" s="176"/>
      <c r="I280" s="154">
        <f t="shared" si="1"/>
        <v>0</v>
      </c>
      <c r="J280" s="141"/>
      <c r="K280" s="154">
        <f t="shared" si="2"/>
        <v>0</v>
      </c>
      <c r="L280" s="154">
        <f t="shared" si="5"/>
        <v>0</v>
      </c>
      <c r="M280" s="154">
        <f t="shared" si="4"/>
        <v>0</v>
      </c>
      <c r="N280" s="173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ht="15.75" customHeight="1">
      <c r="A281" s="10"/>
      <c r="B281" s="174"/>
      <c r="C281" s="6"/>
      <c r="D281" s="127"/>
      <c r="E281" s="127"/>
      <c r="F281" s="175"/>
      <c r="G281" s="26">
        <v>0.0</v>
      </c>
      <c r="H281" s="176"/>
      <c r="I281" s="154">
        <f t="shared" si="1"/>
        <v>0</v>
      </c>
      <c r="J281" s="141"/>
      <c r="K281" s="154">
        <f t="shared" si="2"/>
        <v>0</v>
      </c>
      <c r="L281" s="154">
        <f t="shared" si="5"/>
        <v>0</v>
      </c>
      <c r="M281" s="154">
        <f t="shared" si="4"/>
        <v>0</v>
      </c>
      <c r="N281" s="173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ht="15.75" customHeight="1">
      <c r="A282" s="10"/>
      <c r="B282" s="174"/>
      <c r="C282" s="6"/>
      <c r="D282" s="127"/>
      <c r="E282" s="127"/>
      <c r="F282" s="175"/>
      <c r="G282" s="26">
        <v>0.0</v>
      </c>
      <c r="H282" s="176"/>
      <c r="I282" s="154">
        <f t="shared" si="1"/>
        <v>0</v>
      </c>
      <c r="J282" s="141"/>
      <c r="K282" s="154">
        <f t="shared" si="2"/>
        <v>0</v>
      </c>
      <c r="L282" s="154">
        <f t="shared" si="5"/>
        <v>0</v>
      </c>
      <c r="M282" s="154">
        <f t="shared" si="4"/>
        <v>0</v>
      </c>
      <c r="N282" s="173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ht="15.75" customHeight="1">
      <c r="A283" s="10"/>
      <c r="B283" s="174"/>
      <c r="C283" s="6"/>
      <c r="D283" s="127"/>
      <c r="E283" s="127"/>
      <c r="F283" s="175"/>
      <c r="G283" s="26">
        <v>0.0</v>
      </c>
      <c r="H283" s="176"/>
      <c r="I283" s="154">
        <f t="shared" si="1"/>
        <v>0</v>
      </c>
      <c r="J283" s="141"/>
      <c r="K283" s="154">
        <f t="shared" si="2"/>
        <v>0</v>
      </c>
      <c r="L283" s="154">
        <f t="shared" si="5"/>
        <v>0</v>
      </c>
      <c r="M283" s="154">
        <f t="shared" si="4"/>
        <v>0</v>
      </c>
      <c r="N283" s="173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ht="15.75" customHeight="1">
      <c r="A284" s="10"/>
      <c r="B284" s="174"/>
      <c r="C284" s="6"/>
      <c r="D284" s="127"/>
      <c r="E284" s="127"/>
      <c r="F284" s="175"/>
      <c r="G284" s="26">
        <v>0.0</v>
      </c>
      <c r="H284" s="176"/>
      <c r="I284" s="154">
        <f t="shared" si="1"/>
        <v>0</v>
      </c>
      <c r="J284" s="141"/>
      <c r="K284" s="154">
        <f t="shared" si="2"/>
        <v>0</v>
      </c>
      <c r="L284" s="154">
        <f t="shared" si="5"/>
        <v>0</v>
      </c>
      <c r="M284" s="154">
        <f t="shared" si="4"/>
        <v>0</v>
      </c>
      <c r="N284" s="173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ht="15.75" customHeight="1">
      <c r="A285" s="10"/>
      <c r="B285" s="174"/>
      <c r="C285" s="6"/>
      <c r="D285" s="127"/>
      <c r="E285" s="127"/>
      <c r="F285" s="175"/>
      <c r="G285" s="26">
        <v>0.0</v>
      </c>
      <c r="H285" s="176"/>
      <c r="I285" s="154">
        <f t="shared" si="1"/>
        <v>0</v>
      </c>
      <c r="J285" s="141"/>
      <c r="K285" s="154">
        <f t="shared" si="2"/>
        <v>0</v>
      </c>
      <c r="L285" s="154">
        <f t="shared" si="5"/>
        <v>0</v>
      </c>
      <c r="M285" s="154">
        <f t="shared" si="4"/>
        <v>0</v>
      </c>
      <c r="N285" s="173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ht="15.75" customHeight="1">
      <c r="A286" s="10"/>
      <c r="B286" s="174"/>
      <c r="C286" s="6"/>
      <c r="D286" s="127"/>
      <c r="E286" s="127"/>
      <c r="F286" s="175"/>
      <c r="G286" s="26">
        <v>0.0</v>
      </c>
      <c r="H286" s="176"/>
      <c r="I286" s="154">
        <f t="shared" si="1"/>
        <v>0</v>
      </c>
      <c r="J286" s="141"/>
      <c r="K286" s="154">
        <f t="shared" si="2"/>
        <v>0</v>
      </c>
      <c r="L286" s="154">
        <f t="shared" si="5"/>
        <v>0</v>
      </c>
      <c r="M286" s="154">
        <f t="shared" si="4"/>
        <v>0</v>
      </c>
      <c r="N286" s="173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ht="15.75" customHeight="1">
      <c r="A287" s="10"/>
      <c r="B287" s="174"/>
      <c r="C287" s="6"/>
      <c r="D287" s="127"/>
      <c r="E287" s="127"/>
      <c r="F287" s="175"/>
      <c r="G287" s="26">
        <v>0.0</v>
      </c>
      <c r="H287" s="176"/>
      <c r="I287" s="154">
        <f t="shared" si="1"/>
        <v>0</v>
      </c>
      <c r="J287" s="141"/>
      <c r="K287" s="154">
        <f t="shared" si="2"/>
        <v>0</v>
      </c>
      <c r="L287" s="154">
        <f t="shared" si="5"/>
        <v>0</v>
      </c>
      <c r="M287" s="154">
        <f t="shared" si="4"/>
        <v>0</v>
      </c>
      <c r="N287" s="173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ht="15.75" customHeight="1">
      <c r="A288" s="10"/>
      <c r="B288" s="174"/>
      <c r="C288" s="6"/>
      <c r="D288" s="127"/>
      <c r="E288" s="127"/>
      <c r="F288" s="175"/>
      <c r="G288" s="26">
        <v>0.0</v>
      </c>
      <c r="H288" s="176"/>
      <c r="I288" s="154">
        <f t="shared" si="1"/>
        <v>0</v>
      </c>
      <c r="J288" s="141"/>
      <c r="K288" s="154">
        <f t="shared" si="2"/>
        <v>0</v>
      </c>
      <c r="L288" s="154">
        <f t="shared" si="5"/>
        <v>0</v>
      </c>
      <c r="M288" s="154">
        <f t="shared" si="4"/>
        <v>0</v>
      </c>
      <c r="N288" s="173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ht="15.75" customHeight="1">
      <c r="A289" s="10"/>
      <c r="B289" s="174"/>
      <c r="C289" s="6"/>
      <c r="D289" s="127"/>
      <c r="E289" s="127"/>
      <c r="F289" s="175"/>
      <c r="G289" s="26">
        <v>0.0</v>
      </c>
      <c r="H289" s="176"/>
      <c r="I289" s="154">
        <f t="shared" si="1"/>
        <v>0</v>
      </c>
      <c r="J289" s="141"/>
      <c r="K289" s="154">
        <f t="shared" si="2"/>
        <v>0</v>
      </c>
      <c r="L289" s="154">
        <f t="shared" si="5"/>
        <v>0</v>
      </c>
      <c r="M289" s="154">
        <f t="shared" si="4"/>
        <v>0</v>
      </c>
      <c r="N289" s="173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ht="15.75" customHeight="1">
      <c r="A290" s="10"/>
      <c r="B290" s="174"/>
      <c r="C290" s="6"/>
      <c r="D290" s="127"/>
      <c r="E290" s="127"/>
      <c r="F290" s="175"/>
      <c r="G290" s="26">
        <v>0.0</v>
      </c>
      <c r="H290" s="176"/>
      <c r="I290" s="154">
        <f t="shared" si="1"/>
        <v>0</v>
      </c>
      <c r="J290" s="141"/>
      <c r="K290" s="154">
        <f t="shared" si="2"/>
        <v>0</v>
      </c>
      <c r="L290" s="154">
        <f t="shared" si="5"/>
        <v>0</v>
      </c>
      <c r="M290" s="154">
        <f t="shared" si="4"/>
        <v>0</v>
      </c>
      <c r="N290" s="173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ht="15.75" customHeight="1">
      <c r="A291" s="10"/>
      <c r="B291" s="174"/>
      <c r="C291" s="6"/>
      <c r="D291" s="127"/>
      <c r="E291" s="127"/>
      <c r="F291" s="175"/>
      <c r="G291" s="26">
        <v>0.0</v>
      </c>
      <c r="H291" s="176"/>
      <c r="I291" s="154">
        <f t="shared" si="1"/>
        <v>0</v>
      </c>
      <c r="J291" s="141"/>
      <c r="K291" s="154">
        <f t="shared" si="2"/>
        <v>0</v>
      </c>
      <c r="L291" s="154">
        <f t="shared" si="5"/>
        <v>0</v>
      </c>
      <c r="M291" s="154">
        <f t="shared" si="4"/>
        <v>0</v>
      </c>
      <c r="N291" s="173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ht="15.75" customHeight="1">
      <c r="A292" s="10"/>
      <c r="B292" s="174"/>
      <c r="C292" s="6"/>
      <c r="D292" s="127"/>
      <c r="E292" s="127"/>
      <c r="F292" s="175"/>
      <c r="G292" s="26">
        <v>0.0</v>
      </c>
      <c r="H292" s="176"/>
      <c r="I292" s="154">
        <f t="shared" si="1"/>
        <v>0</v>
      </c>
      <c r="J292" s="141"/>
      <c r="K292" s="154">
        <f t="shared" si="2"/>
        <v>0</v>
      </c>
      <c r="L292" s="154">
        <f t="shared" si="5"/>
        <v>0</v>
      </c>
      <c r="M292" s="154">
        <f t="shared" si="4"/>
        <v>0</v>
      </c>
      <c r="N292" s="173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ht="15.75" customHeight="1">
      <c r="A293" s="10"/>
      <c r="B293" s="174"/>
      <c r="C293" s="6"/>
      <c r="D293" s="127"/>
      <c r="E293" s="127"/>
      <c r="F293" s="175"/>
      <c r="G293" s="26">
        <v>0.0</v>
      </c>
      <c r="H293" s="176"/>
      <c r="I293" s="154">
        <f t="shared" si="1"/>
        <v>0</v>
      </c>
      <c r="J293" s="141"/>
      <c r="K293" s="154">
        <f t="shared" si="2"/>
        <v>0</v>
      </c>
      <c r="L293" s="154">
        <f t="shared" si="5"/>
        <v>0</v>
      </c>
      <c r="M293" s="154">
        <f t="shared" si="4"/>
        <v>0</v>
      </c>
      <c r="N293" s="173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ht="15.75" customHeight="1">
      <c r="A294" s="10"/>
      <c r="B294" s="174"/>
      <c r="C294" s="6"/>
      <c r="D294" s="127"/>
      <c r="E294" s="127"/>
      <c r="F294" s="175"/>
      <c r="G294" s="26">
        <v>0.0</v>
      </c>
      <c r="H294" s="176"/>
      <c r="I294" s="154">
        <f t="shared" si="1"/>
        <v>0</v>
      </c>
      <c r="J294" s="141"/>
      <c r="K294" s="154">
        <f t="shared" si="2"/>
        <v>0</v>
      </c>
      <c r="L294" s="154">
        <f t="shared" si="5"/>
        <v>0</v>
      </c>
      <c r="M294" s="154">
        <f t="shared" si="4"/>
        <v>0</v>
      </c>
      <c r="N294" s="173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ht="15.75" customHeight="1">
      <c r="A295" s="10"/>
      <c r="B295" s="174"/>
      <c r="C295" s="6"/>
      <c r="D295" s="127"/>
      <c r="E295" s="127"/>
      <c r="F295" s="175"/>
      <c r="G295" s="26">
        <v>0.0</v>
      </c>
      <c r="H295" s="176"/>
      <c r="I295" s="154">
        <f t="shared" si="1"/>
        <v>0</v>
      </c>
      <c r="J295" s="141"/>
      <c r="K295" s="154">
        <f t="shared" si="2"/>
        <v>0</v>
      </c>
      <c r="L295" s="154">
        <f t="shared" si="5"/>
        <v>0</v>
      </c>
      <c r="M295" s="154">
        <f t="shared" si="4"/>
        <v>0</v>
      </c>
      <c r="N295" s="173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ht="15.75" customHeight="1">
      <c r="A296" s="10"/>
      <c r="B296" s="174"/>
      <c r="C296" s="6"/>
      <c r="D296" s="127"/>
      <c r="E296" s="127"/>
      <c r="F296" s="175"/>
      <c r="G296" s="26">
        <v>0.0</v>
      </c>
      <c r="H296" s="176"/>
      <c r="I296" s="154">
        <f t="shared" si="1"/>
        <v>0</v>
      </c>
      <c r="J296" s="141"/>
      <c r="K296" s="154">
        <f t="shared" si="2"/>
        <v>0</v>
      </c>
      <c r="L296" s="154">
        <f t="shared" si="5"/>
        <v>0</v>
      </c>
      <c r="M296" s="154">
        <f t="shared" si="4"/>
        <v>0</v>
      </c>
      <c r="N296" s="173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ht="15.75" customHeight="1">
      <c r="A297" s="10"/>
      <c r="B297" s="174"/>
      <c r="C297" s="6"/>
      <c r="D297" s="127"/>
      <c r="E297" s="127"/>
      <c r="F297" s="175"/>
      <c r="G297" s="26">
        <v>0.0</v>
      </c>
      <c r="H297" s="176"/>
      <c r="I297" s="154">
        <f t="shared" si="1"/>
        <v>0</v>
      </c>
      <c r="J297" s="141"/>
      <c r="K297" s="154">
        <f t="shared" si="2"/>
        <v>0</v>
      </c>
      <c r="L297" s="154">
        <f t="shared" si="5"/>
        <v>0</v>
      </c>
      <c r="M297" s="154">
        <f t="shared" si="4"/>
        <v>0</v>
      </c>
      <c r="N297" s="173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ht="15.75" customHeight="1">
      <c r="A298" s="10"/>
      <c r="B298" s="174"/>
      <c r="C298" s="6"/>
      <c r="D298" s="127"/>
      <c r="E298" s="127"/>
      <c r="F298" s="175"/>
      <c r="G298" s="26">
        <v>0.0</v>
      </c>
      <c r="H298" s="176"/>
      <c r="I298" s="154">
        <f t="shared" si="1"/>
        <v>0</v>
      </c>
      <c r="J298" s="141"/>
      <c r="K298" s="154">
        <f t="shared" si="2"/>
        <v>0</v>
      </c>
      <c r="L298" s="154">
        <f t="shared" si="5"/>
        <v>0</v>
      </c>
      <c r="M298" s="154">
        <f t="shared" si="4"/>
        <v>0</v>
      </c>
      <c r="N298" s="173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ht="15.75" customHeight="1">
      <c r="A299" s="10"/>
      <c r="B299" s="174"/>
      <c r="C299" s="6"/>
      <c r="D299" s="127"/>
      <c r="E299" s="127"/>
      <c r="F299" s="175"/>
      <c r="G299" s="26">
        <v>0.0</v>
      </c>
      <c r="H299" s="176"/>
      <c r="I299" s="154">
        <f t="shared" si="1"/>
        <v>0</v>
      </c>
      <c r="J299" s="141"/>
      <c r="K299" s="154">
        <f t="shared" si="2"/>
        <v>0</v>
      </c>
      <c r="L299" s="154">
        <f t="shared" si="5"/>
        <v>0</v>
      </c>
      <c r="M299" s="154">
        <f t="shared" si="4"/>
        <v>0</v>
      </c>
      <c r="N299" s="173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ht="15.75" customHeight="1">
      <c r="A300" s="10"/>
      <c r="B300" s="174"/>
      <c r="C300" s="6"/>
      <c r="D300" s="127"/>
      <c r="E300" s="127"/>
      <c r="F300" s="175"/>
      <c r="G300" s="26">
        <v>0.0</v>
      </c>
      <c r="H300" s="176"/>
      <c r="I300" s="154">
        <f t="shared" si="1"/>
        <v>0</v>
      </c>
      <c r="J300" s="141"/>
      <c r="K300" s="154">
        <f t="shared" si="2"/>
        <v>0</v>
      </c>
      <c r="L300" s="154">
        <f t="shared" si="5"/>
        <v>0</v>
      </c>
      <c r="M300" s="154">
        <f t="shared" si="4"/>
        <v>0</v>
      </c>
      <c r="N300" s="173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ht="15.75" customHeight="1">
      <c r="A301" s="10"/>
      <c r="B301" s="174"/>
      <c r="C301" s="6"/>
      <c r="D301" s="127"/>
      <c r="E301" s="127"/>
      <c r="F301" s="175"/>
      <c r="G301" s="26">
        <v>0.0</v>
      </c>
      <c r="H301" s="176"/>
      <c r="I301" s="154">
        <f t="shared" si="1"/>
        <v>0</v>
      </c>
      <c r="J301" s="141"/>
      <c r="K301" s="154">
        <f t="shared" si="2"/>
        <v>0</v>
      </c>
      <c r="L301" s="154">
        <f t="shared" si="5"/>
        <v>0</v>
      </c>
      <c r="M301" s="154">
        <f t="shared" si="4"/>
        <v>0</v>
      </c>
      <c r="N301" s="173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ht="15.75" customHeight="1">
      <c r="A302" s="10"/>
      <c r="B302" s="174"/>
      <c r="C302" s="6"/>
      <c r="D302" s="127"/>
      <c r="E302" s="127"/>
      <c r="F302" s="175"/>
      <c r="G302" s="26">
        <v>0.0</v>
      </c>
      <c r="H302" s="176"/>
      <c r="I302" s="154">
        <f t="shared" si="1"/>
        <v>0</v>
      </c>
      <c r="J302" s="141"/>
      <c r="K302" s="154">
        <f t="shared" si="2"/>
        <v>0</v>
      </c>
      <c r="L302" s="154">
        <f t="shared" si="5"/>
        <v>0</v>
      </c>
      <c r="M302" s="154">
        <f t="shared" si="4"/>
        <v>0</v>
      </c>
      <c r="N302" s="173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ht="15.75" customHeight="1">
      <c r="A303" s="10"/>
      <c r="B303" s="174"/>
      <c r="C303" s="6"/>
      <c r="D303" s="127"/>
      <c r="E303" s="127"/>
      <c r="F303" s="175"/>
      <c r="G303" s="26">
        <v>0.0</v>
      </c>
      <c r="H303" s="176"/>
      <c r="I303" s="154">
        <f t="shared" si="1"/>
        <v>0</v>
      </c>
      <c r="J303" s="141"/>
      <c r="K303" s="154">
        <f t="shared" si="2"/>
        <v>0</v>
      </c>
      <c r="L303" s="154">
        <f t="shared" si="5"/>
        <v>0</v>
      </c>
      <c r="M303" s="154">
        <f t="shared" si="4"/>
        <v>0</v>
      </c>
      <c r="N303" s="173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ht="15.75" customHeight="1">
      <c r="A304" s="10"/>
      <c r="B304" s="174"/>
      <c r="C304" s="6"/>
      <c r="D304" s="127"/>
      <c r="E304" s="127"/>
      <c r="F304" s="175"/>
      <c r="G304" s="26">
        <v>0.0</v>
      </c>
      <c r="H304" s="176"/>
      <c r="I304" s="154">
        <f t="shared" si="1"/>
        <v>0</v>
      </c>
      <c r="J304" s="141"/>
      <c r="K304" s="154">
        <f t="shared" si="2"/>
        <v>0</v>
      </c>
      <c r="L304" s="154">
        <f t="shared" si="5"/>
        <v>0</v>
      </c>
      <c r="M304" s="154">
        <f t="shared" si="4"/>
        <v>0</v>
      </c>
      <c r="N304" s="173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ht="15.75" customHeight="1">
      <c r="A305" s="10"/>
      <c r="B305" s="174"/>
      <c r="C305" s="6"/>
      <c r="D305" s="127"/>
      <c r="E305" s="127"/>
      <c r="F305" s="175"/>
      <c r="G305" s="26">
        <v>0.0</v>
      </c>
      <c r="H305" s="176"/>
      <c r="I305" s="154">
        <f t="shared" si="1"/>
        <v>0</v>
      </c>
      <c r="J305" s="141"/>
      <c r="K305" s="154">
        <f t="shared" si="2"/>
        <v>0</v>
      </c>
      <c r="L305" s="154">
        <f t="shared" si="5"/>
        <v>0</v>
      </c>
      <c r="M305" s="154">
        <f t="shared" si="4"/>
        <v>0</v>
      </c>
      <c r="N305" s="173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ht="15.75" customHeight="1">
      <c r="A306" s="10"/>
      <c r="B306" s="174"/>
      <c r="C306" s="6"/>
      <c r="D306" s="127"/>
      <c r="E306" s="127"/>
      <c r="F306" s="175"/>
      <c r="G306" s="26">
        <v>0.0</v>
      </c>
      <c r="H306" s="176"/>
      <c r="I306" s="154">
        <f t="shared" si="1"/>
        <v>0</v>
      </c>
      <c r="J306" s="141"/>
      <c r="K306" s="154">
        <f t="shared" si="2"/>
        <v>0</v>
      </c>
      <c r="L306" s="154">
        <f t="shared" si="5"/>
        <v>0</v>
      </c>
      <c r="M306" s="154">
        <f t="shared" si="4"/>
        <v>0</v>
      </c>
      <c r="N306" s="173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ht="15.75" customHeight="1">
      <c r="A307" s="10"/>
      <c r="B307" s="174"/>
      <c r="C307" s="6"/>
      <c r="D307" s="127"/>
      <c r="E307" s="127"/>
      <c r="F307" s="175"/>
      <c r="G307" s="26">
        <v>0.0</v>
      </c>
      <c r="H307" s="176"/>
      <c r="I307" s="154">
        <f t="shared" si="1"/>
        <v>0</v>
      </c>
      <c r="J307" s="141"/>
      <c r="K307" s="154">
        <f t="shared" si="2"/>
        <v>0</v>
      </c>
      <c r="L307" s="154">
        <f t="shared" si="5"/>
        <v>0</v>
      </c>
      <c r="M307" s="154">
        <f t="shared" si="4"/>
        <v>0</v>
      </c>
      <c r="N307" s="173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ht="15.75" customHeight="1">
      <c r="A308" s="10"/>
      <c r="B308" s="174"/>
      <c r="C308" s="6"/>
      <c r="D308" s="127"/>
      <c r="E308" s="127"/>
      <c r="F308" s="175"/>
      <c r="G308" s="26">
        <v>0.0</v>
      </c>
      <c r="H308" s="176"/>
      <c r="I308" s="154">
        <f t="shared" si="1"/>
        <v>0</v>
      </c>
      <c r="J308" s="141"/>
      <c r="K308" s="154">
        <f t="shared" si="2"/>
        <v>0</v>
      </c>
      <c r="L308" s="154">
        <f t="shared" si="5"/>
        <v>0</v>
      </c>
      <c r="M308" s="154">
        <f t="shared" si="4"/>
        <v>0</v>
      </c>
      <c r="N308" s="173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ht="15.75" customHeight="1">
      <c r="A309" s="10"/>
      <c r="B309" s="174"/>
      <c r="C309" s="6"/>
      <c r="D309" s="127"/>
      <c r="E309" s="127"/>
      <c r="F309" s="175"/>
      <c r="G309" s="26">
        <v>0.0</v>
      </c>
      <c r="H309" s="176"/>
      <c r="I309" s="154">
        <f t="shared" si="1"/>
        <v>0</v>
      </c>
      <c r="J309" s="141"/>
      <c r="K309" s="154">
        <f t="shared" si="2"/>
        <v>0</v>
      </c>
      <c r="L309" s="154">
        <f t="shared" si="5"/>
        <v>0</v>
      </c>
      <c r="M309" s="154">
        <f t="shared" si="4"/>
        <v>0</v>
      </c>
      <c r="N309" s="173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ht="15.75" customHeight="1">
      <c r="A310" s="10"/>
      <c r="B310" s="174"/>
      <c r="C310" s="6"/>
      <c r="D310" s="127"/>
      <c r="E310" s="127"/>
      <c r="F310" s="175"/>
      <c r="G310" s="26">
        <v>0.0</v>
      </c>
      <c r="H310" s="176"/>
      <c r="I310" s="154">
        <f t="shared" si="1"/>
        <v>0</v>
      </c>
      <c r="J310" s="141"/>
      <c r="K310" s="154">
        <f t="shared" si="2"/>
        <v>0</v>
      </c>
      <c r="L310" s="154">
        <f t="shared" si="5"/>
        <v>0</v>
      </c>
      <c r="M310" s="154">
        <f t="shared" si="4"/>
        <v>0</v>
      </c>
      <c r="N310" s="173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ht="15.75" customHeight="1">
      <c r="A311" s="10"/>
      <c r="B311" s="174"/>
      <c r="C311" s="6"/>
      <c r="D311" s="127"/>
      <c r="E311" s="127"/>
      <c r="F311" s="175"/>
      <c r="G311" s="26">
        <v>0.0</v>
      </c>
      <c r="H311" s="176"/>
      <c r="I311" s="154">
        <f t="shared" si="1"/>
        <v>0</v>
      </c>
      <c r="J311" s="141"/>
      <c r="K311" s="154">
        <f t="shared" si="2"/>
        <v>0</v>
      </c>
      <c r="L311" s="154">
        <f t="shared" si="5"/>
        <v>0</v>
      </c>
      <c r="M311" s="154">
        <f t="shared" si="4"/>
        <v>0</v>
      </c>
      <c r="N311" s="173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ht="15.75" customHeight="1">
      <c r="A312" s="10"/>
      <c r="B312" s="174"/>
      <c r="C312" s="6"/>
      <c r="D312" s="127"/>
      <c r="E312" s="127"/>
      <c r="F312" s="175"/>
      <c r="G312" s="26">
        <v>0.0</v>
      </c>
      <c r="H312" s="176"/>
      <c r="I312" s="154">
        <f t="shared" si="1"/>
        <v>0</v>
      </c>
      <c r="J312" s="141"/>
      <c r="K312" s="154">
        <f t="shared" si="2"/>
        <v>0</v>
      </c>
      <c r="L312" s="154">
        <f t="shared" si="5"/>
        <v>0</v>
      </c>
      <c r="M312" s="154">
        <f t="shared" si="4"/>
        <v>0</v>
      </c>
      <c r="N312" s="173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ht="15.75" customHeight="1">
      <c r="A313" s="10"/>
      <c r="B313" s="174"/>
      <c r="C313" s="6"/>
      <c r="D313" s="127"/>
      <c r="E313" s="127"/>
      <c r="F313" s="175"/>
      <c r="G313" s="26">
        <v>0.0</v>
      </c>
      <c r="H313" s="176"/>
      <c r="I313" s="154">
        <f t="shared" si="1"/>
        <v>0</v>
      </c>
      <c r="J313" s="141"/>
      <c r="K313" s="154">
        <f t="shared" si="2"/>
        <v>0</v>
      </c>
      <c r="L313" s="154">
        <f t="shared" si="5"/>
        <v>0</v>
      </c>
      <c r="M313" s="154">
        <f t="shared" si="4"/>
        <v>0</v>
      </c>
      <c r="N313" s="173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ht="15.75" customHeight="1">
      <c r="A314" s="10"/>
      <c r="B314" s="174"/>
      <c r="C314" s="6"/>
      <c r="D314" s="127"/>
      <c r="E314" s="127"/>
      <c r="F314" s="175"/>
      <c r="G314" s="26">
        <v>0.0</v>
      </c>
      <c r="H314" s="176"/>
      <c r="I314" s="154">
        <f t="shared" si="1"/>
        <v>0</v>
      </c>
      <c r="J314" s="141"/>
      <c r="K314" s="154">
        <f t="shared" si="2"/>
        <v>0</v>
      </c>
      <c r="L314" s="154">
        <f t="shared" si="5"/>
        <v>0</v>
      </c>
      <c r="M314" s="154">
        <f t="shared" si="4"/>
        <v>0</v>
      </c>
      <c r="N314" s="173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ht="15.75" customHeight="1">
      <c r="A315" s="10"/>
      <c r="B315" s="174"/>
      <c r="C315" s="6"/>
      <c r="D315" s="127"/>
      <c r="E315" s="127"/>
      <c r="F315" s="175"/>
      <c r="G315" s="26">
        <v>0.0</v>
      </c>
      <c r="H315" s="176"/>
      <c r="I315" s="154">
        <f t="shared" si="1"/>
        <v>0</v>
      </c>
      <c r="J315" s="141"/>
      <c r="K315" s="154">
        <f t="shared" si="2"/>
        <v>0</v>
      </c>
      <c r="L315" s="154">
        <f t="shared" si="5"/>
        <v>0</v>
      </c>
      <c r="M315" s="154">
        <f t="shared" si="4"/>
        <v>0</v>
      </c>
      <c r="N315" s="173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ht="15.75" customHeight="1">
      <c r="A316" s="10"/>
      <c r="B316" s="174"/>
      <c r="C316" s="6"/>
      <c r="D316" s="127"/>
      <c r="E316" s="127"/>
      <c r="F316" s="175"/>
      <c r="G316" s="26">
        <v>0.0</v>
      </c>
      <c r="H316" s="176"/>
      <c r="I316" s="154">
        <f t="shared" si="1"/>
        <v>0</v>
      </c>
      <c r="J316" s="141"/>
      <c r="K316" s="154">
        <f t="shared" si="2"/>
        <v>0</v>
      </c>
      <c r="L316" s="154">
        <f t="shared" si="5"/>
        <v>0</v>
      </c>
      <c r="M316" s="154">
        <f t="shared" si="4"/>
        <v>0</v>
      </c>
      <c r="N316" s="173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ht="15.75" customHeight="1">
      <c r="A317" s="10"/>
      <c r="B317" s="174"/>
      <c r="C317" s="6"/>
      <c r="D317" s="127"/>
      <c r="E317" s="127"/>
      <c r="F317" s="175"/>
      <c r="G317" s="26">
        <v>0.0</v>
      </c>
      <c r="H317" s="176"/>
      <c r="I317" s="154">
        <f t="shared" si="1"/>
        <v>0</v>
      </c>
      <c r="J317" s="141"/>
      <c r="K317" s="154">
        <f t="shared" si="2"/>
        <v>0</v>
      </c>
      <c r="L317" s="154">
        <f t="shared" si="5"/>
        <v>0</v>
      </c>
      <c r="M317" s="154">
        <f t="shared" si="4"/>
        <v>0</v>
      </c>
      <c r="N317" s="173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ht="15.75" customHeight="1">
      <c r="A318" s="10"/>
      <c r="B318" s="174"/>
      <c r="C318" s="6"/>
      <c r="D318" s="127"/>
      <c r="E318" s="127"/>
      <c r="F318" s="175"/>
      <c r="G318" s="26">
        <v>0.0</v>
      </c>
      <c r="H318" s="176"/>
      <c r="I318" s="154">
        <f t="shared" si="1"/>
        <v>0</v>
      </c>
      <c r="J318" s="141"/>
      <c r="K318" s="154">
        <f t="shared" si="2"/>
        <v>0</v>
      </c>
      <c r="L318" s="154">
        <f t="shared" si="5"/>
        <v>0</v>
      </c>
      <c r="M318" s="154">
        <f t="shared" si="4"/>
        <v>0</v>
      </c>
      <c r="N318" s="173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ht="15.75" customHeight="1">
      <c r="A319" s="10"/>
      <c r="B319" s="174"/>
      <c r="C319" s="6"/>
      <c r="D319" s="127"/>
      <c r="E319" s="127"/>
      <c r="F319" s="175"/>
      <c r="G319" s="26">
        <v>0.0</v>
      </c>
      <c r="H319" s="176"/>
      <c r="I319" s="154">
        <f t="shared" si="1"/>
        <v>0</v>
      </c>
      <c r="J319" s="141"/>
      <c r="K319" s="154">
        <f t="shared" si="2"/>
        <v>0</v>
      </c>
      <c r="L319" s="154">
        <f t="shared" si="5"/>
        <v>0</v>
      </c>
      <c r="M319" s="154">
        <f t="shared" si="4"/>
        <v>0</v>
      </c>
      <c r="N319" s="173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ht="15.75" customHeight="1">
      <c r="A320" s="10"/>
      <c r="B320" s="174"/>
      <c r="C320" s="6"/>
      <c r="D320" s="127"/>
      <c r="E320" s="127"/>
      <c r="F320" s="175"/>
      <c r="G320" s="26">
        <v>0.0</v>
      </c>
      <c r="H320" s="176"/>
      <c r="I320" s="154">
        <f t="shared" si="1"/>
        <v>0</v>
      </c>
      <c r="J320" s="141"/>
      <c r="K320" s="154">
        <f t="shared" si="2"/>
        <v>0</v>
      </c>
      <c r="L320" s="154">
        <f t="shared" si="5"/>
        <v>0</v>
      </c>
      <c r="M320" s="154">
        <f t="shared" si="4"/>
        <v>0</v>
      </c>
      <c r="N320" s="173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ht="15.75" customHeight="1">
      <c r="A321" s="10"/>
      <c r="B321" s="174"/>
      <c r="C321" s="6"/>
      <c r="D321" s="127"/>
      <c r="E321" s="127"/>
      <c r="F321" s="175"/>
      <c r="G321" s="26">
        <v>0.0</v>
      </c>
      <c r="H321" s="176"/>
      <c r="I321" s="154">
        <f t="shared" si="1"/>
        <v>0</v>
      </c>
      <c r="J321" s="141"/>
      <c r="K321" s="154">
        <f t="shared" si="2"/>
        <v>0</v>
      </c>
      <c r="L321" s="154">
        <f t="shared" si="5"/>
        <v>0</v>
      </c>
      <c r="M321" s="154">
        <f t="shared" si="4"/>
        <v>0</v>
      </c>
      <c r="N321" s="173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ht="15.75" customHeight="1">
      <c r="A322" s="10"/>
      <c r="B322" s="174"/>
      <c r="C322" s="6"/>
      <c r="D322" s="127"/>
      <c r="E322" s="127"/>
      <c r="F322" s="175"/>
      <c r="G322" s="26">
        <v>0.0</v>
      </c>
      <c r="H322" s="176"/>
      <c r="I322" s="154">
        <f t="shared" si="1"/>
        <v>0</v>
      </c>
      <c r="J322" s="141"/>
      <c r="K322" s="154">
        <f t="shared" si="2"/>
        <v>0</v>
      </c>
      <c r="L322" s="154">
        <f t="shared" si="5"/>
        <v>0</v>
      </c>
      <c r="M322" s="154">
        <f t="shared" si="4"/>
        <v>0</v>
      </c>
      <c r="N322" s="173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ht="15.75" customHeight="1">
      <c r="A323" s="10"/>
      <c r="B323" s="174"/>
      <c r="C323" s="6"/>
      <c r="D323" s="127"/>
      <c r="E323" s="127"/>
      <c r="F323" s="175"/>
      <c r="G323" s="26">
        <v>0.0</v>
      </c>
      <c r="H323" s="176"/>
      <c r="I323" s="154">
        <f t="shared" si="1"/>
        <v>0</v>
      </c>
      <c r="J323" s="141"/>
      <c r="K323" s="154">
        <f t="shared" si="2"/>
        <v>0</v>
      </c>
      <c r="L323" s="154">
        <f t="shared" si="5"/>
        <v>0</v>
      </c>
      <c r="M323" s="154">
        <f t="shared" si="4"/>
        <v>0</v>
      </c>
      <c r="N323" s="173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ht="15.75" customHeight="1">
      <c r="A324" s="10"/>
      <c r="B324" s="174"/>
      <c r="C324" s="6"/>
      <c r="D324" s="127"/>
      <c r="E324" s="127"/>
      <c r="F324" s="175"/>
      <c r="G324" s="26">
        <v>0.0</v>
      </c>
      <c r="H324" s="176"/>
      <c r="I324" s="154">
        <f t="shared" si="1"/>
        <v>0</v>
      </c>
      <c r="J324" s="141"/>
      <c r="K324" s="154">
        <f t="shared" si="2"/>
        <v>0</v>
      </c>
      <c r="L324" s="154">
        <f t="shared" si="5"/>
        <v>0</v>
      </c>
      <c r="M324" s="154">
        <f t="shared" si="4"/>
        <v>0</v>
      </c>
      <c r="N324" s="173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ht="15.75" customHeight="1">
      <c r="A325" s="10"/>
      <c r="B325" s="174"/>
      <c r="C325" s="6"/>
      <c r="D325" s="127"/>
      <c r="E325" s="127"/>
      <c r="F325" s="175"/>
      <c r="G325" s="26">
        <v>0.0</v>
      </c>
      <c r="H325" s="176"/>
      <c r="I325" s="154">
        <f t="shared" si="1"/>
        <v>0</v>
      </c>
      <c r="J325" s="141"/>
      <c r="K325" s="154">
        <f t="shared" si="2"/>
        <v>0</v>
      </c>
      <c r="L325" s="154">
        <f t="shared" si="5"/>
        <v>0</v>
      </c>
      <c r="M325" s="154">
        <f t="shared" si="4"/>
        <v>0</v>
      </c>
      <c r="N325" s="173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ht="15.75" customHeight="1">
      <c r="A326" s="10"/>
      <c r="B326" s="174"/>
      <c r="C326" s="6"/>
      <c r="D326" s="127"/>
      <c r="E326" s="127"/>
      <c r="F326" s="175"/>
      <c r="G326" s="26">
        <v>0.0</v>
      </c>
      <c r="H326" s="176"/>
      <c r="I326" s="154">
        <f t="shared" si="1"/>
        <v>0</v>
      </c>
      <c r="J326" s="141"/>
      <c r="K326" s="154">
        <f t="shared" si="2"/>
        <v>0</v>
      </c>
      <c r="L326" s="154">
        <f t="shared" si="5"/>
        <v>0</v>
      </c>
      <c r="M326" s="154">
        <f t="shared" si="4"/>
        <v>0</v>
      </c>
      <c r="N326" s="173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ht="15.75" customHeight="1">
      <c r="A327" s="10"/>
      <c r="B327" s="174"/>
      <c r="C327" s="6"/>
      <c r="D327" s="127"/>
      <c r="E327" s="127"/>
      <c r="F327" s="175"/>
      <c r="G327" s="26">
        <v>0.0</v>
      </c>
      <c r="H327" s="176"/>
      <c r="I327" s="154">
        <f t="shared" si="1"/>
        <v>0</v>
      </c>
      <c r="J327" s="141"/>
      <c r="K327" s="154">
        <f t="shared" si="2"/>
        <v>0</v>
      </c>
      <c r="L327" s="154">
        <f t="shared" si="5"/>
        <v>0</v>
      </c>
      <c r="M327" s="154">
        <f t="shared" si="4"/>
        <v>0</v>
      </c>
      <c r="N327" s="173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ht="15.75" customHeight="1">
      <c r="A328" s="10"/>
      <c r="B328" s="174"/>
      <c r="C328" s="6"/>
      <c r="D328" s="127"/>
      <c r="E328" s="127"/>
      <c r="F328" s="175"/>
      <c r="G328" s="26">
        <v>0.0</v>
      </c>
      <c r="H328" s="176"/>
      <c r="I328" s="154">
        <f t="shared" si="1"/>
        <v>0</v>
      </c>
      <c r="J328" s="141"/>
      <c r="K328" s="154">
        <f t="shared" si="2"/>
        <v>0</v>
      </c>
      <c r="L328" s="154">
        <f t="shared" si="5"/>
        <v>0</v>
      </c>
      <c r="M328" s="154">
        <f t="shared" si="4"/>
        <v>0</v>
      </c>
      <c r="N328" s="173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ht="15.75" customHeight="1">
      <c r="A329" s="10"/>
      <c r="B329" s="174"/>
      <c r="C329" s="6"/>
      <c r="D329" s="127"/>
      <c r="E329" s="127"/>
      <c r="F329" s="175"/>
      <c r="G329" s="26">
        <v>0.0</v>
      </c>
      <c r="H329" s="176"/>
      <c r="I329" s="154">
        <f t="shared" si="1"/>
        <v>0</v>
      </c>
      <c r="J329" s="141"/>
      <c r="K329" s="154">
        <f t="shared" si="2"/>
        <v>0</v>
      </c>
      <c r="L329" s="154">
        <f t="shared" si="5"/>
        <v>0</v>
      </c>
      <c r="M329" s="154">
        <f t="shared" si="4"/>
        <v>0</v>
      </c>
      <c r="N329" s="173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ht="15.75" customHeight="1">
      <c r="A330" s="10"/>
      <c r="B330" s="174"/>
      <c r="C330" s="6"/>
      <c r="D330" s="127"/>
      <c r="E330" s="127"/>
      <c r="F330" s="175"/>
      <c r="G330" s="26">
        <v>0.0</v>
      </c>
      <c r="H330" s="176"/>
      <c r="I330" s="154">
        <f t="shared" si="1"/>
        <v>0</v>
      </c>
      <c r="J330" s="141"/>
      <c r="K330" s="154">
        <f t="shared" si="2"/>
        <v>0</v>
      </c>
      <c r="L330" s="154">
        <f t="shared" si="5"/>
        <v>0</v>
      </c>
      <c r="M330" s="154">
        <f t="shared" si="4"/>
        <v>0</v>
      </c>
      <c r="N330" s="173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ht="15.75" customHeight="1">
      <c r="A331" s="10"/>
      <c r="B331" s="174"/>
      <c r="C331" s="6"/>
      <c r="D331" s="127"/>
      <c r="E331" s="127"/>
      <c r="F331" s="175"/>
      <c r="G331" s="26">
        <v>0.0</v>
      </c>
      <c r="H331" s="176"/>
      <c r="I331" s="154">
        <f t="shared" si="1"/>
        <v>0</v>
      </c>
      <c r="J331" s="141"/>
      <c r="K331" s="154">
        <f t="shared" si="2"/>
        <v>0</v>
      </c>
      <c r="L331" s="154">
        <f t="shared" si="5"/>
        <v>0</v>
      </c>
      <c r="M331" s="154">
        <f t="shared" si="4"/>
        <v>0</v>
      </c>
      <c r="N331" s="173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ht="15.75" customHeight="1">
      <c r="A332" s="10"/>
      <c r="B332" s="174"/>
      <c r="C332" s="6"/>
      <c r="D332" s="127"/>
      <c r="E332" s="127"/>
      <c r="F332" s="175"/>
      <c r="G332" s="26">
        <v>0.0</v>
      </c>
      <c r="H332" s="176"/>
      <c r="I332" s="154">
        <f t="shared" si="1"/>
        <v>0</v>
      </c>
      <c r="J332" s="141"/>
      <c r="K332" s="154">
        <f t="shared" si="2"/>
        <v>0</v>
      </c>
      <c r="L332" s="154">
        <f t="shared" si="5"/>
        <v>0</v>
      </c>
      <c r="M332" s="154">
        <f t="shared" si="4"/>
        <v>0</v>
      </c>
      <c r="N332" s="173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ht="15.75" customHeight="1">
      <c r="A333" s="10"/>
      <c r="B333" s="174"/>
      <c r="C333" s="6"/>
      <c r="D333" s="127"/>
      <c r="E333" s="127"/>
      <c r="F333" s="175"/>
      <c r="G333" s="26">
        <v>0.0</v>
      </c>
      <c r="H333" s="176"/>
      <c r="I333" s="154">
        <f t="shared" si="1"/>
        <v>0</v>
      </c>
      <c r="J333" s="141"/>
      <c r="K333" s="154">
        <f t="shared" si="2"/>
        <v>0</v>
      </c>
      <c r="L333" s="154">
        <f t="shared" si="5"/>
        <v>0</v>
      </c>
      <c r="M333" s="154">
        <f t="shared" si="4"/>
        <v>0</v>
      </c>
      <c r="N333" s="173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ht="15.75" customHeight="1">
      <c r="A334" s="10"/>
      <c r="B334" s="174"/>
      <c r="C334" s="6"/>
      <c r="D334" s="127"/>
      <c r="E334" s="127"/>
      <c r="F334" s="175"/>
      <c r="G334" s="26">
        <v>0.0</v>
      </c>
      <c r="H334" s="176"/>
      <c r="I334" s="154">
        <f t="shared" si="1"/>
        <v>0</v>
      </c>
      <c r="J334" s="141"/>
      <c r="K334" s="154">
        <f t="shared" si="2"/>
        <v>0</v>
      </c>
      <c r="L334" s="154">
        <f t="shared" si="5"/>
        <v>0</v>
      </c>
      <c r="M334" s="154">
        <f t="shared" si="4"/>
        <v>0</v>
      </c>
      <c r="N334" s="173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ht="15.75" customHeight="1">
      <c r="A335" s="10"/>
      <c r="B335" s="174"/>
      <c r="C335" s="6"/>
      <c r="D335" s="127"/>
      <c r="E335" s="127"/>
      <c r="F335" s="175"/>
      <c r="G335" s="26">
        <v>0.0</v>
      </c>
      <c r="H335" s="176"/>
      <c r="I335" s="154">
        <f t="shared" si="1"/>
        <v>0</v>
      </c>
      <c r="J335" s="141"/>
      <c r="K335" s="154">
        <f t="shared" si="2"/>
        <v>0</v>
      </c>
      <c r="L335" s="154">
        <f t="shared" si="5"/>
        <v>0</v>
      </c>
      <c r="M335" s="154">
        <f t="shared" si="4"/>
        <v>0</v>
      </c>
      <c r="N335" s="173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ht="15.75" customHeight="1">
      <c r="A336" s="10"/>
      <c r="B336" s="174"/>
      <c r="C336" s="6"/>
      <c r="D336" s="127"/>
      <c r="E336" s="127"/>
      <c r="F336" s="175"/>
      <c r="G336" s="26">
        <v>0.0</v>
      </c>
      <c r="H336" s="176"/>
      <c r="I336" s="154">
        <f t="shared" si="1"/>
        <v>0</v>
      </c>
      <c r="J336" s="141"/>
      <c r="K336" s="154">
        <f t="shared" si="2"/>
        <v>0</v>
      </c>
      <c r="L336" s="154">
        <f t="shared" si="5"/>
        <v>0</v>
      </c>
      <c r="M336" s="154">
        <f t="shared" si="4"/>
        <v>0</v>
      </c>
      <c r="N336" s="173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ht="15.75" customHeight="1">
      <c r="A337" s="10"/>
      <c r="B337" s="174"/>
      <c r="C337" s="6"/>
      <c r="D337" s="127"/>
      <c r="E337" s="127"/>
      <c r="F337" s="175"/>
      <c r="G337" s="26">
        <v>0.0</v>
      </c>
      <c r="H337" s="176"/>
      <c r="I337" s="154">
        <f t="shared" si="1"/>
        <v>0</v>
      </c>
      <c r="J337" s="141"/>
      <c r="K337" s="154">
        <f t="shared" si="2"/>
        <v>0</v>
      </c>
      <c r="L337" s="154">
        <f t="shared" si="5"/>
        <v>0</v>
      </c>
      <c r="M337" s="154">
        <f t="shared" si="4"/>
        <v>0</v>
      </c>
      <c r="N337" s="173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ht="15.75" customHeight="1">
      <c r="A338" s="10"/>
      <c r="B338" s="174"/>
      <c r="C338" s="6"/>
      <c r="D338" s="127"/>
      <c r="E338" s="127"/>
      <c r="F338" s="175"/>
      <c r="G338" s="26">
        <v>0.0</v>
      </c>
      <c r="H338" s="176"/>
      <c r="I338" s="154">
        <f t="shared" si="1"/>
        <v>0</v>
      </c>
      <c r="J338" s="141"/>
      <c r="K338" s="154">
        <f t="shared" si="2"/>
        <v>0</v>
      </c>
      <c r="L338" s="154">
        <f t="shared" si="5"/>
        <v>0</v>
      </c>
      <c r="M338" s="154">
        <f t="shared" si="4"/>
        <v>0</v>
      </c>
      <c r="N338" s="173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ht="15.75" customHeight="1">
      <c r="A339" s="10"/>
      <c r="B339" s="174"/>
      <c r="C339" s="6"/>
      <c r="D339" s="127"/>
      <c r="E339" s="127"/>
      <c r="F339" s="175"/>
      <c r="G339" s="26">
        <v>0.0</v>
      </c>
      <c r="H339" s="176"/>
      <c r="I339" s="154">
        <f t="shared" si="1"/>
        <v>0</v>
      </c>
      <c r="J339" s="141"/>
      <c r="K339" s="154">
        <f t="shared" si="2"/>
        <v>0</v>
      </c>
      <c r="L339" s="154">
        <f t="shared" si="5"/>
        <v>0</v>
      </c>
      <c r="M339" s="154">
        <f t="shared" si="4"/>
        <v>0</v>
      </c>
      <c r="N339" s="173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ht="15.75" customHeight="1">
      <c r="A340" s="10"/>
      <c r="B340" s="174"/>
      <c r="C340" s="6"/>
      <c r="D340" s="127"/>
      <c r="E340" s="127"/>
      <c r="F340" s="175"/>
      <c r="G340" s="26">
        <v>0.0</v>
      </c>
      <c r="H340" s="176"/>
      <c r="I340" s="154">
        <f t="shared" si="1"/>
        <v>0</v>
      </c>
      <c r="J340" s="141"/>
      <c r="K340" s="154">
        <f t="shared" si="2"/>
        <v>0</v>
      </c>
      <c r="L340" s="154">
        <f t="shared" si="5"/>
        <v>0</v>
      </c>
      <c r="M340" s="154">
        <f t="shared" si="4"/>
        <v>0</v>
      </c>
      <c r="N340" s="173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ht="15.75" customHeight="1">
      <c r="A341" s="10"/>
      <c r="B341" s="174"/>
      <c r="C341" s="6"/>
      <c r="D341" s="127"/>
      <c r="E341" s="127"/>
      <c r="F341" s="175"/>
      <c r="G341" s="26">
        <v>0.0</v>
      </c>
      <c r="H341" s="176"/>
      <c r="I341" s="154">
        <f t="shared" si="1"/>
        <v>0</v>
      </c>
      <c r="J341" s="141"/>
      <c r="K341" s="154">
        <f t="shared" si="2"/>
        <v>0</v>
      </c>
      <c r="L341" s="154">
        <f t="shared" si="5"/>
        <v>0</v>
      </c>
      <c r="M341" s="154">
        <f t="shared" si="4"/>
        <v>0</v>
      </c>
      <c r="N341" s="173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ht="15.75" customHeight="1">
      <c r="A342" s="10"/>
      <c r="B342" s="174"/>
      <c r="C342" s="6"/>
      <c r="D342" s="127"/>
      <c r="E342" s="127"/>
      <c r="F342" s="175"/>
      <c r="G342" s="26">
        <v>0.0</v>
      </c>
      <c r="H342" s="176"/>
      <c r="I342" s="154">
        <f t="shared" si="1"/>
        <v>0</v>
      </c>
      <c r="J342" s="141"/>
      <c r="K342" s="154">
        <f t="shared" si="2"/>
        <v>0</v>
      </c>
      <c r="L342" s="154">
        <f t="shared" si="5"/>
        <v>0</v>
      </c>
      <c r="M342" s="154">
        <f t="shared" si="4"/>
        <v>0</v>
      </c>
      <c r="N342" s="173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ht="15.75" customHeight="1">
      <c r="A343" s="10"/>
      <c r="B343" s="174"/>
      <c r="C343" s="6"/>
      <c r="D343" s="127"/>
      <c r="E343" s="127"/>
      <c r="F343" s="175"/>
      <c r="G343" s="26">
        <v>0.0</v>
      </c>
      <c r="H343" s="176"/>
      <c r="I343" s="154">
        <f t="shared" si="1"/>
        <v>0</v>
      </c>
      <c r="J343" s="141"/>
      <c r="K343" s="154">
        <f t="shared" si="2"/>
        <v>0</v>
      </c>
      <c r="L343" s="154">
        <f t="shared" si="5"/>
        <v>0</v>
      </c>
      <c r="M343" s="154">
        <f t="shared" si="4"/>
        <v>0</v>
      </c>
      <c r="N343" s="173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ht="15.75" customHeight="1">
      <c r="A344" s="10"/>
      <c r="B344" s="174"/>
      <c r="C344" s="6"/>
      <c r="D344" s="127"/>
      <c r="E344" s="127"/>
      <c r="F344" s="175"/>
      <c r="G344" s="26">
        <v>0.0</v>
      </c>
      <c r="H344" s="176"/>
      <c r="I344" s="154">
        <f t="shared" si="1"/>
        <v>0</v>
      </c>
      <c r="J344" s="141"/>
      <c r="K344" s="154">
        <f t="shared" si="2"/>
        <v>0</v>
      </c>
      <c r="L344" s="154">
        <f t="shared" si="5"/>
        <v>0</v>
      </c>
      <c r="M344" s="154">
        <f t="shared" si="4"/>
        <v>0</v>
      </c>
      <c r="N344" s="173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ht="15.75" customHeight="1">
      <c r="A345" s="10"/>
      <c r="B345" s="174"/>
      <c r="C345" s="6"/>
      <c r="D345" s="127"/>
      <c r="E345" s="127"/>
      <c r="F345" s="175"/>
      <c r="G345" s="26">
        <v>0.0</v>
      </c>
      <c r="H345" s="176"/>
      <c r="I345" s="154">
        <f t="shared" si="1"/>
        <v>0</v>
      </c>
      <c r="J345" s="141"/>
      <c r="K345" s="154">
        <f t="shared" si="2"/>
        <v>0</v>
      </c>
      <c r="L345" s="154">
        <f t="shared" si="5"/>
        <v>0</v>
      </c>
      <c r="M345" s="154">
        <f t="shared" si="4"/>
        <v>0</v>
      </c>
      <c r="N345" s="173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ht="15.75" customHeight="1">
      <c r="A346" s="10"/>
      <c r="B346" s="174"/>
      <c r="C346" s="6"/>
      <c r="D346" s="127"/>
      <c r="E346" s="127"/>
      <c r="F346" s="175"/>
      <c r="G346" s="26">
        <v>0.0</v>
      </c>
      <c r="H346" s="176"/>
      <c r="I346" s="154">
        <f t="shared" si="1"/>
        <v>0</v>
      </c>
      <c r="J346" s="141"/>
      <c r="K346" s="154">
        <f t="shared" si="2"/>
        <v>0</v>
      </c>
      <c r="L346" s="154">
        <f t="shared" si="5"/>
        <v>0</v>
      </c>
      <c r="M346" s="154">
        <f t="shared" si="4"/>
        <v>0</v>
      </c>
      <c r="N346" s="173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ht="15.75" customHeight="1">
      <c r="A347" s="10"/>
      <c r="B347" s="174"/>
      <c r="C347" s="6"/>
      <c r="D347" s="127"/>
      <c r="E347" s="127"/>
      <c r="F347" s="175"/>
      <c r="G347" s="26">
        <v>0.0</v>
      </c>
      <c r="H347" s="176"/>
      <c r="I347" s="154">
        <f t="shared" si="1"/>
        <v>0</v>
      </c>
      <c r="J347" s="141"/>
      <c r="K347" s="154">
        <f t="shared" si="2"/>
        <v>0</v>
      </c>
      <c r="L347" s="154">
        <f t="shared" si="5"/>
        <v>0</v>
      </c>
      <c r="M347" s="154">
        <f t="shared" si="4"/>
        <v>0</v>
      </c>
      <c r="N347" s="173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ht="15.75" customHeight="1">
      <c r="A348" s="10"/>
      <c r="B348" s="174"/>
      <c r="C348" s="6"/>
      <c r="D348" s="127"/>
      <c r="E348" s="127"/>
      <c r="F348" s="175"/>
      <c r="G348" s="26">
        <v>0.0</v>
      </c>
      <c r="H348" s="176"/>
      <c r="I348" s="154">
        <f t="shared" si="1"/>
        <v>0</v>
      </c>
      <c r="J348" s="141"/>
      <c r="K348" s="154">
        <f t="shared" si="2"/>
        <v>0</v>
      </c>
      <c r="L348" s="154">
        <f t="shared" si="5"/>
        <v>0</v>
      </c>
      <c r="M348" s="154">
        <f t="shared" si="4"/>
        <v>0</v>
      </c>
      <c r="N348" s="173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ht="15.75" customHeight="1">
      <c r="A349" s="10"/>
      <c r="B349" s="174"/>
      <c r="C349" s="6"/>
      <c r="D349" s="127"/>
      <c r="E349" s="127"/>
      <c r="F349" s="175"/>
      <c r="G349" s="26">
        <v>0.0</v>
      </c>
      <c r="H349" s="176"/>
      <c r="I349" s="154">
        <f t="shared" si="1"/>
        <v>0</v>
      </c>
      <c r="J349" s="141"/>
      <c r="K349" s="154">
        <f t="shared" si="2"/>
        <v>0</v>
      </c>
      <c r="L349" s="154">
        <f t="shared" si="5"/>
        <v>0</v>
      </c>
      <c r="M349" s="154">
        <f t="shared" si="4"/>
        <v>0</v>
      </c>
      <c r="N349" s="173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ht="15.75" customHeight="1">
      <c r="A350" s="10"/>
      <c r="B350" s="174"/>
      <c r="C350" s="6"/>
      <c r="D350" s="127"/>
      <c r="E350" s="127"/>
      <c r="F350" s="175"/>
      <c r="G350" s="26">
        <v>0.0</v>
      </c>
      <c r="H350" s="176"/>
      <c r="I350" s="154">
        <f t="shared" si="1"/>
        <v>0</v>
      </c>
      <c r="J350" s="141"/>
      <c r="K350" s="154">
        <f t="shared" si="2"/>
        <v>0</v>
      </c>
      <c r="L350" s="154">
        <f t="shared" si="5"/>
        <v>0</v>
      </c>
      <c r="M350" s="154">
        <f t="shared" si="4"/>
        <v>0</v>
      </c>
      <c r="N350" s="173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ht="15.75" customHeight="1">
      <c r="A351" s="10"/>
      <c r="B351" s="174"/>
      <c r="C351" s="6"/>
      <c r="D351" s="127"/>
      <c r="E351" s="127"/>
      <c r="F351" s="175"/>
      <c r="G351" s="26">
        <v>0.0</v>
      </c>
      <c r="H351" s="176"/>
      <c r="I351" s="154">
        <f t="shared" si="1"/>
        <v>0</v>
      </c>
      <c r="J351" s="141"/>
      <c r="K351" s="154">
        <f t="shared" si="2"/>
        <v>0</v>
      </c>
      <c r="L351" s="154">
        <f t="shared" si="5"/>
        <v>0</v>
      </c>
      <c r="M351" s="154">
        <f t="shared" si="4"/>
        <v>0</v>
      </c>
      <c r="N351" s="173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ht="15.75" customHeight="1">
      <c r="A352" s="10"/>
      <c r="B352" s="174"/>
      <c r="C352" s="6"/>
      <c r="D352" s="127"/>
      <c r="E352" s="127"/>
      <c r="F352" s="175"/>
      <c r="G352" s="26">
        <v>0.0</v>
      </c>
      <c r="H352" s="176"/>
      <c r="I352" s="154">
        <f t="shared" si="1"/>
        <v>0</v>
      </c>
      <c r="J352" s="141"/>
      <c r="K352" s="154">
        <f t="shared" si="2"/>
        <v>0</v>
      </c>
      <c r="L352" s="154">
        <f t="shared" si="5"/>
        <v>0</v>
      </c>
      <c r="M352" s="154">
        <f t="shared" si="4"/>
        <v>0</v>
      </c>
      <c r="N352" s="173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ht="15.75" customHeight="1">
      <c r="A353" s="10"/>
      <c r="B353" s="174"/>
      <c r="C353" s="6"/>
      <c r="D353" s="127"/>
      <c r="E353" s="127"/>
      <c r="F353" s="175"/>
      <c r="G353" s="26">
        <v>0.0</v>
      </c>
      <c r="H353" s="176"/>
      <c r="I353" s="154">
        <f t="shared" si="1"/>
        <v>0</v>
      </c>
      <c r="J353" s="141"/>
      <c r="K353" s="154">
        <f t="shared" si="2"/>
        <v>0</v>
      </c>
      <c r="L353" s="154">
        <f t="shared" si="5"/>
        <v>0</v>
      </c>
      <c r="M353" s="154">
        <f t="shared" si="4"/>
        <v>0</v>
      </c>
      <c r="N353" s="173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ht="15.75" customHeight="1">
      <c r="A354" s="10"/>
      <c r="B354" s="174"/>
      <c r="C354" s="6"/>
      <c r="D354" s="127"/>
      <c r="E354" s="127"/>
      <c r="F354" s="175"/>
      <c r="G354" s="26">
        <v>0.0</v>
      </c>
      <c r="H354" s="176"/>
      <c r="I354" s="154">
        <f t="shared" si="1"/>
        <v>0</v>
      </c>
      <c r="J354" s="141"/>
      <c r="K354" s="154">
        <f t="shared" si="2"/>
        <v>0</v>
      </c>
      <c r="L354" s="154">
        <f t="shared" si="5"/>
        <v>0</v>
      </c>
      <c r="M354" s="154">
        <f t="shared" si="4"/>
        <v>0</v>
      </c>
      <c r="N354" s="173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ht="15.75" customHeight="1">
      <c r="A355" s="10"/>
      <c r="B355" s="174"/>
      <c r="C355" s="6"/>
      <c r="D355" s="127"/>
      <c r="E355" s="127"/>
      <c r="F355" s="175"/>
      <c r="G355" s="26">
        <v>0.0</v>
      </c>
      <c r="H355" s="176"/>
      <c r="I355" s="154">
        <f t="shared" si="1"/>
        <v>0</v>
      </c>
      <c r="J355" s="141"/>
      <c r="K355" s="154">
        <f t="shared" si="2"/>
        <v>0</v>
      </c>
      <c r="L355" s="154">
        <f t="shared" si="5"/>
        <v>0</v>
      </c>
      <c r="M355" s="154">
        <f t="shared" si="4"/>
        <v>0</v>
      </c>
      <c r="N355" s="173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ht="15.75" customHeight="1">
      <c r="A356" s="10"/>
      <c r="B356" s="174"/>
      <c r="C356" s="6"/>
      <c r="D356" s="127"/>
      <c r="E356" s="127"/>
      <c r="F356" s="175"/>
      <c r="G356" s="26">
        <v>0.0</v>
      </c>
      <c r="H356" s="176"/>
      <c r="I356" s="154">
        <f t="shared" si="1"/>
        <v>0</v>
      </c>
      <c r="J356" s="141"/>
      <c r="K356" s="154">
        <f t="shared" si="2"/>
        <v>0</v>
      </c>
      <c r="L356" s="154">
        <f t="shared" si="5"/>
        <v>0</v>
      </c>
      <c r="M356" s="154">
        <f t="shared" si="4"/>
        <v>0</v>
      </c>
      <c r="N356" s="173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ht="15.75" customHeight="1">
      <c r="A357" s="10"/>
      <c r="B357" s="174"/>
      <c r="C357" s="6"/>
      <c r="D357" s="127"/>
      <c r="E357" s="127"/>
      <c r="F357" s="175"/>
      <c r="G357" s="26">
        <v>0.0</v>
      </c>
      <c r="H357" s="176"/>
      <c r="I357" s="154">
        <f t="shared" si="1"/>
        <v>0</v>
      </c>
      <c r="J357" s="141"/>
      <c r="K357" s="154">
        <f t="shared" si="2"/>
        <v>0</v>
      </c>
      <c r="L357" s="154">
        <f t="shared" si="5"/>
        <v>0</v>
      </c>
      <c r="M357" s="154">
        <f t="shared" si="4"/>
        <v>0</v>
      </c>
      <c r="N357" s="173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ht="15.75" customHeight="1">
      <c r="A358" s="10"/>
      <c r="B358" s="174"/>
      <c r="C358" s="6"/>
      <c r="D358" s="127"/>
      <c r="E358" s="127"/>
      <c r="F358" s="175"/>
      <c r="G358" s="26">
        <v>0.0</v>
      </c>
      <c r="H358" s="176"/>
      <c r="I358" s="154">
        <f t="shared" si="1"/>
        <v>0</v>
      </c>
      <c r="J358" s="141"/>
      <c r="K358" s="154">
        <f t="shared" si="2"/>
        <v>0</v>
      </c>
      <c r="L358" s="154">
        <f t="shared" si="5"/>
        <v>0</v>
      </c>
      <c r="M358" s="154">
        <f t="shared" si="4"/>
        <v>0</v>
      </c>
      <c r="N358" s="173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ht="15.75" customHeight="1">
      <c r="A359" s="10"/>
      <c r="B359" s="174"/>
      <c r="C359" s="6"/>
      <c r="D359" s="127"/>
      <c r="E359" s="127"/>
      <c r="F359" s="175"/>
      <c r="G359" s="26">
        <v>0.0</v>
      </c>
      <c r="H359" s="176"/>
      <c r="I359" s="154">
        <f t="shared" si="1"/>
        <v>0</v>
      </c>
      <c r="J359" s="141"/>
      <c r="K359" s="154">
        <f t="shared" si="2"/>
        <v>0</v>
      </c>
      <c r="L359" s="154">
        <f t="shared" si="5"/>
        <v>0</v>
      </c>
      <c r="M359" s="154">
        <f t="shared" si="4"/>
        <v>0</v>
      </c>
      <c r="N359" s="173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ht="15.75" customHeight="1">
      <c r="A360" s="10"/>
      <c r="B360" s="174"/>
      <c r="C360" s="6"/>
      <c r="D360" s="127"/>
      <c r="E360" s="127"/>
      <c r="F360" s="175"/>
      <c r="G360" s="26">
        <v>0.0</v>
      </c>
      <c r="H360" s="176"/>
      <c r="I360" s="154">
        <f t="shared" si="1"/>
        <v>0</v>
      </c>
      <c r="J360" s="141"/>
      <c r="K360" s="154">
        <f t="shared" si="2"/>
        <v>0</v>
      </c>
      <c r="L360" s="154">
        <f t="shared" si="5"/>
        <v>0</v>
      </c>
      <c r="M360" s="154">
        <f t="shared" si="4"/>
        <v>0</v>
      </c>
      <c r="N360" s="173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ht="15.75" customHeight="1">
      <c r="A361" s="10"/>
      <c r="B361" s="174"/>
      <c r="C361" s="6"/>
      <c r="D361" s="127"/>
      <c r="E361" s="127"/>
      <c r="F361" s="175"/>
      <c r="G361" s="26">
        <v>0.0</v>
      </c>
      <c r="H361" s="176"/>
      <c r="I361" s="154">
        <f t="shared" si="1"/>
        <v>0</v>
      </c>
      <c r="J361" s="141"/>
      <c r="K361" s="154">
        <f t="shared" si="2"/>
        <v>0</v>
      </c>
      <c r="L361" s="154">
        <f t="shared" si="5"/>
        <v>0</v>
      </c>
      <c r="M361" s="154">
        <f t="shared" si="4"/>
        <v>0</v>
      </c>
      <c r="N361" s="173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ht="15.75" customHeight="1">
      <c r="A362" s="10"/>
      <c r="B362" s="174"/>
      <c r="C362" s="6"/>
      <c r="D362" s="127"/>
      <c r="E362" s="127"/>
      <c r="F362" s="175"/>
      <c r="G362" s="26">
        <v>0.0</v>
      </c>
      <c r="H362" s="176"/>
      <c r="I362" s="154">
        <f t="shared" si="1"/>
        <v>0</v>
      </c>
      <c r="J362" s="141"/>
      <c r="K362" s="154">
        <f t="shared" si="2"/>
        <v>0</v>
      </c>
      <c r="L362" s="154">
        <f t="shared" si="5"/>
        <v>0</v>
      </c>
      <c r="M362" s="154">
        <f t="shared" si="4"/>
        <v>0</v>
      </c>
      <c r="N362" s="173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ht="15.75" customHeight="1">
      <c r="A363" s="10"/>
      <c r="B363" s="174"/>
      <c r="C363" s="6"/>
      <c r="D363" s="127"/>
      <c r="E363" s="127"/>
      <c r="F363" s="175"/>
      <c r="G363" s="26">
        <v>0.0</v>
      </c>
      <c r="H363" s="176"/>
      <c r="I363" s="154">
        <f t="shared" si="1"/>
        <v>0</v>
      </c>
      <c r="J363" s="141"/>
      <c r="K363" s="154">
        <f t="shared" si="2"/>
        <v>0</v>
      </c>
      <c r="L363" s="154">
        <f t="shared" si="5"/>
        <v>0</v>
      </c>
      <c r="M363" s="154">
        <f t="shared" si="4"/>
        <v>0</v>
      </c>
      <c r="N363" s="173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ht="15.75" customHeight="1">
      <c r="A364" s="10"/>
      <c r="B364" s="174"/>
      <c r="C364" s="6"/>
      <c r="D364" s="127"/>
      <c r="E364" s="127"/>
      <c r="F364" s="175"/>
      <c r="G364" s="26">
        <v>0.0</v>
      </c>
      <c r="H364" s="176"/>
      <c r="I364" s="154">
        <f t="shared" si="1"/>
        <v>0</v>
      </c>
      <c r="J364" s="141"/>
      <c r="K364" s="154">
        <f t="shared" si="2"/>
        <v>0</v>
      </c>
      <c r="L364" s="154">
        <f t="shared" si="5"/>
        <v>0</v>
      </c>
      <c r="M364" s="154">
        <f t="shared" si="4"/>
        <v>0</v>
      </c>
      <c r="N364" s="173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ht="15.75" customHeight="1">
      <c r="A365" s="10"/>
      <c r="B365" s="174"/>
      <c r="C365" s="6"/>
      <c r="D365" s="127"/>
      <c r="E365" s="127"/>
      <c r="F365" s="175"/>
      <c r="G365" s="26">
        <v>0.0</v>
      </c>
      <c r="H365" s="176"/>
      <c r="I365" s="154">
        <f t="shared" si="1"/>
        <v>0</v>
      </c>
      <c r="J365" s="141"/>
      <c r="K365" s="154">
        <f t="shared" si="2"/>
        <v>0</v>
      </c>
      <c r="L365" s="154">
        <f t="shared" si="5"/>
        <v>0</v>
      </c>
      <c r="M365" s="154">
        <f t="shared" si="4"/>
        <v>0</v>
      </c>
      <c r="N365" s="173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ht="15.75" customHeight="1">
      <c r="A366" s="10"/>
      <c r="B366" s="174"/>
      <c r="C366" s="6"/>
      <c r="D366" s="127"/>
      <c r="E366" s="127"/>
      <c r="F366" s="175"/>
      <c r="G366" s="26">
        <v>0.0</v>
      </c>
      <c r="H366" s="176"/>
      <c r="I366" s="154">
        <f t="shared" si="1"/>
        <v>0</v>
      </c>
      <c r="J366" s="141"/>
      <c r="K366" s="154">
        <f t="shared" si="2"/>
        <v>0</v>
      </c>
      <c r="L366" s="154">
        <f t="shared" si="5"/>
        <v>0</v>
      </c>
      <c r="M366" s="154">
        <f t="shared" si="4"/>
        <v>0</v>
      </c>
      <c r="N366" s="173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ht="15.75" customHeight="1">
      <c r="A367" s="10"/>
      <c r="B367" s="174"/>
      <c r="C367" s="6"/>
      <c r="D367" s="127"/>
      <c r="E367" s="127"/>
      <c r="F367" s="175"/>
      <c r="G367" s="26">
        <v>0.0</v>
      </c>
      <c r="H367" s="176"/>
      <c r="I367" s="154">
        <f t="shared" si="1"/>
        <v>0</v>
      </c>
      <c r="J367" s="141"/>
      <c r="K367" s="154">
        <f t="shared" si="2"/>
        <v>0</v>
      </c>
      <c r="L367" s="154">
        <f t="shared" si="5"/>
        <v>0</v>
      </c>
      <c r="M367" s="154">
        <f t="shared" si="4"/>
        <v>0</v>
      </c>
      <c r="N367" s="173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ht="15.75" customHeight="1">
      <c r="A368" s="10"/>
      <c r="B368" s="174"/>
      <c r="C368" s="6"/>
      <c r="D368" s="127"/>
      <c r="E368" s="127"/>
      <c r="F368" s="175"/>
      <c r="G368" s="26">
        <v>0.0</v>
      </c>
      <c r="H368" s="176"/>
      <c r="I368" s="154">
        <f t="shared" si="1"/>
        <v>0</v>
      </c>
      <c r="J368" s="141"/>
      <c r="K368" s="154">
        <f t="shared" si="2"/>
        <v>0</v>
      </c>
      <c r="L368" s="154">
        <f t="shared" si="5"/>
        <v>0</v>
      </c>
      <c r="M368" s="154">
        <f t="shared" si="4"/>
        <v>0</v>
      </c>
      <c r="N368" s="173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ht="15.75" customHeight="1">
      <c r="A369" s="10"/>
      <c r="B369" s="174"/>
      <c r="C369" s="6"/>
      <c r="D369" s="127"/>
      <c r="E369" s="127"/>
      <c r="F369" s="175"/>
      <c r="G369" s="26">
        <v>0.0</v>
      </c>
      <c r="H369" s="176"/>
      <c r="I369" s="154">
        <f t="shared" si="1"/>
        <v>0</v>
      </c>
      <c r="J369" s="141"/>
      <c r="K369" s="154">
        <f t="shared" si="2"/>
        <v>0</v>
      </c>
      <c r="L369" s="154">
        <f t="shared" si="5"/>
        <v>0</v>
      </c>
      <c r="M369" s="154">
        <f t="shared" si="4"/>
        <v>0</v>
      </c>
      <c r="N369" s="173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ht="15.75" customHeight="1">
      <c r="A370" s="10"/>
      <c r="B370" s="174"/>
      <c r="C370" s="6"/>
      <c r="D370" s="127"/>
      <c r="E370" s="127"/>
      <c r="F370" s="175"/>
      <c r="G370" s="26">
        <v>0.0</v>
      </c>
      <c r="H370" s="176"/>
      <c r="I370" s="154">
        <f t="shared" si="1"/>
        <v>0</v>
      </c>
      <c r="J370" s="141"/>
      <c r="K370" s="154">
        <f t="shared" si="2"/>
        <v>0</v>
      </c>
      <c r="L370" s="154">
        <f t="shared" si="5"/>
        <v>0</v>
      </c>
      <c r="M370" s="154">
        <f t="shared" si="4"/>
        <v>0</v>
      </c>
      <c r="N370" s="173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ht="15.75" customHeight="1">
      <c r="A371" s="10"/>
      <c r="B371" s="174"/>
      <c r="C371" s="6"/>
      <c r="D371" s="127"/>
      <c r="E371" s="127"/>
      <c r="F371" s="175"/>
      <c r="G371" s="26">
        <v>0.0</v>
      </c>
      <c r="H371" s="176"/>
      <c r="I371" s="154">
        <f t="shared" si="1"/>
        <v>0</v>
      </c>
      <c r="J371" s="141"/>
      <c r="K371" s="154">
        <f t="shared" si="2"/>
        <v>0</v>
      </c>
      <c r="L371" s="154">
        <f t="shared" si="5"/>
        <v>0</v>
      </c>
      <c r="M371" s="154">
        <f t="shared" si="4"/>
        <v>0</v>
      </c>
      <c r="N371" s="173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ht="15.75" customHeight="1">
      <c r="A372" s="10"/>
      <c r="B372" s="174"/>
      <c r="C372" s="6"/>
      <c r="D372" s="127"/>
      <c r="E372" s="127"/>
      <c r="F372" s="175"/>
      <c r="G372" s="26">
        <v>0.0</v>
      </c>
      <c r="H372" s="176"/>
      <c r="I372" s="154">
        <f t="shared" si="1"/>
        <v>0</v>
      </c>
      <c r="J372" s="141"/>
      <c r="K372" s="154">
        <f t="shared" si="2"/>
        <v>0</v>
      </c>
      <c r="L372" s="154">
        <f t="shared" si="5"/>
        <v>0</v>
      </c>
      <c r="M372" s="154">
        <f t="shared" si="4"/>
        <v>0</v>
      </c>
      <c r="N372" s="173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ht="15.75" customHeight="1">
      <c r="A373" s="10"/>
      <c r="B373" s="174"/>
      <c r="C373" s="6"/>
      <c r="D373" s="127"/>
      <c r="E373" s="127"/>
      <c r="F373" s="175"/>
      <c r="G373" s="26">
        <v>0.0</v>
      </c>
      <c r="H373" s="176"/>
      <c r="I373" s="154">
        <f t="shared" si="1"/>
        <v>0</v>
      </c>
      <c r="J373" s="141"/>
      <c r="K373" s="154">
        <f t="shared" si="2"/>
        <v>0</v>
      </c>
      <c r="L373" s="154">
        <f t="shared" si="5"/>
        <v>0</v>
      </c>
      <c r="M373" s="154">
        <f t="shared" si="4"/>
        <v>0</v>
      </c>
      <c r="N373" s="173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ht="15.75" customHeight="1">
      <c r="A374" s="10"/>
      <c r="B374" s="174"/>
      <c r="C374" s="6"/>
      <c r="D374" s="127"/>
      <c r="E374" s="127"/>
      <c r="F374" s="175"/>
      <c r="G374" s="26">
        <v>0.0</v>
      </c>
      <c r="H374" s="176"/>
      <c r="I374" s="154">
        <f t="shared" si="1"/>
        <v>0</v>
      </c>
      <c r="J374" s="141"/>
      <c r="K374" s="154">
        <f t="shared" si="2"/>
        <v>0</v>
      </c>
      <c r="L374" s="154">
        <f t="shared" si="5"/>
        <v>0</v>
      </c>
      <c r="M374" s="154">
        <f t="shared" si="4"/>
        <v>0</v>
      </c>
      <c r="N374" s="173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ht="15.75" customHeight="1">
      <c r="A375" s="10"/>
      <c r="B375" s="174"/>
      <c r="C375" s="6"/>
      <c r="D375" s="127"/>
      <c r="E375" s="127"/>
      <c r="F375" s="175"/>
      <c r="G375" s="26">
        <v>0.0</v>
      </c>
      <c r="H375" s="176"/>
      <c r="I375" s="154">
        <f t="shared" si="1"/>
        <v>0</v>
      </c>
      <c r="J375" s="141"/>
      <c r="K375" s="154">
        <f t="shared" si="2"/>
        <v>0</v>
      </c>
      <c r="L375" s="154">
        <f t="shared" si="5"/>
        <v>0</v>
      </c>
      <c r="M375" s="154">
        <f t="shared" si="4"/>
        <v>0</v>
      </c>
      <c r="N375" s="173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ht="15.75" customHeight="1">
      <c r="A376" s="10"/>
      <c r="B376" s="174"/>
      <c r="C376" s="6"/>
      <c r="D376" s="127"/>
      <c r="E376" s="127"/>
      <c r="F376" s="175"/>
      <c r="G376" s="26">
        <v>0.0</v>
      </c>
      <c r="H376" s="176"/>
      <c r="I376" s="154">
        <f t="shared" si="1"/>
        <v>0</v>
      </c>
      <c r="J376" s="141"/>
      <c r="K376" s="154">
        <f t="shared" si="2"/>
        <v>0</v>
      </c>
      <c r="L376" s="154">
        <f t="shared" si="5"/>
        <v>0</v>
      </c>
      <c r="M376" s="154">
        <f t="shared" si="4"/>
        <v>0</v>
      </c>
      <c r="N376" s="173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ht="15.75" customHeight="1">
      <c r="A377" s="10"/>
      <c r="B377" s="174"/>
      <c r="C377" s="6"/>
      <c r="D377" s="127"/>
      <c r="E377" s="127"/>
      <c r="F377" s="175"/>
      <c r="G377" s="26">
        <v>0.0</v>
      </c>
      <c r="H377" s="176"/>
      <c r="I377" s="154">
        <f t="shared" si="1"/>
        <v>0</v>
      </c>
      <c r="J377" s="141"/>
      <c r="K377" s="154">
        <f t="shared" si="2"/>
        <v>0</v>
      </c>
      <c r="L377" s="154">
        <f t="shared" si="5"/>
        <v>0</v>
      </c>
      <c r="M377" s="154">
        <f t="shared" si="4"/>
        <v>0</v>
      </c>
      <c r="N377" s="173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ht="15.75" customHeight="1">
      <c r="A378" s="10"/>
      <c r="B378" s="174"/>
      <c r="C378" s="6"/>
      <c r="D378" s="127"/>
      <c r="E378" s="127"/>
      <c r="F378" s="175"/>
      <c r="G378" s="26">
        <v>0.0</v>
      </c>
      <c r="H378" s="176"/>
      <c r="I378" s="154">
        <f t="shared" si="1"/>
        <v>0</v>
      </c>
      <c r="J378" s="141"/>
      <c r="K378" s="154">
        <f t="shared" si="2"/>
        <v>0</v>
      </c>
      <c r="L378" s="154">
        <f t="shared" si="5"/>
        <v>0</v>
      </c>
      <c r="M378" s="154">
        <f t="shared" si="4"/>
        <v>0</v>
      </c>
      <c r="N378" s="173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ht="15.75" customHeight="1">
      <c r="A379" s="10"/>
      <c r="B379" s="174"/>
      <c r="C379" s="6"/>
      <c r="D379" s="127"/>
      <c r="E379" s="127"/>
      <c r="F379" s="175"/>
      <c r="G379" s="26">
        <v>0.0</v>
      </c>
      <c r="H379" s="176"/>
      <c r="I379" s="154">
        <f t="shared" si="1"/>
        <v>0</v>
      </c>
      <c r="J379" s="141"/>
      <c r="K379" s="154">
        <f t="shared" si="2"/>
        <v>0</v>
      </c>
      <c r="L379" s="154">
        <f t="shared" si="5"/>
        <v>0</v>
      </c>
      <c r="M379" s="154">
        <f t="shared" si="4"/>
        <v>0</v>
      </c>
      <c r="N379" s="173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ht="15.75" customHeight="1">
      <c r="A380" s="10"/>
      <c r="B380" s="174"/>
      <c r="C380" s="6"/>
      <c r="D380" s="127"/>
      <c r="E380" s="127"/>
      <c r="F380" s="175"/>
      <c r="G380" s="26">
        <v>0.0</v>
      </c>
      <c r="H380" s="176"/>
      <c r="I380" s="154">
        <f t="shared" si="1"/>
        <v>0</v>
      </c>
      <c r="J380" s="141"/>
      <c r="K380" s="154">
        <f t="shared" si="2"/>
        <v>0</v>
      </c>
      <c r="L380" s="154">
        <f t="shared" si="5"/>
        <v>0</v>
      </c>
      <c r="M380" s="154">
        <f t="shared" si="4"/>
        <v>0</v>
      </c>
      <c r="N380" s="173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ht="15.75" customHeight="1">
      <c r="A381" s="10"/>
      <c r="B381" s="174"/>
      <c r="C381" s="6"/>
      <c r="D381" s="127"/>
      <c r="E381" s="127"/>
      <c r="F381" s="175"/>
      <c r="G381" s="26">
        <v>0.0</v>
      </c>
      <c r="H381" s="176"/>
      <c r="I381" s="154">
        <f t="shared" si="1"/>
        <v>0</v>
      </c>
      <c r="J381" s="141"/>
      <c r="K381" s="154">
        <f t="shared" si="2"/>
        <v>0</v>
      </c>
      <c r="L381" s="154">
        <f t="shared" si="5"/>
        <v>0</v>
      </c>
      <c r="M381" s="154">
        <f t="shared" si="4"/>
        <v>0</v>
      </c>
      <c r="N381" s="173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ht="15.75" customHeight="1">
      <c r="A382" s="10"/>
      <c r="B382" s="174"/>
      <c r="C382" s="6"/>
      <c r="D382" s="127"/>
      <c r="E382" s="127"/>
      <c r="F382" s="175"/>
      <c r="G382" s="26">
        <v>0.0</v>
      </c>
      <c r="H382" s="176"/>
      <c r="I382" s="154">
        <f t="shared" si="1"/>
        <v>0</v>
      </c>
      <c r="J382" s="141"/>
      <c r="K382" s="154">
        <f t="shared" si="2"/>
        <v>0</v>
      </c>
      <c r="L382" s="154">
        <f t="shared" si="5"/>
        <v>0</v>
      </c>
      <c r="M382" s="154">
        <f t="shared" si="4"/>
        <v>0</v>
      </c>
      <c r="N382" s="173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ht="15.75" customHeight="1">
      <c r="A383" s="10"/>
      <c r="B383" s="174"/>
      <c r="C383" s="6"/>
      <c r="D383" s="127"/>
      <c r="E383" s="127"/>
      <c r="F383" s="175"/>
      <c r="G383" s="26">
        <v>0.0</v>
      </c>
      <c r="H383" s="176"/>
      <c r="I383" s="154">
        <f t="shared" si="1"/>
        <v>0</v>
      </c>
      <c r="J383" s="141"/>
      <c r="K383" s="154">
        <f t="shared" si="2"/>
        <v>0</v>
      </c>
      <c r="L383" s="154">
        <f t="shared" si="5"/>
        <v>0</v>
      </c>
      <c r="M383" s="154">
        <f t="shared" si="4"/>
        <v>0</v>
      </c>
      <c r="N383" s="173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ht="15.75" customHeight="1">
      <c r="A384" s="10"/>
      <c r="B384" s="174"/>
      <c r="C384" s="6"/>
      <c r="D384" s="127"/>
      <c r="E384" s="127"/>
      <c r="F384" s="175"/>
      <c r="G384" s="26">
        <v>0.0</v>
      </c>
      <c r="H384" s="176"/>
      <c r="I384" s="154">
        <f t="shared" si="1"/>
        <v>0</v>
      </c>
      <c r="J384" s="141"/>
      <c r="K384" s="154">
        <f t="shared" si="2"/>
        <v>0</v>
      </c>
      <c r="L384" s="154">
        <f t="shared" si="5"/>
        <v>0</v>
      </c>
      <c r="M384" s="154">
        <f t="shared" si="4"/>
        <v>0</v>
      </c>
      <c r="N384" s="173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ht="15.75" customHeight="1">
      <c r="A385" s="10"/>
      <c r="B385" s="174"/>
      <c r="C385" s="6"/>
      <c r="D385" s="127"/>
      <c r="E385" s="127"/>
      <c r="F385" s="175"/>
      <c r="G385" s="26">
        <v>0.0</v>
      </c>
      <c r="H385" s="176"/>
      <c r="I385" s="154">
        <f t="shared" si="1"/>
        <v>0</v>
      </c>
      <c r="J385" s="141"/>
      <c r="K385" s="154">
        <f t="shared" si="2"/>
        <v>0</v>
      </c>
      <c r="L385" s="154">
        <f t="shared" si="5"/>
        <v>0</v>
      </c>
      <c r="M385" s="154">
        <f t="shared" si="4"/>
        <v>0</v>
      </c>
      <c r="N385" s="173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ht="15.75" customHeight="1">
      <c r="A386" s="10"/>
      <c r="B386" s="174"/>
      <c r="C386" s="6"/>
      <c r="D386" s="127"/>
      <c r="E386" s="127"/>
      <c r="F386" s="175"/>
      <c r="G386" s="26">
        <v>0.0</v>
      </c>
      <c r="H386" s="176"/>
      <c r="I386" s="154">
        <f t="shared" si="1"/>
        <v>0</v>
      </c>
      <c r="J386" s="141"/>
      <c r="K386" s="154">
        <f t="shared" si="2"/>
        <v>0</v>
      </c>
      <c r="L386" s="154">
        <f t="shared" si="5"/>
        <v>0</v>
      </c>
      <c r="M386" s="154">
        <f t="shared" si="4"/>
        <v>0</v>
      </c>
      <c r="N386" s="173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ht="15.75" customHeight="1">
      <c r="A387" s="10"/>
      <c r="B387" s="174"/>
      <c r="C387" s="6"/>
      <c r="D387" s="127"/>
      <c r="E387" s="127"/>
      <c r="F387" s="175"/>
      <c r="G387" s="26">
        <v>0.0</v>
      </c>
      <c r="H387" s="176"/>
      <c r="I387" s="154">
        <f t="shared" si="1"/>
        <v>0</v>
      </c>
      <c r="J387" s="141"/>
      <c r="K387" s="154">
        <f t="shared" si="2"/>
        <v>0</v>
      </c>
      <c r="L387" s="154">
        <f t="shared" si="5"/>
        <v>0</v>
      </c>
      <c r="M387" s="154">
        <f t="shared" si="4"/>
        <v>0</v>
      </c>
      <c r="N387" s="173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ht="15.75" customHeight="1">
      <c r="A388" s="10"/>
      <c r="B388" s="174"/>
      <c r="C388" s="6"/>
      <c r="D388" s="127"/>
      <c r="E388" s="127"/>
      <c r="F388" s="175"/>
      <c r="G388" s="26">
        <v>0.0</v>
      </c>
      <c r="H388" s="176"/>
      <c r="I388" s="154">
        <f t="shared" si="1"/>
        <v>0</v>
      </c>
      <c r="J388" s="141"/>
      <c r="K388" s="154">
        <f t="shared" si="2"/>
        <v>0</v>
      </c>
      <c r="L388" s="154">
        <f t="shared" si="5"/>
        <v>0</v>
      </c>
      <c r="M388" s="154">
        <f t="shared" si="4"/>
        <v>0</v>
      </c>
      <c r="N388" s="173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ht="15.75" customHeight="1">
      <c r="A389" s="10"/>
      <c r="B389" s="174"/>
      <c r="C389" s="6"/>
      <c r="D389" s="127"/>
      <c r="E389" s="127"/>
      <c r="F389" s="175"/>
      <c r="G389" s="26">
        <v>0.0</v>
      </c>
      <c r="H389" s="176"/>
      <c r="I389" s="154">
        <f t="shared" si="1"/>
        <v>0</v>
      </c>
      <c r="J389" s="141"/>
      <c r="K389" s="154">
        <f t="shared" si="2"/>
        <v>0</v>
      </c>
      <c r="L389" s="154">
        <f t="shared" si="5"/>
        <v>0</v>
      </c>
      <c r="M389" s="154">
        <f t="shared" si="4"/>
        <v>0</v>
      </c>
      <c r="N389" s="173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ht="15.75" customHeight="1">
      <c r="A390" s="10"/>
      <c r="B390" s="174"/>
      <c r="C390" s="6"/>
      <c r="D390" s="127"/>
      <c r="E390" s="127"/>
      <c r="F390" s="175"/>
      <c r="G390" s="26">
        <v>0.0</v>
      </c>
      <c r="H390" s="176"/>
      <c r="I390" s="154">
        <f t="shared" si="1"/>
        <v>0</v>
      </c>
      <c r="J390" s="141"/>
      <c r="K390" s="154">
        <f t="shared" si="2"/>
        <v>0</v>
      </c>
      <c r="L390" s="154">
        <f t="shared" si="5"/>
        <v>0</v>
      </c>
      <c r="M390" s="154">
        <f t="shared" si="4"/>
        <v>0</v>
      </c>
      <c r="N390" s="173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ht="15.75" customHeight="1">
      <c r="A391" s="10"/>
      <c r="B391" s="174"/>
      <c r="C391" s="6"/>
      <c r="D391" s="127"/>
      <c r="E391" s="127"/>
      <c r="F391" s="175"/>
      <c r="G391" s="26">
        <v>0.0</v>
      </c>
      <c r="H391" s="176"/>
      <c r="I391" s="154">
        <f t="shared" si="1"/>
        <v>0</v>
      </c>
      <c r="J391" s="141"/>
      <c r="K391" s="154">
        <f t="shared" si="2"/>
        <v>0</v>
      </c>
      <c r="L391" s="154">
        <f t="shared" si="5"/>
        <v>0</v>
      </c>
      <c r="M391" s="154">
        <f t="shared" si="4"/>
        <v>0</v>
      </c>
      <c r="N391" s="173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ht="15.75" customHeight="1">
      <c r="A392" s="10"/>
      <c r="B392" s="174"/>
      <c r="C392" s="6"/>
      <c r="D392" s="127"/>
      <c r="E392" s="127"/>
      <c r="F392" s="175"/>
      <c r="G392" s="26">
        <v>0.0</v>
      </c>
      <c r="H392" s="176"/>
      <c r="I392" s="154">
        <f t="shared" si="1"/>
        <v>0</v>
      </c>
      <c r="J392" s="141"/>
      <c r="K392" s="154">
        <f t="shared" si="2"/>
        <v>0</v>
      </c>
      <c r="L392" s="154">
        <f t="shared" si="5"/>
        <v>0</v>
      </c>
      <c r="M392" s="154">
        <f t="shared" si="4"/>
        <v>0</v>
      </c>
      <c r="N392" s="173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ht="15.75" customHeight="1">
      <c r="A393" s="10"/>
      <c r="B393" s="174"/>
      <c r="C393" s="6"/>
      <c r="D393" s="127"/>
      <c r="E393" s="127"/>
      <c r="F393" s="175"/>
      <c r="G393" s="26">
        <v>0.0</v>
      </c>
      <c r="H393" s="176"/>
      <c r="I393" s="154">
        <f t="shared" si="1"/>
        <v>0</v>
      </c>
      <c r="J393" s="141"/>
      <c r="K393" s="154">
        <f t="shared" si="2"/>
        <v>0</v>
      </c>
      <c r="L393" s="154">
        <f t="shared" si="5"/>
        <v>0</v>
      </c>
      <c r="M393" s="154">
        <f t="shared" si="4"/>
        <v>0</v>
      </c>
      <c r="N393" s="173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ht="15.75" customHeight="1">
      <c r="A394" s="10"/>
      <c r="B394" s="174"/>
      <c r="C394" s="6"/>
      <c r="D394" s="127"/>
      <c r="E394" s="127"/>
      <c r="F394" s="175"/>
      <c r="G394" s="26">
        <v>0.0</v>
      </c>
      <c r="H394" s="176"/>
      <c r="I394" s="154">
        <f t="shared" si="1"/>
        <v>0</v>
      </c>
      <c r="J394" s="141"/>
      <c r="K394" s="154">
        <f t="shared" si="2"/>
        <v>0</v>
      </c>
      <c r="L394" s="154">
        <f t="shared" si="5"/>
        <v>0</v>
      </c>
      <c r="M394" s="154">
        <f t="shared" si="4"/>
        <v>0</v>
      </c>
      <c r="N394" s="173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ht="15.75" customHeight="1">
      <c r="A395" s="10"/>
      <c r="B395" s="174"/>
      <c r="C395" s="6"/>
      <c r="D395" s="127"/>
      <c r="E395" s="127"/>
      <c r="F395" s="175"/>
      <c r="G395" s="26">
        <v>0.0</v>
      </c>
      <c r="H395" s="176"/>
      <c r="I395" s="154">
        <f t="shared" si="1"/>
        <v>0</v>
      </c>
      <c r="J395" s="141"/>
      <c r="K395" s="154">
        <f t="shared" si="2"/>
        <v>0</v>
      </c>
      <c r="L395" s="154">
        <f t="shared" si="5"/>
        <v>0</v>
      </c>
      <c r="M395" s="154">
        <f t="shared" si="4"/>
        <v>0</v>
      </c>
      <c r="N395" s="173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ht="15.75" customHeight="1">
      <c r="A396" s="10"/>
      <c r="B396" s="174"/>
      <c r="C396" s="6"/>
      <c r="D396" s="127"/>
      <c r="E396" s="127"/>
      <c r="F396" s="175"/>
      <c r="G396" s="26">
        <v>0.0</v>
      </c>
      <c r="H396" s="176"/>
      <c r="I396" s="154">
        <f t="shared" si="1"/>
        <v>0</v>
      </c>
      <c r="J396" s="141"/>
      <c r="K396" s="154">
        <f t="shared" si="2"/>
        <v>0</v>
      </c>
      <c r="L396" s="154">
        <f t="shared" si="5"/>
        <v>0</v>
      </c>
      <c r="M396" s="154">
        <f t="shared" si="4"/>
        <v>0</v>
      </c>
      <c r="N396" s="173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ht="15.75" customHeight="1">
      <c r="A397" s="10"/>
      <c r="B397" s="174"/>
      <c r="C397" s="6"/>
      <c r="D397" s="127"/>
      <c r="E397" s="127"/>
      <c r="F397" s="175"/>
      <c r="G397" s="26">
        <v>0.0</v>
      </c>
      <c r="H397" s="176"/>
      <c r="I397" s="154">
        <f t="shared" si="1"/>
        <v>0</v>
      </c>
      <c r="J397" s="141"/>
      <c r="K397" s="154">
        <f t="shared" si="2"/>
        <v>0</v>
      </c>
      <c r="L397" s="154">
        <f t="shared" si="5"/>
        <v>0</v>
      </c>
      <c r="M397" s="154">
        <f t="shared" si="4"/>
        <v>0</v>
      </c>
      <c r="N397" s="173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ht="15.75" customHeight="1">
      <c r="A398" s="10"/>
      <c r="B398" s="174"/>
      <c r="C398" s="6"/>
      <c r="D398" s="127"/>
      <c r="E398" s="127"/>
      <c r="F398" s="175"/>
      <c r="G398" s="26">
        <v>0.0</v>
      </c>
      <c r="H398" s="176"/>
      <c r="I398" s="154">
        <f t="shared" si="1"/>
        <v>0</v>
      </c>
      <c r="J398" s="141"/>
      <c r="K398" s="154">
        <f t="shared" si="2"/>
        <v>0</v>
      </c>
      <c r="L398" s="154">
        <f t="shared" si="5"/>
        <v>0</v>
      </c>
      <c r="M398" s="154">
        <f t="shared" si="4"/>
        <v>0</v>
      </c>
      <c r="N398" s="173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ht="15.75" customHeight="1">
      <c r="A399" s="10"/>
      <c r="B399" s="174"/>
      <c r="C399" s="6"/>
      <c r="D399" s="127"/>
      <c r="E399" s="127"/>
      <c r="F399" s="175"/>
      <c r="G399" s="26">
        <v>0.0</v>
      </c>
      <c r="H399" s="176"/>
      <c r="I399" s="154">
        <f t="shared" si="1"/>
        <v>0</v>
      </c>
      <c r="J399" s="141"/>
      <c r="K399" s="154">
        <f t="shared" si="2"/>
        <v>0</v>
      </c>
      <c r="L399" s="154">
        <f t="shared" si="5"/>
        <v>0</v>
      </c>
      <c r="M399" s="154">
        <f t="shared" si="4"/>
        <v>0</v>
      </c>
      <c r="N399" s="173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ht="15.75" customHeight="1">
      <c r="A400" s="10"/>
      <c r="B400" s="174"/>
      <c r="C400" s="6"/>
      <c r="D400" s="127"/>
      <c r="E400" s="127"/>
      <c r="F400" s="175"/>
      <c r="G400" s="26">
        <v>0.0</v>
      </c>
      <c r="H400" s="176"/>
      <c r="I400" s="154">
        <f t="shared" si="1"/>
        <v>0</v>
      </c>
      <c r="J400" s="141"/>
      <c r="K400" s="154">
        <f t="shared" si="2"/>
        <v>0</v>
      </c>
      <c r="L400" s="154">
        <f t="shared" si="5"/>
        <v>0</v>
      </c>
      <c r="M400" s="154">
        <f t="shared" si="4"/>
        <v>0</v>
      </c>
      <c r="N400" s="173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ht="15.75" customHeight="1">
      <c r="A401" s="10"/>
      <c r="B401" s="174"/>
      <c r="C401" s="6"/>
      <c r="D401" s="127"/>
      <c r="E401" s="127"/>
      <c r="F401" s="175"/>
      <c r="G401" s="26">
        <v>0.0</v>
      </c>
      <c r="H401" s="176"/>
      <c r="I401" s="154">
        <f t="shared" si="1"/>
        <v>0</v>
      </c>
      <c r="J401" s="141"/>
      <c r="K401" s="154">
        <f t="shared" si="2"/>
        <v>0</v>
      </c>
      <c r="L401" s="154">
        <f t="shared" si="5"/>
        <v>0</v>
      </c>
      <c r="M401" s="154">
        <f t="shared" si="4"/>
        <v>0</v>
      </c>
      <c r="N401" s="173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ht="15.75" customHeight="1">
      <c r="A402" s="10"/>
      <c r="B402" s="174"/>
      <c r="C402" s="6"/>
      <c r="D402" s="127"/>
      <c r="E402" s="127"/>
      <c r="F402" s="175"/>
      <c r="G402" s="26">
        <v>0.0</v>
      </c>
      <c r="H402" s="176"/>
      <c r="I402" s="154">
        <f t="shared" si="1"/>
        <v>0</v>
      </c>
      <c r="J402" s="141"/>
      <c r="K402" s="154">
        <f t="shared" si="2"/>
        <v>0</v>
      </c>
      <c r="L402" s="154">
        <f t="shared" si="5"/>
        <v>0</v>
      </c>
      <c r="M402" s="154">
        <f t="shared" si="4"/>
        <v>0</v>
      </c>
      <c r="N402" s="173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ht="15.75" customHeight="1">
      <c r="A403" s="10"/>
      <c r="B403" s="174"/>
      <c r="C403" s="6"/>
      <c r="D403" s="127"/>
      <c r="E403" s="127"/>
      <c r="F403" s="175"/>
      <c r="G403" s="26">
        <v>0.0</v>
      </c>
      <c r="H403" s="176"/>
      <c r="I403" s="154">
        <f t="shared" si="1"/>
        <v>0</v>
      </c>
      <c r="J403" s="141"/>
      <c r="K403" s="154">
        <f t="shared" si="2"/>
        <v>0</v>
      </c>
      <c r="L403" s="154">
        <f t="shared" si="5"/>
        <v>0</v>
      </c>
      <c r="M403" s="154">
        <f t="shared" si="4"/>
        <v>0</v>
      </c>
      <c r="N403" s="173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ht="15.75" customHeight="1">
      <c r="A404" s="10"/>
      <c r="B404" s="174"/>
      <c r="C404" s="6"/>
      <c r="D404" s="127"/>
      <c r="E404" s="127"/>
      <c r="F404" s="175"/>
      <c r="G404" s="26">
        <v>0.0</v>
      </c>
      <c r="H404" s="176"/>
      <c r="I404" s="154">
        <f t="shared" si="1"/>
        <v>0</v>
      </c>
      <c r="J404" s="141"/>
      <c r="K404" s="154">
        <f t="shared" si="2"/>
        <v>0</v>
      </c>
      <c r="L404" s="154">
        <f t="shared" si="5"/>
        <v>0</v>
      </c>
      <c r="M404" s="154">
        <f t="shared" si="4"/>
        <v>0</v>
      </c>
      <c r="N404" s="173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ht="15.75" customHeight="1">
      <c r="A405" s="10"/>
      <c r="B405" s="174"/>
      <c r="C405" s="6"/>
      <c r="D405" s="127"/>
      <c r="E405" s="127"/>
      <c r="F405" s="175"/>
      <c r="G405" s="26">
        <v>0.0</v>
      </c>
      <c r="H405" s="176"/>
      <c r="I405" s="154">
        <f t="shared" si="1"/>
        <v>0</v>
      </c>
      <c r="J405" s="141"/>
      <c r="K405" s="154">
        <f t="shared" si="2"/>
        <v>0</v>
      </c>
      <c r="L405" s="154">
        <f t="shared" si="5"/>
        <v>0</v>
      </c>
      <c r="M405" s="154">
        <f t="shared" si="4"/>
        <v>0</v>
      </c>
      <c r="N405" s="173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ht="15.75" customHeight="1">
      <c r="A406" s="10"/>
      <c r="B406" s="174"/>
      <c r="C406" s="6"/>
      <c r="D406" s="127"/>
      <c r="E406" s="127"/>
      <c r="F406" s="175"/>
      <c r="G406" s="26">
        <v>0.0</v>
      </c>
      <c r="H406" s="176"/>
      <c r="I406" s="154">
        <f t="shared" si="1"/>
        <v>0</v>
      </c>
      <c r="J406" s="141"/>
      <c r="K406" s="154">
        <f t="shared" si="2"/>
        <v>0</v>
      </c>
      <c r="L406" s="154">
        <f t="shared" si="5"/>
        <v>0</v>
      </c>
      <c r="M406" s="154">
        <f t="shared" si="4"/>
        <v>0</v>
      </c>
      <c r="N406" s="173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ht="15.75" customHeight="1">
      <c r="A407" s="10"/>
      <c r="B407" s="174"/>
      <c r="C407" s="6"/>
      <c r="D407" s="127"/>
      <c r="E407" s="127"/>
      <c r="F407" s="175"/>
      <c r="G407" s="26">
        <v>0.0</v>
      </c>
      <c r="H407" s="176"/>
      <c r="I407" s="154">
        <f t="shared" si="1"/>
        <v>0</v>
      </c>
      <c r="J407" s="141"/>
      <c r="K407" s="154">
        <f t="shared" si="2"/>
        <v>0</v>
      </c>
      <c r="L407" s="154">
        <f t="shared" si="5"/>
        <v>0</v>
      </c>
      <c r="M407" s="154">
        <f t="shared" si="4"/>
        <v>0</v>
      </c>
      <c r="N407" s="173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ht="15.75" customHeight="1">
      <c r="A408" s="10"/>
      <c r="B408" s="174"/>
      <c r="C408" s="6"/>
      <c r="D408" s="127"/>
      <c r="E408" s="127"/>
      <c r="F408" s="175"/>
      <c r="G408" s="26">
        <v>0.0</v>
      </c>
      <c r="H408" s="176"/>
      <c r="I408" s="154">
        <f t="shared" si="1"/>
        <v>0</v>
      </c>
      <c r="J408" s="141"/>
      <c r="K408" s="154">
        <f t="shared" si="2"/>
        <v>0</v>
      </c>
      <c r="L408" s="154">
        <f t="shared" si="5"/>
        <v>0</v>
      </c>
      <c r="M408" s="154">
        <f t="shared" si="4"/>
        <v>0</v>
      </c>
      <c r="N408" s="173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ht="15.75" customHeight="1">
      <c r="A409" s="10"/>
      <c r="B409" s="174"/>
      <c r="C409" s="6"/>
      <c r="D409" s="127"/>
      <c r="E409" s="127"/>
      <c r="F409" s="175"/>
      <c r="G409" s="26">
        <v>0.0</v>
      </c>
      <c r="H409" s="176"/>
      <c r="I409" s="154">
        <f t="shared" si="1"/>
        <v>0</v>
      </c>
      <c r="J409" s="141"/>
      <c r="K409" s="154">
        <f t="shared" si="2"/>
        <v>0</v>
      </c>
      <c r="L409" s="154">
        <f t="shared" si="5"/>
        <v>0</v>
      </c>
      <c r="M409" s="154">
        <f t="shared" si="4"/>
        <v>0</v>
      </c>
      <c r="N409" s="173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ht="15.75" customHeight="1">
      <c r="A410" s="10"/>
      <c r="B410" s="174"/>
      <c r="C410" s="6"/>
      <c r="D410" s="127"/>
      <c r="E410" s="127"/>
      <c r="F410" s="175"/>
      <c r="G410" s="26">
        <v>0.0</v>
      </c>
      <c r="H410" s="176"/>
      <c r="I410" s="154">
        <f t="shared" si="1"/>
        <v>0</v>
      </c>
      <c r="J410" s="141"/>
      <c r="K410" s="154">
        <f t="shared" si="2"/>
        <v>0</v>
      </c>
      <c r="L410" s="154">
        <f t="shared" si="5"/>
        <v>0</v>
      </c>
      <c r="M410" s="154">
        <f t="shared" si="4"/>
        <v>0</v>
      </c>
      <c r="N410" s="173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ht="15.75" customHeight="1">
      <c r="A411" s="10"/>
      <c r="B411" s="174"/>
      <c r="C411" s="6"/>
      <c r="D411" s="127"/>
      <c r="E411" s="127"/>
      <c r="F411" s="175"/>
      <c r="G411" s="26">
        <v>0.0</v>
      </c>
      <c r="H411" s="176"/>
      <c r="I411" s="154">
        <f t="shared" si="1"/>
        <v>0</v>
      </c>
      <c r="J411" s="141"/>
      <c r="K411" s="154">
        <f t="shared" si="2"/>
        <v>0</v>
      </c>
      <c r="L411" s="154">
        <f t="shared" si="5"/>
        <v>0</v>
      </c>
      <c r="M411" s="154">
        <f t="shared" si="4"/>
        <v>0</v>
      </c>
      <c r="N411" s="173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ht="15.75" customHeight="1">
      <c r="A412" s="10"/>
      <c r="B412" s="174"/>
      <c r="C412" s="6"/>
      <c r="D412" s="127"/>
      <c r="E412" s="127"/>
      <c r="F412" s="175"/>
      <c r="G412" s="26">
        <v>0.0</v>
      </c>
      <c r="H412" s="176"/>
      <c r="I412" s="154">
        <f t="shared" si="1"/>
        <v>0</v>
      </c>
      <c r="J412" s="141"/>
      <c r="K412" s="154">
        <f t="shared" si="2"/>
        <v>0</v>
      </c>
      <c r="L412" s="154">
        <f t="shared" si="5"/>
        <v>0</v>
      </c>
      <c r="M412" s="154">
        <f t="shared" si="4"/>
        <v>0</v>
      </c>
      <c r="N412" s="173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ht="15.75" customHeight="1">
      <c r="A413" s="10"/>
      <c r="B413" s="174"/>
      <c r="C413" s="6"/>
      <c r="D413" s="127"/>
      <c r="E413" s="127"/>
      <c r="F413" s="175"/>
      <c r="G413" s="26">
        <v>0.0</v>
      </c>
      <c r="H413" s="176"/>
      <c r="I413" s="154">
        <f t="shared" si="1"/>
        <v>0</v>
      </c>
      <c r="J413" s="141"/>
      <c r="K413" s="154">
        <f t="shared" si="2"/>
        <v>0</v>
      </c>
      <c r="L413" s="154">
        <f t="shared" si="5"/>
        <v>0</v>
      </c>
      <c r="M413" s="154">
        <f t="shared" si="4"/>
        <v>0</v>
      </c>
      <c r="N413" s="173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ht="15.75" customHeight="1">
      <c r="A414" s="10"/>
      <c r="B414" s="174"/>
      <c r="C414" s="6"/>
      <c r="D414" s="127"/>
      <c r="E414" s="127"/>
      <c r="F414" s="175"/>
      <c r="G414" s="26">
        <v>0.0</v>
      </c>
      <c r="H414" s="176"/>
      <c r="I414" s="154">
        <f t="shared" si="1"/>
        <v>0</v>
      </c>
      <c r="J414" s="141"/>
      <c r="K414" s="154">
        <f t="shared" si="2"/>
        <v>0</v>
      </c>
      <c r="L414" s="154">
        <f t="shared" si="5"/>
        <v>0</v>
      </c>
      <c r="M414" s="154">
        <f t="shared" si="4"/>
        <v>0</v>
      </c>
      <c r="N414" s="173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ht="15.75" customHeight="1">
      <c r="A415" s="10"/>
      <c r="B415" s="174"/>
      <c r="C415" s="6"/>
      <c r="D415" s="127"/>
      <c r="E415" s="127"/>
      <c r="F415" s="175"/>
      <c r="G415" s="26">
        <v>0.0</v>
      </c>
      <c r="H415" s="176"/>
      <c r="I415" s="154">
        <f t="shared" si="1"/>
        <v>0</v>
      </c>
      <c r="J415" s="141"/>
      <c r="K415" s="154">
        <f t="shared" si="2"/>
        <v>0</v>
      </c>
      <c r="L415" s="154">
        <f t="shared" si="5"/>
        <v>0</v>
      </c>
      <c r="M415" s="154">
        <f t="shared" si="4"/>
        <v>0</v>
      </c>
      <c r="N415" s="173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ht="15.75" customHeight="1">
      <c r="A416" s="10"/>
      <c r="B416" s="174"/>
      <c r="C416" s="6"/>
      <c r="D416" s="127"/>
      <c r="E416" s="127"/>
      <c r="F416" s="175"/>
      <c r="G416" s="26">
        <v>0.0</v>
      </c>
      <c r="H416" s="176"/>
      <c r="I416" s="154">
        <f t="shared" si="1"/>
        <v>0</v>
      </c>
      <c r="J416" s="141"/>
      <c r="K416" s="154">
        <f t="shared" si="2"/>
        <v>0</v>
      </c>
      <c r="L416" s="154">
        <f t="shared" si="5"/>
        <v>0</v>
      </c>
      <c r="M416" s="154">
        <f t="shared" si="4"/>
        <v>0</v>
      </c>
      <c r="N416" s="173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ht="15.75" customHeight="1">
      <c r="A417" s="10"/>
      <c r="B417" s="174"/>
      <c r="C417" s="6"/>
      <c r="D417" s="127"/>
      <c r="E417" s="127"/>
      <c r="F417" s="175"/>
      <c r="G417" s="26">
        <v>0.0</v>
      </c>
      <c r="H417" s="176"/>
      <c r="I417" s="154">
        <f t="shared" si="1"/>
        <v>0</v>
      </c>
      <c r="J417" s="141"/>
      <c r="K417" s="154">
        <f t="shared" si="2"/>
        <v>0</v>
      </c>
      <c r="L417" s="154">
        <f t="shared" si="5"/>
        <v>0</v>
      </c>
      <c r="M417" s="154">
        <f t="shared" si="4"/>
        <v>0</v>
      </c>
      <c r="N417" s="173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ht="15.75" customHeight="1">
      <c r="A418" s="10"/>
      <c r="B418" s="174"/>
      <c r="C418" s="6"/>
      <c r="D418" s="127"/>
      <c r="E418" s="127"/>
      <c r="F418" s="175"/>
      <c r="G418" s="26">
        <v>0.0</v>
      </c>
      <c r="H418" s="176"/>
      <c r="I418" s="154">
        <f t="shared" si="1"/>
        <v>0</v>
      </c>
      <c r="J418" s="141"/>
      <c r="K418" s="154">
        <f t="shared" si="2"/>
        <v>0</v>
      </c>
      <c r="L418" s="154">
        <f t="shared" si="5"/>
        <v>0</v>
      </c>
      <c r="M418" s="154">
        <f t="shared" si="4"/>
        <v>0</v>
      </c>
      <c r="N418" s="173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ht="15.75" customHeight="1">
      <c r="A419" s="10"/>
      <c r="B419" s="174"/>
      <c r="C419" s="6"/>
      <c r="D419" s="127"/>
      <c r="E419" s="127"/>
      <c r="F419" s="175"/>
      <c r="G419" s="26">
        <v>0.0</v>
      </c>
      <c r="H419" s="176"/>
      <c r="I419" s="154">
        <f t="shared" si="1"/>
        <v>0</v>
      </c>
      <c r="J419" s="141"/>
      <c r="K419" s="154">
        <f t="shared" si="2"/>
        <v>0</v>
      </c>
      <c r="L419" s="154">
        <f t="shared" si="5"/>
        <v>0</v>
      </c>
      <c r="M419" s="154">
        <f t="shared" si="4"/>
        <v>0</v>
      </c>
      <c r="N419" s="173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ht="15.75" customHeight="1">
      <c r="A420" s="10"/>
      <c r="B420" s="174"/>
      <c r="C420" s="6"/>
      <c r="D420" s="127"/>
      <c r="E420" s="127"/>
      <c r="F420" s="175"/>
      <c r="G420" s="26">
        <v>0.0</v>
      </c>
      <c r="H420" s="176"/>
      <c r="I420" s="154">
        <f t="shared" si="1"/>
        <v>0</v>
      </c>
      <c r="J420" s="141"/>
      <c r="K420" s="154">
        <f t="shared" si="2"/>
        <v>0</v>
      </c>
      <c r="L420" s="154">
        <f t="shared" si="5"/>
        <v>0</v>
      </c>
      <c r="M420" s="154">
        <f t="shared" si="4"/>
        <v>0</v>
      </c>
      <c r="N420" s="173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ht="15.75" customHeight="1">
      <c r="A421" s="10"/>
      <c r="B421" s="174"/>
      <c r="C421" s="6"/>
      <c r="D421" s="127"/>
      <c r="E421" s="127"/>
      <c r="F421" s="175"/>
      <c r="G421" s="26">
        <v>0.0</v>
      </c>
      <c r="H421" s="176"/>
      <c r="I421" s="154">
        <f t="shared" si="1"/>
        <v>0</v>
      </c>
      <c r="J421" s="141"/>
      <c r="K421" s="154">
        <f t="shared" si="2"/>
        <v>0</v>
      </c>
      <c r="L421" s="154">
        <f t="shared" si="5"/>
        <v>0</v>
      </c>
      <c r="M421" s="154">
        <f t="shared" si="4"/>
        <v>0</v>
      </c>
      <c r="N421" s="173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ht="15.75" customHeight="1">
      <c r="A422" s="10"/>
      <c r="B422" s="174"/>
      <c r="C422" s="6"/>
      <c r="D422" s="127"/>
      <c r="E422" s="127"/>
      <c r="F422" s="175"/>
      <c r="G422" s="26">
        <v>0.0</v>
      </c>
      <c r="H422" s="176"/>
      <c r="I422" s="154">
        <f t="shared" si="1"/>
        <v>0</v>
      </c>
      <c r="J422" s="141"/>
      <c r="K422" s="154">
        <f t="shared" si="2"/>
        <v>0</v>
      </c>
      <c r="L422" s="154">
        <f t="shared" si="5"/>
        <v>0</v>
      </c>
      <c r="M422" s="154">
        <f t="shared" si="4"/>
        <v>0</v>
      </c>
      <c r="N422" s="173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ht="15.75" customHeight="1">
      <c r="A423" s="10"/>
      <c r="B423" s="174"/>
      <c r="C423" s="6"/>
      <c r="D423" s="127"/>
      <c r="E423" s="127"/>
      <c r="F423" s="175"/>
      <c r="G423" s="26">
        <v>0.0</v>
      </c>
      <c r="H423" s="176"/>
      <c r="I423" s="154">
        <f t="shared" si="1"/>
        <v>0</v>
      </c>
      <c r="J423" s="141"/>
      <c r="K423" s="154">
        <f t="shared" si="2"/>
        <v>0</v>
      </c>
      <c r="L423" s="154">
        <f t="shared" si="5"/>
        <v>0</v>
      </c>
      <c r="M423" s="154">
        <f t="shared" si="4"/>
        <v>0</v>
      </c>
      <c r="N423" s="173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ht="15.75" customHeight="1">
      <c r="A424" s="10"/>
      <c r="B424" s="174"/>
      <c r="C424" s="6"/>
      <c r="D424" s="127"/>
      <c r="E424" s="127"/>
      <c r="F424" s="175"/>
      <c r="G424" s="26">
        <v>0.0</v>
      </c>
      <c r="H424" s="176"/>
      <c r="I424" s="154">
        <f t="shared" si="1"/>
        <v>0</v>
      </c>
      <c r="J424" s="141"/>
      <c r="K424" s="154">
        <f t="shared" si="2"/>
        <v>0</v>
      </c>
      <c r="L424" s="154">
        <f t="shared" si="5"/>
        <v>0</v>
      </c>
      <c r="M424" s="154">
        <f t="shared" si="4"/>
        <v>0</v>
      </c>
      <c r="N424" s="173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ht="15.75" customHeight="1">
      <c r="A425" s="10"/>
      <c r="B425" s="174"/>
      <c r="C425" s="6"/>
      <c r="D425" s="127"/>
      <c r="E425" s="127"/>
      <c r="F425" s="175"/>
      <c r="G425" s="26">
        <v>0.0</v>
      </c>
      <c r="H425" s="176"/>
      <c r="I425" s="154">
        <f t="shared" si="1"/>
        <v>0</v>
      </c>
      <c r="J425" s="141"/>
      <c r="K425" s="154">
        <f t="shared" si="2"/>
        <v>0</v>
      </c>
      <c r="L425" s="154">
        <f t="shared" si="5"/>
        <v>0</v>
      </c>
      <c r="M425" s="154">
        <f t="shared" si="4"/>
        <v>0</v>
      </c>
      <c r="N425" s="173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ht="15.75" customHeight="1">
      <c r="A426" s="10"/>
      <c r="B426" s="174"/>
      <c r="C426" s="6"/>
      <c r="D426" s="127"/>
      <c r="E426" s="127"/>
      <c r="F426" s="175"/>
      <c r="G426" s="26">
        <v>0.0</v>
      </c>
      <c r="H426" s="176"/>
      <c r="I426" s="154">
        <f t="shared" si="1"/>
        <v>0</v>
      </c>
      <c r="J426" s="141"/>
      <c r="K426" s="154">
        <f t="shared" si="2"/>
        <v>0</v>
      </c>
      <c r="L426" s="154">
        <f t="shared" si="5"/>
        <v>0</v>
      </c>
      <c r="M426" s="154">
        <f t="shared" si="4"/>
        <v>0</v>
      </c>
      <c r="N426" s="173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ht="15.75" customHeight="1">
      <c r="A427" s="10"/>
      <c r="B427" s="174"/>
      <c r="C427" s="6"/>
      <c r="D427" s="127"/>
      <c r="E427" s="127"/>
      <c r="F427" s="175"/>
      <c r="G427" s="26">
        <v>0.0</v>
      </c>
      <c r="H427" s="176"/>
      <c r="I427" s="154">
        <f t="shared" si="1"/>
        <v>0</v>
      </c>
      <c r="J427" s="141"/>
      <c r="K427" s="154">
        <f t="shared" si="2"/>
        <v>0</v>
      </c>
      <c r="L427" s="154">
        <f t="shared" si="5"/>
        <v>0</v>
      </c>
      <c r="M427" s="154">
        <f t="shared" si="4"/>
        <v>0</v>
      </c>
      <c r="N427" s="173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ht="15.75" customHeight="1">
      <c r="A428" s="10"/>
      <c r="B428" s="174"/>
      <c r="C428" s="6"/>
      <c r="D428" s="127"/>
      <c r="E428" s="127"/>
      <c r="F428" s="175"/>
      <c r="G428" s="26">
        <v>0.0</v>
      </c>
      <c r="H428" s="176"/>
      <c r="I428" s="154">
        <f t="shared" si="1"/>
        <v>0</v>
      </c>
      <c r="J428" s="141"/>
      <c r="K428" s="154">
        <f t="shared" si="2"/>
        <v>0</v>
      </c>
      <c r="L428" s="154">
        <f t="shared" si="5"/>
        <v>0</v>
      </c>
      <c r="M428" s="154">
        <f t="shared" si="4"/>
        <v>0</v>
      </c>
      <c r="N428" s="173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ht="15.75" customHeight="1">
      <c r="A429" s="10"/>
      <c r="B429" s="174"/>
      <c r="C429" s="6"/>
      <c r="D429" s="127"/>
      <c r="E429" s="127"/>
      <c r="F429" s="175"/>
      <c r="G429" s="26">
        <v>0.0</v>
      </c>
      <c r="H429" s="176"/>
      <c r="I429" s="154">
        <f t="shared" si="1"/>
        <v>0</v>
      </c>
      <c r="J429" s="141"/>
      <c r="K429" s="154">
        <f t="shared" si="2"/>
        <v>0</v>
      </c>
      <c r="L429" s="154">
        <f t="shared" si="5"/>
        <v>0</v>
      </c>
      <c r="M429" s="154">
        <f t="shared" si="4"/>
        <v>0</v>
      </c>
      <c r="N429" s="173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ht="15.75" customHeight="1">
      <c r="A430" s="10"/>
      <c r="B430" s="174"/>
      <c r="C430" s="6"/>
      <c r="D430" s="127"/>
      <c r="E430" s="127"/>
      <c r="F430" s="175"/>
      <c r="G430" s="26">
        <v>0.0</v>
      </c>
      <c r="H430" s="176"/>
      <c r="I430" s="154">
        <f t="shared" si="1"/>
        <v>0</v>
      </c>
      <c r="J430" s="141"/>
      <c r="K430" s="154">
        <f t="shared" si="2"/>
        <v>0</v>
      </c>
      <c r="L430" s="154">
        <f t="shared" si="5"/>
        <v>0</v>
      </c>
      <c r="M430" s="154">
        <f t="shared" si="4"/>
        <v>0</v>
      </c>
      <c r="N430" s="173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ht="15.75" customHeight="1">
      <c r="A431" s="10"/>
      <c r="B431" s="174"/>
      <c r="C431" s="6"/>
      <c r="D431" s="127"/>
      <c r="E431" s="127"/>
      <c r="F431" s="175"/>
      <c r="G431" s="26">
        <v>0.0</v>
      </c>
      <c r="H431" s="176"/>
      <c r="I431" s="154">
        <f t="shared" si="1"/>
        <v>0</v>
      </c>
      <c r="J431" s="141"/>
      <c r="K431" s="154">
        <f t="shared" si="2"/>
        <v>0</v>
      </c>
      <c r="L431" s="154">
        <f t="shared" si="5"/>
        <v>0</v>
      </c>
      <c r="M431" s="154">
        <f t="shared" si="4"/>
        <v>0</v>
      </c>
      <c r="N431" s="173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ht="15.75" customHeight="1">
      <c r="A432" s="10"/>
      <c r="B432" s="174"/>
      <c r="C432" s="6"/>
      <c r="D432" s="127"/>
      <c r="E432" s="127"/>
      <c r="F432" s="175"/>
      <c r="G432" s="26">
        <v>0.0</v>
      </c>
      <c r="H432" s="176"/>
      <c r="I432" s="154">
        <f t="shared" si="1"/>
        <v>0</v>
      </c>
      <c r="J432" s="141"/>
      <c r="K432" s="154">
        <f t="shared" si="2"/>
        <v>0</v>
      </c>
      <c r="L432" s="154">
        <f t="shared" si="5"/>
        <v>0</v>
      </c>
      <c r="M432" s="154">
        <f t="shared" si="4"/>
        <v>0</v>
      </c>
      <c r="N432" s="173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ht="15.75" customHeight="1">
      <c r="A433" s="10"/>
      <c r="B433" s="174"/>
      <c r="C433" s="6"/>
      <c r="D433" s="127"/>
      <c r="E433" s="127"/>
      <c r="F433" s="175"/>
      <c r="G433" s="26">
        <v>0.0</v>
      </c>
      <c r="H433" s="176"/>
      <c r="I433" s="154">
        <f t="shared" si="1"/>
        <v>0</v>
      </c>
      <c r="J433" s="141"/>
      <c r="K433" s="154">
        <f t="shared" si="2"/>
        <v>0</v>
      </c>
      <c r="L433" s="154">
        <f t="shared" si="5"/>
        <v>0</v>
      </c>
      <c r="M433" s="154">
        <f t="shared" si="4"/>
        <v>0</v>
      </c>
      <c r="N433" s="173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ht="15.75" customHeight="1">
      <c r="A434" s="10"/>
      <c r="B434" s="174"/>
      <c r="C434" s="6"/>
      <c r="D434" s="127"/>
      <c r="E434" s="127"/>
      <c r="F434" s="175"/>
      <c r="G434" s="26">
        <v>0.0</v>
      </c>
      <c r="H434" s="176"/>
      <c r="I434" s="154">
        <f t="shared" si="1"/>
        <v>0</v>
      </c>
      <c r="J434" s="141"/>
      <c r="K434" s="154">
        <f t="shared" si="2"/>
        <v>0</v>
      </c>
      <c r="L434" s="154">
        <f t="shared" si="5"/>
        <v>0</v>
      </c>
      <c r="M434" s="154">
        <f t="shared" si="4"/>
        <v>0</v>
      </c>
      <c r="N434" s="173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ht="15.75" customHeight="1">
      <c r="A435" s="10"/>
      <c r="B435" s="174"/>
      <c r="C435" s="6"/>
      <c r="D435" s="127"/>
      <c r="E435" s="127"/>
      <c r="F435" s="175"/>
      <c r="G435" s="26">
        <v>0.0</v>
      </c>
      <c r="H435" s="176"/>
      <c r="I435" s="154">
        <f t="shared" si="1"/>
        <v>0</v>
      </c>
      <c r="J435" s="141"/>
      <c r="K435" s="154">
        <f t="shared" si="2"/>
        <v>0</v>
      </c>
      <c r="L435" s="154">
        <f t="shared" si="5"/>
        <v>0</v>
      </c>
      <c r="M435" s="154">
        <f t="shared" si="4"/>
        <v>0</v>
      </c>
      <c r="N435" s="173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ht="15.75" customHeight="1">
      <c r="A436" s="10"/>
      <c r="B436" s="174"/>
      <c r="C436" s="6"/>
      <c r="D436" s="127"/>
      <c r="E436" s="127"/>
      <c r="F436" s="175"/>
      <c r="G436" s="26">
        <v>0.0</v>
      </c>
      <c r="H436" s="176"/>
      <c r="I436" s="154">
        <f t="shared" si="1"/>
        <v>0</v>
      </c>
      <c r="J436" s="141"/>
      <c r="K436" s="154">
        <f t="shared" si="2"/>
        <v>0</v>
      </c>
      <c r="L436" s="154">
        <f t="shared" si="5"/>
        <v>0</v>
      </c>
      <c r="M436" s="154">
        <f t="shared" si="4"/>
        <v>0</v>
      </c>
      <c r="N436" s="173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ht="15.75" customHeight="1">
      <c r="A437" s="10"/>
      <c r="B437" s="174"/>
      <c r="C437" s="6"/>
      <c r="D437" s="127"/>
      <c r="E437" s="127"/>
      <c r="F437" s="175"/>
      <c r="G437" s="26">
        <v>0.0</v>
      </c>
      <c r="H437" s="176"/>
      <c r="I437" s="154">
        <f t="shared" si="1"/>
        <v>0</v>
      </c>
      <c r="J437" s="141"/>
      <c r="K437" s="154">
        <f t="shared" si="2"/>
        <v>0</v>
      </c>
      <c r="L437" s="154">
        <f t="shared" si="5"/>
        <v>0</v>
      </c>
      <c r="M437" s="154">
        <f t="shared" si="4"/>
        <v>0</v>
      </c>
      <c r="N437" s="173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ht="15.75" customHeight="1">
      <c r="A438" s="10"/>
      <c r="B438" s="174"/>
      <c r="C438" s="6"/>
      <c r="D438" s="127"/>
      <c r="E438" s="127"/>
      <c r="F438" s="175"/>
      <c r="G438" s="26">
        <v>0.0</v>
      </c>
      <c r="H438" s="176"/>
      <c r="I438" s="154">
        <f t="shared" si="1"/>
        <v>0</v>
      </c>
      <c r="J438" s="141"/>
      <c r="K438" s="154">
        <f t="shared" si="2"/>
        <v>0</v>
      </c>
      <c r="L438" s="154">
        <f t="shared" si="5"/>
        <v>0</v>
      </c>
      <c r="M438" s="154">
        <f t="shared" si="4"/>
        <v>0</v>
      </c>
      <c r="N438" s="173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ht="15.75" customHeight="1">
      <c r="A439" s="10"/>
      <c r="B439" s="174"/>
      <c r="C439" s="6"/>
      <c r="D439" s="127"/>
      <c r="E439" s="127"/>
      <c r="F439" s="175"/>
      <c r="G439" s="26">
        <v>0.0</v>
      </c>
      <c r="H439" s="176"/>
      <c r="I439" s="154">
        <f t="shared" si="1"/>
        <v>0</v>
      </c>
      <c r="J439" s="141"/>
      <c r="K439" s="154">
        <f t="shared" si="2"/>
        <v>0</v>
      </c>
      <c r="L439" s="154">
        <f t="shared" si="5"/>
        <v>0</v>
      </c>
      <c r="M439" s="154">
        <f t="shared" si="4"/>
        <v>0</v>
      </c>
      <c r="N439" s="173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ht="15.75" customHeight="1">
      <c r="A440" s="10"/>
      <c r="B440" s="174"/>
      <c r="C440" s="6"/>
      <c r="D440" s="127"/>
      <c r="E440" s="127"/>
      <c r="F440" s="175"/>
      <c r="G440" s="26">
        <v>0.0</v>
      </c>
      <c r="H440" s="176"/>
      <c r="I440" s="154">
        <f t="shared" si="1"/>
        <v>0</v>
      </c>
      <c r="J440" s="141"/>
      <c r="K440" s="154">
        <f t="shared" si="2"/>
        <v>0</v>
      </c>
      <c r="L440" s="154">
        <f t="shared" si="5"/>
        <v>0</v>
      </c>
      <c r="M440" s="154">
        <f t="shared" si="4"/>
        <v>0</v>
      </c>
      <c r="N440" s="173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ht="15.75" customHeight="1">
      <c r="A441" s="10"/>
      <c r="B441" s="174"/>
      <c r="C441" s="6"/>
      <c r="D441" s="127"/>
      <c r="E441" s="127"/>
      <c r="F441" s="175"/>
      <c r="G441" s="26">
        <v>0.0</v>
      </c>
      <c r="H441" s="176"/>
      <c r="I441" s="154">
        <f t="shared" si="1"/>
        <v>0</v>
      </c>
      <c r="J441" s="141"/>
      <c r="K441" s="154">
        <f t="shared" si="2"/>
        <v>0</v>
      </c>
      <c r="L441" s="154">
        <f t="shared" si="5"/>
        <v>0</v>
      </c>
      <c r="M441" s="154">
        <f t="shared" si="4"/>
        <v>0</v>
      </c>
      <c r="N441" s="173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ht="15.75" customHeight="1">
      <c r="A442" s="10"/>
      <c r="B442" s="174"/>
      <c r="C442" s="6"/>
      <c r="D442" s="127"/>
      <c r="E442" s="127"/>
      <c r="F442" s="175"/>
      <c r="G442" s="26">
        <v>0.0</v>
      </c>
      <c r="H442" s="176"/>
      <c r="I442" s="154">
        <f t="shared" si="1"/>
        <v>0</v>
      </c>
      <c r="J442" s="141"/>
      <c r="K442" s="154">
        <f t="shared" si="2"/>
        <v>0</v>
      </c>
      <c r="L442" s="154">
        <f t="shared" si="5"/>
        <v>0</v>
      </c>
      <c r="M442" s="154">
        <f t="shared" si="4"/>
        <v>0</v>
      </c>
      <c r="N442" s="173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ht="15.75" customHeight="1">
      <c r="A443" s="10"/>
      <c r="B443" s="174"/>
      <c r="C443" s="6"/>
      <c r="D443" s="127"/>
      <c r="E443" s="127"/>
      <c r="F443" s="175"/>
      <c r="G443" s="26">
        <v>0.0</v>
      </c>
      <c r="H443" s="176"/>
      <c r="I443" s="154">
        <f t="shared" si="1"/>
        <v>0</v>
      </c>
      <c r="J443" s="141"/>
      <c r="K443" s="154">
        <f t="shared" si="2"/>
        <v>0</v>
      </c>
      <c r="L443" s="154">
        <f t="shared" si="5"/>
        <v>0</v>
      </c>
      <c r="M443" s="154">
        <f t="shared" si="4"/>
        <v>0</v>
      </c>
      <c r="N443" s="173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ht="15.75" customHeight="1">
      <c r="A444" s="10"/>
      <c r="B444" s="174"/>
      <c r="C444" s="6"/>
      <c r="D444" s="127"/>
      <c r="E444" s="127"/>
      <c r="F444" s="175"/>
      <c r="G444" s="26">
        <v>0.0</v>
      </c>
      <c r="H444" s="176"/>
      <c r="I444" s="154">
        <f t="shared" si="1"/>
        <v>0</v>
      </c>
      <c r="J444" s="141"/>
      <c r="K444" s="154">
        <f t="shared" si="2"/>
        <v>0</v>
      </c>
      <c r="L444" s="154">
        <f t="shared" si="5"/>
        <v>0</v>
      </c>
      <c r="M444" s="154">
        <f t="shared" si="4"/>
        <v>0</v>
      </c>
      <c r="N444" s="173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ht="15.75" customHeight="1">
      <c r="A445" s="10"/>
      <c r="B445" s="174"/>
      <c r="C445" s="6"/>
      <c r="D445" s="127"/>
      <c r="E445" s="127"/>
      <c r="F445" s="175"/>
      <c r="G445" s="26">
        <v>0.0</v>
      </c>
      <c r="H445" s="176"/>
      <c r="I445" s="154">
        <f t="shared" si="1"/>
        <v>0</v>
      </c>
      <c r="J445" s="141"/>
      <c r="K445" s="154">
        <f t="shared" si="2"/>
        <v>0</v>
      </c>
      <c r="L445" s="154">
        <f t="shared" si="5"/>
        <v>0</v>
      </c>
      <c r="M445" s="154">
        <f t="shared" si="4"/>
        <v>0</v>
      </c>
      <c r="N445" s="173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ht="15.75" customHeight="1">
      <c r="A446" s="10"/>
      <c r="B446" s="174"/>
      <c r="C446" s="6"/>
      <c r="D446" s="127"/>
      <c r="E446" s="127"/>
      <c r="F446" s="175"/>
      <c r="G446" s="26">
        <v>0.0</v>
      </c>
      <c r="H446" s="176"/>
      <c r="I446" s="154">
        <f t="shared" si="1"/>
        <v>0</v>
      </c>
      <c r="J446" s="141"/>
      <c r="K446" s="154">
        <f t="shared" si="2"/>
        <v>0</v>
      </c>
      <c r="L446" s="154">
        <f t="shared" si="5"/>
        <v>0</v>
      </c>
      <c r="M446" s="154">
        <f t="shared" si="4"/>
        <v>0</v>
      </c>
      <c r="N446" s="173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ht="15.75" customHeight="1">
      <c r="A447" s="10"/>
      <c r="B447" s="174"/>
      <c r="C447" s="6"/>
      <c r="D447" s="127"/>
      <c r="E447" s="127"/>
      <c r="F447" s="175"/>
      <c r="G447" s="26">
        <v>0.0</v>
      </c>
      <c r="H447" s="176"/>
      <c r="I447" s="154">
        <f t="shared" si="1"/>
        <v>0</v>
      </c>
      <c r="J447" s="141"/>
      <c r="K447" s="154">
        <f t="shared" si="2"/>
        <v>0</v>
      </c>
      <c r="L447" s="154">
        <f t="shared" si="5"/>
        <v>0</v>
      </c>
      <c r="M447" s="154">
        <f t="shared" si="4"/>
        <v>0</v>
      </c>
      <c r="N447" s="173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ht="15.75" customHeight="1">
      <c r="A448" s="10"/>
      <c r="B448" s="174"/>
      <c r="C448" s="6"/>
      <c r="D448" s="127"/>
      <c r="E448" s="127"/>
      <c r="F448" s="175"/>
      <c r="G448" s="26">
        <v>0.0</v>
      </c>
      <c r="H448" s="176"/>
      <c r="I448" s="154">
        <f t="shared" si="1"/>
        <v>0</v>
      </c>
      <c r="J448" s="141"/>
      <c r="K448" s="154">
        <f t="shared" si="2"/>
        <v>0</v>
      </c>
      <c r="L448" s="154">
        <f t="shared" si="5"/>
        <v>0</v>
      </c>
      <c r="M448" s="154">
        <f t="shared" si="4"/>
        <v>0</v>
      </c>
      <c r="N448" s="173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ht="15.75" customHeight="1">
      <c r="A449" s="10"/>
      <c r="B449" s="174"/>
      <c r="C449" s="6"/>
      <c r="D449" s="127"/>
      <c r="E449" s="127"/>
      <c r="F449" s="175"/>
      <c r="G449" s="26">
        <v>0.0</v>
      </c>
      <c r="H449" s="176"/>
      <c r="I449" s="154">
        <f t="shared" si="1"/>
        <v>0</v>
      </c>
      <c r="J449" s="141"/>
      <c r="K449" s="154">
        <f t="shared" si="2"/>
        <v>0</v>
      </c>
      <c r="L449" s="154">
        <f t="shared" si="5"/>
        <v>0</v>
      </c>
      <c r="M449" s="154">
        <f t="shared" si="4"/>
        <v>0</v>
      </c>
      <c r="N449" s="173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ht="15.75" customHeight="1">
      <c r="A450" s="10"/>
      <c r="B450" s="174"/>
      <c r="C450" s="6"/>
      <c r="D450" s="127"/>
      <c r="E450" s="127"/>
      <c r="F450" s="175"/>
      <c r="G450" s="26">
        <v>0.0</v>
      </c>
      <c r="H450" s="176"/>
      <c r="I450" s="154">
        <f t="shared" si="1"/>
        <v>0</v>
      </c>
      <c r="J450" s="141"/>
      <c r="K450" s="154">
        <f t="shared" si="2"/>
        <v>0</v>
      </c>
      <c r="L450" s="154">
        <f t="shared" si="5"/>
        <v>0</v>
      </c>
      <c r="M450" s="154">
        <f t="shared" si="4"/>
        <v>0</v>
      </c>
      <c r="N450" s="173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ht="15.75" customHeight="1">
      <c r="A451" s="10"/>
      <c r="B451" s="174"/>
      <c r="C451" s="6"/>
      <c r="D451" s="127"/>
      <c r="E451" s="127"/>
      <c r="F451" s="175"/>
      <c r="G451" s="26">
        <v>0.0</v>
      </c>
      <c r="H451" s="176"/>
      <c r="I451" s="154">
        <f t="shared" si="1"/>
        <v>0</v>
      </c>
      <c r="J451" s="141"/>
      <c r="K451" s="154">
        <f t="shared" si="2"/>
        <v>0</v>
      </c>
      <c r="L451" s="154">
        <f t="shared" si="5"/>
        <v>0</v>
      </c>
      <c r="M451" s="154">
        <f t="shared" si="4"/>
        <v>0</v>
      </c>
      <c r="N451" s="173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ht="15.75" customHeight="1">
      <c r="A452" s="10"/>
      <c r="B452" s="174"/>
      <c r="C452" s="6"/>
      <c r="D452" s="127"/>
      <c r="E452" s="127"/>
      <c r="F452" s="175"/>
      <c r="G452" s="26">
        <v>0.0</v>
      </c>
      <c r="H452" s="176"/>
      <c r="I452" s="154">
        <f t="shared" si="1"/>
        <v>0</v>
      </c>
      <c r="J452" s="141"/>
      <c r="K452" s="154">
        <f t="shared" si="2"/>
        <v>0</v>
      </c>
      <c r="L452" s="154">
        <f t="shared" si="5"/>
        <v>0</v>
      </c>
      <c r="M452" s="154">
        <f t="shared" si="4"/>
        <v>0</v>
      </c>
      <c r="N452" s="173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ht="15.75" customHeight="1">
      <c r="A453" s="10"/>
      <c r="B453" s="174"/>
      <c r="C453" s="6"/>
      <c r="D453" s="127"/>
      <c r="E453" s="127"/>
      <c r="F453" s="175"/>
      <c r="G453" s="26">
        <v>0.0</v>
      </c>
      <c r="H453" s="176"/>
      <c r="I453" s="154">
        <f t="shared" si="1"/>
        <v>0</v>
      </c>
      <c r="J453" s="141"/>
      <c r="K453" s="154">
        <f t="shared" si="2"/>
        <v>0</v>
      </c>
      <c r="L453" s="154">
        <f t="shared" si="5"/>
        <v>0</v>
      </c>
      <c r="M453" s="154">
        <f t="shared" si="4"/>
        <v>0</v>
      </c>
      <c r="N453" s="173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ht="15.75" customHeight="1">
      <c r="A454" s="10"/>
      <c r="B454" s="174"/>
      <c r="C454" s="6"/>
      <c r="D454" s="127"/>
      <c r="E454" s="127"/>
      <c r="F454" s="175"/>
      <c r="G454" s="26">
        <v>0.0</v>
      </c>
      <c r="H454" s="176"/>
      <c r="I454" s="154">
        <f t="shared" si="1"/>
        <v>0</v>
      </c>
      <c r="J454" s="141"/>
      <c r="K454" s="154">
        <f t="shared" si="2"/>
        <v>0</v>
      </c>
      <c r="L454" s="154">
        <f t="shared" si="5"/>
        <v>0</v>
      </c>
      <c r="M454" s="154">
        <f t="shared" si="4"/>
        <v>0</v>
      </c>
      <c r="N454" s="173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ht="15.75" customHeight="1">
      <c r="A455" s="10"/>
      <c r="B455" s="174"/>
      <c r="C455" s="6"/>
      <c r="D455" s="127"/>
      <c r="E455" s="127"/>
      <c r="F455" s="175"/>
      <c r="G455" s="26">
        <v>0.0</v>
      </c>
      <c r="H455" s="176"/>
      <c r="I455" s="154">
        <f t="shared" si="1"/>
        <v>0</v>
      </c>
      <c r="J455" s="141"/>
      <c r="K455" s="154">
        <f t="shared" si="2"/>
        <v>0</v>
      </c>
      <c r="L455" s="154">
        <f t="shared" si="5"/>
        <v>0</v>
      </c>
      <c r="M455" s="154">
        <f t="shared" si="4"/>
        <v>0</v>
      </c>
      <c r="N455" s="173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ht="15.75" customHeight="1">
      <c r="A456" s="10"/>
      <c r="B456" s="174"/>
      <c r="C456" s="6"/>
      <c r="D456" s="127"/>
      <c r="E456" s="127"/>
      <c r="F456" s="175"/>
      <c r="G456" s="26">
        <v>0.0</v>
      </c>
      <c r="H456" s="176"/>
      <c r="I456" s="154">
        <f t="shared" si="1"/>
        <v>0</v>
      </c>
      <c r="J456" s="141"/>
      <c r="K456" s="154">
        <f t="shared" si="2"/>
        <v>0</v>
      </c>
      <c r="L456" s="154">
        <f t="shared" si="5"/>
        <v>0</v>
      </c>
      <c r="M456" s="154">
        <f t="shared" si="4"/>
        <v>0</v>
      </c>
      <c r="N456" s="173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ht="15.75" customHeight="1">
      <c r="A457" s="10"/>
      <c r="B457" s="174"/>
      <c r="C457" s="6"/>
      <c r="D457" s="127"/>
      <c r="E457" s="127"/>
      <c r="F457" s="175"/>
      <c r="G457" s="26">
        <v>0.0</v>
      </c>
      <c r="H457" s="176"/>
      <c r="I457" s="154">
        <f t="shared" si="1"/>
        <v>0</v>
      </c>
      <c r="J457" s="141"/>
      <c r="K457" s="154">
        <f t="shared" si="2"/>
        <v>0</v>
      </c>
      <c r="L457" s="154">
        <f t="shared" si="5"/>
        <v>0</v>
      </c>
      <c r="M457" s="154">
        <f t="shared" si="4"/>
        <v>0</v>
      </c>
      <c r="N457" s="173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ht="15.75" customHeight="1">
      <c r="A458" s="10"/>
      <c r="B458" s="174"/>
      <c r="C458" s="6"/>
      <c r="D458" s="127"/>
      <c r="E458" s="127"/>
      <c r="F458" s="175"/>
      <c r="G458" s="26">
        <v>0.0</v>
      </c>
      <c r="H458" s="176"/>
      <c r="I458" s="154">
        <f t="shared" si="1"/>
        <v>0</v>
      </c>
      <c r="J458" s="141"/>
      <c r="K458" s="154">
        <f t="shared" si="2"/>
        <v>0</v>
      </c>
      <c r="L458" s="154">
        <f t="shared" si="5"/>
        <v>0</v>
      </c>
      <c r="M458" s="154">
        <f t="shared" si="4"/>
        <v>0</v>
      </c>
      <c r="N458" s="173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ht="15.75" customHeight="1">
      <c r="A459" s="10"/>
      <c r="B459" s="174"/>
      <c r="C459" s="6"/>
      <c r="D459" s="127"/>
      <c r="E459" s="127"/>
      <c r="F459" s="175"/>
      <c r="G459" s="26">
        <v>0.0</v>
      </c>
      <c r="H459" s="176"/>
      <c r="I459" s="154">
        <f t="shared" si="1"/>
        <v>0</v>
      </c>
      <c r="J459" s="141"/>
      <c r="K459" s="154">
        <f t="shared" si="2"/>
        <v>0</v>
      </c>
      <c r="L459" s="154">
        <f t="shared" si="5"/>
        <v>0</v>
      </c>
      <c r="M459" s="154">
        <f t="shared" si="4"/>
        <v>0</v>
      </c>
      <c r="N459" s="173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ht="15.75" customHeight="1">
      <c r="A460" s="10"/>
      <c r="B460" s="174"/>
      <c r="C460" s="6"/>
      <c r="D460" s="127"/>
      <c r="E460" s="127"/>
      <c r="F460" s="175"/>
      <c r="G460" s="26">
        <v>0.0</v>
      </c>
      <c r="H460" s="176"/>
      <c r="I460" s="154">
        <f t="shared" si="1"/>
        <v>0</v>
      </c>
      <c r="J460" s="141"/>
      <c r="K460" s="154">
        <f t="shared" si="2"/>
        <v>0</v>
      </c>
      <c r="L460" s="154">
        <f t="shared" si="5"/>
        <v>0</v>
      </c>
      <c r="M460" s="154">
        <f t="shared" si="4"/>
        <v>0</v>
      </c>
      <c r="N460" s="173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ht="15.75" customHeight="1">
      <c r="A461" s="10"/>
      <c r="B461" s="174"/>
      <c r="C461" s="6"/>
      <c r="D461" s="127"/>
      <c r="E461" s="127"/>
      <c r="F461" s="175"/>
      <c r="G461" s="26">
        <v>0.0</v>
      </c>
      <c r="H461" s="176"/>
      <c r="I461" s="154">
        <f t="shared" si="1"/>
        <v>0</v>
      </c>
      <c r="J461" s="141"/>
      <c r="K461" s="154">
        <f t="shared" si="2"/>
        <v>0</v>
      </c>
      <c r="L461" s="154">
        <f t="shared" si="5"/>
        <v>0</v>
      </c>
      <c r="M461" s="154">
        <f t="shared" si="4"/>
        <v>0</v>
      </c>
      <c r="N461" s="173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ht="15.75" customHeight="1">
      <c r="A462" s="10"/>
      <c r="B462" s="174"/>
      <c r="C462" s="6"/>
      <c r="D462" s="127"/>
      <c r="E462" s="127"/>
      <c r="F462" s="175"/>
      <c r="G462" s="26">
        <v>0.0</v>
      </c>
      <c r="H462" s="176"/>
      <c r="I462" s="154">
        <f t="shared" si="1"/>
        <v>0</v>
      </c>
      <c r="J462" s="141"/>
      <c r="K462" s="154">
        <f t="shared" si="2"/>
        <v>0</v>
      </c>
      <c r="L462" s="154">
        <f t="shared" si="5"/>
        <v>0</v>
      </c>
      <c r="M462" s="154">
        <f t="shared" si="4"/>
        <v>0</v>
      </c>
      <c r="N462" s="173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ht="15.75" customHeight="1">
      <c r="A463" s="10"/>
      <c r="B463" s="174"/>
      <c r="C463" s="6"/>
      <c r="D463" s="127"/>
      <c r="E463" s="127"/>
      <c r="F463" s="175"/>
      <c r="G463" s="26">
        <v>0.0</v>
      </c>
      <c r="H463" s="176"/>
      <c r="I463" s="154">
        <f t="shared" si="1"/>
        <v>0</v>
      </c>
      <c r="J463" s="141"/>
      <c r="K463" s="154">
        <f t="shared" si="2"/>
        <v>0</v>
      </c>
      <c r="L463" s="154">
        <f t="shared" si="5"/>
        <v>0</v>
      </c>
      <c r="M463" s="154">
        <f t="shared" si="4"/>
        <v>0</v>
      </c>
      <c r="N463" s="173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ht="15.75" customHeight="1">
      <c r="A464" s="10"/>
      <c r="B464" s="174"/>
      <c r="C464" s="6"/>
      <c r="D464" s="127"/>
      <c r="E464" s="127"/>
      <c r="F464" s="175"/>
      <c r="G464" s="26">
        <v>0.0</v>
      </c>
      <c r="H464" s="176"/>
      <c r="I464" s="154">
        <f t="shared" si="1"/>
        <v>0</v>
      </c>
      <c r="J464" s="141"/>
      <c r="K464" s="154">
        <f t="shared" si="2"/>
        <v>0</v>
      </c>
      <c r="L464" s="154">
        <f t="shared" si="5"/>
        <v>0</v>
      </c>
      <c r="M464" s="154">
        <f t="shared" si="4"/>
        <v>0</v>
      </c>
      <c r="N464" s="173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ht="15.75" customHeight="1">
      <c r="A465" s="10"/>
      <c r="B465" s="174"/>
      <c r="C465" s="6"/>
      <c r="D465" s="127"/>
      <c r="E465" s="127"/>
      <c r="F465" s="175"/>
      <c r="G465" s="26">
        <v>0.0</v>
      </c>
      <c r="H465" s="176"/>
      <c r="I465" s="154">
        <f t="shared" si="1"/>
        <v>0</v>
      </c>
      <c r="J465" s="141"/>
      <c r="K465" s="154">
        <f t="shared" si="2"/>
        <v>0</v>
      </c>
      <c r="L465" s="154">
        <f t="shared" si="5"/>
        <v>0</v>
      </c>
      <c r="M465" s="154">
        <f t="shared" si="4"/>
        <v>0</v>
      </c>
      <c r="N465" s="173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ht="15.75" customHeight="1">
      <c r="A466" s="10"/>
      <c r="B466" s="174"/>
      <c r="C466" s="6"/>
      <c r="D466" s="127"/>
      <c r="E466" s="127"/>
      <c r="F466" s="175"/>
      <c r="G466" s="26">
        <v>0.0</v>
      </c>
      <c r="H466" s="176"/>
      <c r="I466" s="154">
        <f t="shared" si="1"/>
        <v>0</v>
      </c>
      <c r="J466" s="141"/>
      <c r="K466" s="154">
        <f t="shared" si="2"/>
        <v>0</v>
      </c>
      <c r="L466" s="154">
        <f t="shared" si="5"/>
        <v>0</v>
      </c>
      <c r="M466" s="154">
        <f t="shared" si="4"/>
        <v>0</v>
      </c>
      <c r="N466" s="173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ht="15.75" customHeight="1">
      <c r="A467" s="10"/>
      <c r="B467" s="174"/>
      <c r="C467" s="6"/>
      <c r="D467" s="127"/>
      <c r="E467" s="127"/>
      <c r="F467" s="175"/>
      <c r="G467" s="26">
        <v>0.0</v>
      </c>
      <c r="H467" s="176"/>
      <c r="I467" s="154">
        <f t="shared" si="1"/>
        <v>0</v>
      </c>
      <c r="J467" s="141"/>
      <c r="K467" s="154">
        <f t="shared" si="2"/>
        <v>0</v>
      </c>
      <c r="L467" s="154">
        <f t="shared" si="5"/>
        <v>0</v>
      </c>
      <c r="M467" s="154">
        <f t="shared" si="4"/>
        <v>0</v>
      </c>
      <c r="N467" s="173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ht="15.75" customHeight="1">
      <c r="A468" s="10"/>
      <c r="B468" s="174"/>
      <c r="C468" s="6"/>
      <c r="D468" s="127"/>
      <c r="E468" s="127"/>
      <c r="F468" s="175"/>
      <c r="G468" s="26">
        <v>0.0</v>
      </c>
      <c r="H468" s="176"/>
      <c r="I468" s="154">
        <f t="shared" si="1"/>
        <v>0</v>
      </c>
      <c r="J468" s="141"/>
      <c r="K468" s="154">
        <f t="shared" si="2"/>
        <v>0</v>
      </c>
      <c r="L468" s="154">
        <f t="shared" si="5"/>
        <v>0</v>
      </c>
      <c r="M468" s="154">
        <f t="shared" si="4"/>
        <v>0</v>
      </c>
      <c r="N468" s="173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ht="15.75" customHeight="1">
      <c r="A469" s="10"/>
      <c r="B469" s="174"/>
      <c r="C469" s="6"/>
      <c r="D469" s="127"/>
      <c r="E469" s="127"/>
      <c r="F469" s="175"/>
      <c r="G469" s="26">
        <v>0.0</v>
      </c>
      <c r="H469" s="176"/>
      <c r="I469" s="154">
        <f t="shared" si="1"/>
        <v>0</v>
      </c>
      <c r="J469" s="141"/>
      <c r="K469" s="154">
        <f t="shared" si="2"/>
        <v>0</v>
      </c>
      <c r="L469" s="154">
        <f t="shared" si="5"/>
        <v>0</v>
      </c>
      <c r="M469" s="154">
        <f t="shared" si="4"/>
        <v>0</v>
      </c>
      <c r="N469" s="173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ht="15.75" customHeight="1">
      <c r="A470" s="10"/>
      <c r="B470" s="174"/>
      <c r="C470" s="6"/>
      <c r="D470" s="127"/>
      <c r="E470" s="127"/>
      <c r="F470" s="175"/>
      <c r="G470" s="26">
        <v>0.0</v>
      </c>
      <c r="H470" s="176"/>
      <c r="I470" s="154">
        <f t="shared" si="1"/>
        <v>0</v>
      </c>
      <c r="J470" s="141"/>
      <c r="K470" s="154">
        <f t="shared" si="2"/>
        <v>0</v>
      </c>
      <c r="L470" s="154">
        <f t="shared" si="5"/>
        <v>0</v>
      </c>
      <c r="M470" s="154">
        <f t="shared" si="4"/>
        <v>0</v>
      </c>
      <c r="N470" s="173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ht="15.75" customHeight="1">
      <c r="A471" s="10"/>
      <c r="B471" s="174"/>
      <c r="C471" s="6"/>
      <c r="D471" s="127"/>
      <c r="E471" s="127"/>
      <c r="F471" s="175"/>
      <c r="G471" s="26">
        <v>0.0</v>
      </c>
      <c r="H471" s="176"/>
      <c r="I471" s="154">
        <f t="shared" si="1"/>
        <v>0</v>
      </c>
      <c r="J471" s="141"/>
      <c r="K471" s="154">
        <f t="shared" si="2"/>
        <v>0</v>
      </c>
      <c r="L471" s="154">
        <f t="shared" si="5"/>
        <v>0</v>
      </c>
      <c r="M471" s="154">
        <f t="shared" si="4"/>
        <v>0</v>
      </c>
      <c r="N471" s="173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ht="15.75" customHeight="1">
      <c r="A472" s="10"/>
      <c r="B472" s="174"/>
      <c r="C472" s="6"/>
      <c r="D472" s="127"/>
      <c r="E472" s="127"/>
      <c r="F472" s="175"/>
      <c r="G472" s="26">
        <v>0.0</v>
      </c>
      <c r="H472" s="176"/>
      <c r="I472" s="154">
        <f t="shared" si="1"/>
        <v>0</v>
      </c>
      <c r="J472" s="141"/>
      <c r="K472" s="154">
        <f t="shared" si="2"/>
        <v>0</v>
      </c>
      <c r="L472" s="154">
        <f t="shared" si="5"/>
        <v>0</v>
      </c>
      <c r="M472" s="154">
        <f t="shared" si="4"/>
        <v>0</v>
      </c>
      <c r="N472" s="173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ht="15.75" customHeight="1">
      <c r="A473" s="10"/>
      <c r="B473" s="174"/>
      <c r="C473" s="6"/>
      <c r="D473" s="127"/>
      <c r="E473" s="127"/>
      <c r="F473" s="175"/>
      <c r="G473" s="26">
        <v>0.0</v>
      </c>
      <c r="H473" s="176"/>
      <c r="I473" s="154">
        <f t="shared" si="1"/>
        <v>0</v>
      </c>
      <c r="J473" s="141"/>
      <c r="K473" s="154">
        <f t="shared" si="2"/>
        <v>0</v>
      </c>
      <c r="L473" s="154">
        <f t="shared" si="5"/>
        <v>0</v>
      </c>
      <c r="M473" s="154">
        <f t="shared" si="4"/>
        <v>0</v>
      </c>
      <c r="N473" s="173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ht="15.75" customHeight="1">
      <c r="A474" s="10"/>
      <c r="B474" s="174"/>
      <c r="C474" s="6"/>
      <c r="D474" s="127"/>
      <c r="E474" s="127"/>
      <c r="F474" s="175"/>
      <c r="G474" s="26">
        <v>0.0</v>
      </c>
      <c r="H474" s="176"/>
      <c r="I474" s="154">
        <f t="shared" si="1"/>
        <v>0</v>
      </c>
      <c r="J474" s="141"/>
      <c r="K474" s="154">
        <f t="shared" si="2"/>
        <v>0</v>
      </c>
      <c r="L474" s="154">
        <f t="shared" si="5"/>
        <v>0</v>
      </c>
      <c r="M474" s="154">
        <f t="shared" si="4"/>
        <v>0</v>
      </c>
      <c r="N474" s="173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ht="15.75" customHeight="1">
      <c r="A475" s="10"/>
      <c r="B475" s="174"/>
      <c r="C475" s="6"/>
      <c r="D475" s="127"/>
      <c r="E475" s="127"/>
      <c r="F475" s="175"/>
      <c r="G475" s="26">
        <v>0.0</v>
      </c>
      <c r="H475" s="176"/>
      <c r="I475" s="154">
        <f t="shared" si="1"/>
        <v>0</v>
      </c>
      <c r="J475" s="141"/>
      <c r="K475" s="154">
        <f t="shared" si="2"/>
        <v>0</v>
      </c>
      <c r="L475" s="154">
        <f t="shared" si="5"/>
        <v>0</v>
      </c>
      <c r="M475" s="154">
        <f t="shared" si="4"/>
        <v>0</v>
      </c>
      <c r="N475" s="173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ht="15.75" customHeight="1">
      <c r="A476" s="10"/>
      <c r="B476" s="174"/>
      <c r="C476" s="6"/>
      <c r="D476" s="127"/>
      <c r="E476" s="127"/>
      <c r="F476" s="175"/>
      <c r="G476" s="26">
        <v>0.0</v>
      </c>
      <c r="H476" s="176"/>
      <c r="I476" s="154">
        <f t="shared" si="1"/>
        <v>0</v>
      </c>
      <c r="J476" s="141"/>
      <c r="K476" s="154">
        <f t="shared" si="2"/>
        <v>0</v>
      </c>
      <c r="L476" s="154">
        <f t="shared" si="5"/>
        <v>0</v>
      </c>
      <c r="M476" s="154">
        <f t="shared" si="4"/>
        <v>0</v>
      </c>
      <c r="N476" s="173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ht="15.75" customHeight="1">
      <c r="A477" s="10"/>
      <c r="B477" s="174"/>
      <c r="C477" s="6"/>
      <c r="D477" s="127"/>
      <c r="E477" s="127"/>
      <c r="F477" s="175"/>
      <c r="G477" s="26">
        <v>0.0</v>
      </c>
      <c r="H477" s="176"/>
      <c r="I477" s="154">
        <f t="shared" si="1"/>
        <v>0</v>
      </c>
      <c r="J477" s="141"/>
      <c r="K477" s="154">
        <f t="shared" si="2"/>
        <v>0</v>
      </c>
      <c r="L477" s="154">
        <f t="shared" si="5"/>
        <v>0</v>
      </c>
      <c r="M477" s="154">
        <f t="shared" si="4"/>
        <v>0</v>
      </c>
      <c r="N477" s="173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ht="15.75" customHeight="1">
      <c r="A478" s="10"/>
      <c r="B478" s="174"/>
      <c r="C478" s="6"/>
      <c r="D478" s="127"/>
      <c r="E478" s="127"/>
      <c r="F478" s="175"/>
      <c r="G478" s="26">
        <v>0.0</v>
      </c>
      <c r="H478" s="176"/>
      <c r="I478" s="154">
        <f t="shared" si="1"/>
        <v>0</v>
      </c>
      <c r="J478" s="141"/>
      <c r="K478" s="154">
        <f t="shared" si="2"/>
        <v>0</v>
      </c>
      <c r="L478" s="154">
        <f t="shared" si="5"/>
        <v>0</v>
      </c>
      <c r="M478" s="154">
        <f t="shared" si="4"/>
        <v>0</v>
      </c>
      <c r="N478" s="173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ht="15.75" customHeight="1">
      <c r="A479" s="10"/>
      <c r="B479" s="174"/>
      <c r="C479" s="6"/>
      <c r="D479" s="127"/>
      <c r="E479" s="127"/>
      <c r="F479" s="175"/>
      <c r="G479" s="26">
        <v>0.0</v>
      </c>
      <c r="H479" s="176"/>
      <c r="I479" s="154">
        <f t="shared" si="1"/>
        <v>0</v>
      </c>
      <c r="J479" s="141"/>
      <c r="K479" s="154">
        <f t="shared" si="2"/>
        <v>0</v>
      </c>
      <c r="L479" s="154">
        <f t="shared" si="5"/>
        <v>0</v>
      </c>
      <c r="M479" s="154">
        <f t="shared" si="4"/>
        <v>0</v>
      </c>
      <c r="N479" s="173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ht="15.75" customHeight="1">
      <c r="A480" s="10"/>
      <c r="B480" s="174"/>
      <c r="C480" s="6"/>
      <c r="D480" s="127"/>
      <c r="E480" s="127"/>
      <c r="F480" s="175"/>
      <c r="G480" s="26">
        <v>0.0</v>
      </c>
      <c r="H480" s="176"/>
      <c r="I480" s="154">
        <f t="shared" si="1"/>
        <v>0</v>
      </c>
      <c r="J480" s="141"/>
      <c r="K480" s="154">
        <f t="shared" si="2"/>
        <v>0</v>
      </c>
      <c r="L480" s="154">
        <f t="shared" si="5"/>
        <v>0</v>
      </c>
      <c r="M480" s="154">
        <f t="shared" si="4"/>
        <v>0</v>
      </c>
      <c r="N480" s="173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ht="15.75" customHeight="1">
      <c r="A481" s="10"/>
      <c r="B481" s="174"/>
      <c r="C481" s="6"/>
      <c r="D481" s="127"/>
      <c r="E481" s="127"/>
      <c r="F481" s="175"/>
      <c r="G481" s="26">
        <v>0.0</v>
      </c>
      <c r="H481" s="176"/>
      <c r="I481" s="154">
        <f t="shared" si="1"/>
        <v>0</v>
      </c>
      <c r="J481" s="141"/>
      <c r="K481" s="154">
        <f t="shared" si="2"/>
        <v>0</v>
      </c>
      <c r="L481" s="154">
        <f t="shared" si="5"/>
        <v>0</v>
      </c>
      <c r="M481" s="154">
        <f t="shared" si="4"/>
        <v>0</v>
      </c>
      <c r="N481" s="173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ht="15.75" customHeight="1">
      <c r="A482" s="10"/>
      <c r="B482" s="174"/>
      <c r="C482" s="6"/>
      <c r="D482" s="127"/>
      <c r="E482" s="127"/>
      <c r="F482" s="175"/>
      <c r="G482" s="26">
        <v>0.0</v>
      </c>
      <c r="H482" s="176"/>
      <c r="I482" s="154">
        <f t="shared" si="1"/>
        <v>0</v>
      </c>
      <c r="J482" s="141"/>
      <c r="K482" s="154">
        <f t="shared" si="2"/>
        <v>0</v>
      </c>
      <c r="L482" s="154">
        <f t="shared" si="5"/>
        <v>0</v>
      </c>
      <c r="M482" s="154">
        <f t="shared" si="4"/>
        <v>0</v>
      </c>
      <c r="N482" s="173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ht="15.75" customHeight="1">
      <c r="A483" s="10"/>
      <c r="B483" s="174"/>
      <c r="C483" s="6"/>
      <c r="D483" s="127"/>
      <c r="E483" s="127"/>
      <c r="F483" s="175"/>
      <c r="G483" s="26">
        <v>0.0</v>
      </c>
      <c r="H483" s="176"/>
      <c r="I483" s="154">
        <f t="shared" si="1"/>
        <v>0</v>
      </c>
      <c r="J483" s="141"/>
      <c r="K483" s="154">
        <f t="shared" si="2"/>
        <v>0</v>
      </c>
      <c r="L483" s="154">
        <f t="shared" si="5"/>
        <v>0</v>
      </c>
      <c r="M483" s="154">
        <f t="shared" si="4"/>
        <v>0</v>
      </c>
      <c r="N483" s="173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ht="15.75" customHeight="1">
      <c r="A484" s="10"/>
      <c r="B484" s="174"/>
      <c r="C484" s="6"/>
      <c r="D484" s="127"/>
      <c r="E484" s="127"/>
      <c r="F484" s="175"/>
      <c r="G484" s="26">
        <v>0.0</v>
      </c>
      <c r="H484" s="176"/>
      <c r="I484" s="154">
        <f t="shared" si="1"/>
        <v>0</v>
      </c>
      <c r="J484" s="141"/>
      <c r="K484" s="154">
        <f t="shared" si="2"/>
        <v>0</v>
      </c>
      <c r="L484" s="154">
        <f t="shared" si="5"/>
        <v>0</v>
      </c>
      <c r="M484" s="154">
        <f t="shared" si="4"/>
        <v>0</v>
      </c>
      <c r="N484" s="173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ht="15.75" customHeight="1">
      <c r="A485" s="10"/>
      <c r="B485" s="174"/>
      <c r="C485" s="6"/>
      <c r="D485" s="127"/>
      <c r="E485" s="127"/>
      <c r="F485" s="175"/>
      <c r="G485" s="26">
        <v>0.0</v>
      </c>
      <c r="H485" s="176"/>
      <c r="I485" s="154">
        <f t="shared" si="1"/>
        <v>0</v>
      </c>
      <c r="J485" s="141"/>
      <c r="K485" s="154">
        <f t="shared" si="2"/>
        <v>0</v>
      </c>
      <c r="L485" s="154">
        <f t="shared" si="5"/>
        <v>0</v>
      </c>
      <c r="M485" s="154">
        <f t="shared" si="4"/>
        <v>0</v>
      </c>
      <c r="N485" s="173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ht="15.75" customHeight="1">
      <c r="A486" s="10"/>
      <c r="B486" s="174"/>
      <c r="C486" s="6"/>
      <c r="D486" s="127"/>
      <c r="E486" s="127"/>
      <c r="F486" s="175"/>
      <c r="G486" s="26">
        <v>0.0</v>
      </c>
      <c r="H486" s="176"/>
      <c r="I486" s="154">
        <f t="shared" si="1"/>
        <v>0</v>
      </c>
      <c r="J486" s="141"/>
      <c r="K486" s="154">
        <f t="shared" si="2"/>
        <v>0</v>
      </c>
      <c r="L486" s="154">
        <f t="shared" si="5"/>
        <v>0</v>
      </c>
      <c r="M486" s="154">
        <f t="shared" si="4"/>
        <v>0</v>
      </c>
      <c r="N486" s="173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ht="15.75" customHeight="1">
      <c r="A487" s="10"/>
      <c r="B487" s="174"/>
      <c r="C487" s="6"/>
      <c r="D487" s="127"/>
      <c r="E487" s="127"/>
      <c r="F487" s="175"/>
      <c r="G487" s="26">
        <v>0.0</v>
      </c>
      <c r="H487" s="176"/>
      <c r="I487" s="154">
        <f t="shared" si="1"/>
        <v>0</v>
      </c>
      <c r="J487" s="141"/>
      <c r="K487" s="154">
        <f t="shared" si="2"/>
        <v>0</v>
      </c>
      <c r="L487" s="154">
        <f t="shared" si="5"/>
        <v>0</v>
      </c>
      <c r="M487" s="154">
        <f t="shared" si="4"/>
        <v>0</v>
      </c>
      <c r="N487" s="173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ht="15.75" customHeight="1">
      <c r="A488" s="10"/>
      <c r="B488" s="174"/>
      <c r="C488" s="6"/>
      <c r="D488" s="127"/>
      <c r="E488" s="127"/>
      <c r="F488" s="175"/>
      <c r="G488" s="26">
        <v>0.0</v>
      </c>
      <c r="H488" s="176"/>
      <c r="I488" s="154">
        <f t="shared" si="1"/>
        <v>0</v>
      </c>
      <c r="J488" s="141"/>
      <c r="K488" s="154">
        <f t="shared" si="2"/>
        <v>0</v>
      </c>
      <c r="L488" s="154">
        <f t="shared" si="5"/>
        <v>0</v>
      </c>
      <c r="M488" s="154">
        <f t="shared" si="4"/>
        <v>0</v>
      </c>
      <c r="N488" s="173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ht="15.75" customHeight="1">
      <c r="A489" s="10"/>
      <c r="B489" s="174"/>
      <c r="C489" s="6"/>
      <c r="D489" s="127"/>
      <c r="E489" s="127"/>
      <c r="F489" s="175"/>
      <c r="G489" s="26">
        <v>0.0</v>
      </c>
      <c r="H489" s="176"/>
      <c r="I489" s="154">
        <f t="shared" si="1"/>
        <v>0</v>
      </c>
      <c r="J489" s="141"/>
      <c r="K489" s="154">
        <f t="shared" si="2"/>
        <v>0</v>
      </c>
      <c r="L489" s="154">
        <f t="shared" si="5"/>
        <v>0</v>
      </c>
      <c r="M489" s="154">
        <f t="shared" si="4"/>
        <v>0</v>
      </c>
      <c r="N489" s="173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ht="15.75" customHeight="1">
      <c r="A490" s="10"/>
      <c r="B490" s="174"/>
      <c r="C490" s="6"/>
      <c r="D490" s="127"/>
      <c r="E490" s="127"/>
      <c r="F490" s="175"/>
      <c r="G490" s="26">
        <v>0.0</v>
      </c>
      <c r="H490" s="176"/>
      <c r="I490" s="154">
        <f t="shared" si="1"/>
        <v>0</v>
      </c>
      <c r="J490" s="141"/>
      <c r="K490" s="154">
        <f t="shared" si="2"/>
        <v>0</v>
      </c>
      <c r="L490" s="154">
        <f t="shared" si="5"/>
        <v>0</v>
      </c>
      <c r="M490" s="154">
        <f t="shared" si="4"/>
        <v>0</v>
      </c>
      <c r="N490" s="173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ht="15.75" customHeight="1">
      <c r="A491" s="10"/>
      <c r="B491" s="174"/>
      <c r="C491" s="6"/>
      <c r="D491" s="127"/>
      <c r="E491" s="127"/>
      <c r="F491" s="175"/>
      <c r="G491" s="26">
        <v>0.0</v>
      </c>
      <c r="H491" s="176"/>
      <c r="I491" s="154">
        <f t="shared" si="1"/>
        <v>0</v>
      </c>
      <c r="J491" s="141"/>
      <c r="K491" s="154">
        <f t="shared" si="2"/>
        <v>0</v>
      </c>
      <c r="L491" s="154">
        <f t="shared" si="5"/>
        <v>0</v>
      </c>
      <c r="M491" s="154">
        <f t="shared" si="4"/>
        <v>0</v>
      </c>
      <c r="N491" s="173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ht="15.75" customHeight="1">
      <c r="A492" s="10"/>
      <c r="B492" s="174"/>
      <c r="C492" s="6"/>
      <c r="D492" s="127"/>
      <c r="E492" s="127"/>
      <c r="F492" s="175"/>
      <c r="G492" s="26">
        <v>0.0</v>
      </c>
      <c r="H492" s="176"/>
      <c r="I492" s="154">
        <f t="shared" si="1"/>
        <v>0</v>
      </c>
      <c r="J492" s="141"/>
      <c r="K492" s="154">
        <f t="shared" si="2"/>
        <v>0</v>
      </c>
      <c r="L492" s="154">
        <f t="shared" si="5"/>
        <v>0</v>
      </c>
      <c r="M492" s="154">
        <f t="shared" si="4"/>
        <v>0</v>
      </c>
      <c r="N492" s="173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ht="15.75" customHeight="1">
      <c r="A493" s="10"/>
      <c r="B493" s="174"/>
      <c r="C493" s="6"/>
      <c r="D493" s="127"/>
      <c r="E493" s="127"/>
      <c r="F493" s="175"/>
      <c r="G493" s="26">
        <v>0.0</v>
      </c>
      <c r="H493" s="176"/>
      <c r="I493" s="154">
        <f t="shared" si="1"/>
        <v>0</v>
      </c>
      <c r="J493" s="141"/>
      <c r="K493" s="154">
        <f t="shared" si="2"/>
        <v>0</v>
      </c>
      <c r="L493" s="154">
        <f t="shared" si="5"/>
        <v>0</v>
      </c>
      <c r="M493" s="154">
        <f t="shared" si="4"/>
        <v>0</v>
      </c>
      <c r="N493" s="173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ht="15.75" customHeight="1">
      <c r="A494" s="10"/>
      <c r="B494" s="174"/>
      <c r="C494" s="6"/>
      <c r="D494" s="127"/>
      <c r="E494" s="127"/>
      <c r="F494" s="175"/>
      <c r="G494" s="26">
        <v>0.0</v>
      </c>
      <c r="H494" s="176"/>
      <c r="I494" s="154">
        <f t="shared" si="1"/>
        <v>0</v>
      </c>
      <c r="J494" s="141"/>
      <c r="K494" s="154">
        <f t="shared" si="2"/>
        <v>0</v>
      </c>
      <c r="L494" s="154">
        <f t="shared" si="5"/>
        <v>0</v>
      </c>
      <c r="M494" s="154">
        <f t="shared" si="4"/>
        <v>0</v>
      </c>
      <c r="N494" s="173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ht="15.75" customHeight="1">
      <c r="A495" s="10"/>
      <c r="B495" s="174"/>
      <c r="C495" s="6"/>
      <c r="D495" s="127"/>
      <c r="E495" s="127"/>
      <c r="F495" s="175"/>
      <c r="G495" s="26">
        <v>0.0</v>
      </c>
      <c r="H495" s="176"/>
      <c r="I495" s="154">
        <f t="shared" si="1"/>
        <v>0</v>
      </c>
      <c r="J495" s="141"/>
      <c r="K495" s="154">
        <f t="shared" si="2"/>
        <v>0</v>
      </c>
      <c r="L495" s="154">
        <f t="shared" si="5"/>
        <v>0</v>
      </c>
      <c r="M495" s="154">
        <f t="shared" si="4"/>
        <v>0</v>
      </c>
      <c r="N495" s="173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ht="15.75" customHeight="1">
      <c r="A496" s="10"/>
      <c r="B496" s="174"/>
      <c r="C496" s="6"/>
      <c r="D496" s="127"/>
      <c r="E496" s="127"/>
      <c r="F496" s="175"/>
      <c r="G496" s="26">
        <v>0.0</v>
      </c>
      <c r="H496" s="176"/>
      <c r="I496" s="154">
        <f t="shared" si="1"/>
        <v>0</v>
      </c>
      <c r="J496" s="141"/>
      <c r="K496" s="154">
        <f t="shared" si="2"/>
        <v>0</v>
      </c>
      <c r="L496" s="154">
        <f t="shared" si="5"/>
        <v>0</v>
      </c>
      <c r="M496" s="154">
        <f t="shared" si="4"/>
        <v>0</v>
      </c>
      <c r="N496" s="173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ht="15.75" customHeight="1">
      <c r="A497" s="10"/>
      <c r="B497" s="174"/>
      <c r="C497" s="6"/>
      <c r="D497" s="127"/>
      <c r="E497" s="127"/>
      <c r="F497" s="175"/>
      <c r="G497" s="26">
        <v>0.0</v>
      </c>
      <c r="H497" s="176"/>
      <c r="I497" s="154">
        <f t="shared" si="1"/>
        <v>0</v>
      </c>
      <c r="J497" s="141"/>
      <c r="K497" s="154">
        <f t="shared" si="2"/>
        <v>0</v>
      </c>
      <c r="L497" s="154">
        <f t="shared" si="5"/>
        <v>0</v>
      </c>
      <c r="M497" s="154">
        <f t="shared" si="4"/>
        <v>0</v>
      </c>
      <c r="N497" s="173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ht="15.75" customHeight="1">
      <c r="A498" s="10"/>
      <c r="B498" s="174"/>
      <c r="C498" s="6"/>
      <c r="D498" s="127"/>
      <c r="E498" s="127"/>
      <c r="F498" s="175"/>
      <c r="G498" s="26">
        <v>0.0</v>
      </c>
      <c r="H498" s="176"/>
      <c r="I498" s="154">
        <f t="shared" si="1"/>
        <v>0</v>
      </c>
      <c r="J498" s="141"/>
      <c r="K498" s="154">
        <f t="shared" si="2"/>
        <v>0</v>
      </c>
      <c r="L498" s="154">
        <f t="shared" si="5"/>
        <v>0</v>
      </c>
      <c r="M498" s="154">
        <f t="shared" si="4"/>
        <v>0</v>
      </c>
      <c r="N498" s="173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ht="15.75" customHeight="1">
      <c r="A499" s="10"/>
      <c r="B499" s="174"/>
      <c r="C499" s="6"/>
      <c r="D499" s="127"/>
      <c r="E499" s="127"/>
      <c r="F499" s="175"/>
      <c r="G499" s="26">
        <v>0.0</v>
      </c>
      <c r="H499" s="176"/>
      <c r="I499" s="154">
        <f t="shared" si="1"/>
        <v>0</v>
      </c>
      <c r="J499" s="141"/>
      <c r="K499" s="154">
        <f t="shared" si="2"/>
        <v>0</v>
      </c>
      <c r="L499" s="154">
        <f t="shared" si="5"/>
        <v>0</v>
      </c>
      <c r="M499" s="154">
        <f t="shared" si="4"/>
        <v>0</v>
      </c>
      <c r="N499" s="173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ht="15.75" customHeight="1">
      <c r="A500" s="10"/>
      <c r="B500" s="174"/>
      <c r="C500" s="6"/>
      <c r="D500" s="127"/>
      <c r="E500" s="127"/>
      <c r="F500" s="175"/>
      <c r="G500" s="26">
        <v>0.0</v>
      </c>
      <c r="H500" s="176"/>
      <c r="I500" s="154">
        <f t="shared" si="1"/>
        <v>0</v>
      </c>
      <c r="J500" s="141"/>
      <c r="K500" s="154">
        <f t="shared" si="2"/>
        <v>0</v>
      </c>
      <c r="L500" s="154">
        <f t="shared" si="5"/>
        <v>0</v>
      </c>
      <c r="M500" s="154">
        <f t="shared" si="4"/>
        <v>0</v>
      </c>
      <c r="N500" s="173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ht="15.75" customHeight="1">
      <c r="A501" s="10"/>
      <c r="B501" s="174"/>
      <c r="C501" s="6"/>
      <c r="D501" s="127"/>
      <c r="E501" s="127"/>
      <c r="F501" s="175"/>
      <c r="G501" s="26">
        <v>0.0</v>
      </c>
      <c r="H501" s="176"/>
      <c r="I501" s="154">
        <f t="shared" si="1"/>
        <v>0</v>
      </c>
      <c r="J501" s="141"/>
      <c r="K501" s="154">
        <f t="shared" si="2"/>
        <v>0</v>
      </c>
      <c r="L501" s="154">
        <f t="shared" si="5"/>
        <v>0</v>
      </c>
      <c r="M501" s="154">
        <f t="shared" si="4"/>
        <v>0</v>
      </c>
      <c r="N501" s="173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ht="15.75" customHeight="1">
      <c r="A502" s="10"/>
      <c r="B502" s="174"/>
      <c r="C502" s="6"/>
      <c r="D502" s="127"/>
      <c r="E502" s="127"/>
      <c r="F502" s="175"/>
      <c r="G502" s="26">
        <v>0.0</v>
      </c>
      <c r="H502" s="176"/>
      <c r="I502" s="154">
        <f t="shared" si="1"/>
        <v>0</v>
      </c>
      <c r="J502" s="141"/>
      <c r="K502" s="154">
        <f t="shared" si="2"/>
        <v>0</v>
      </c>
      <c r="L502" s="154">
        <f t="shared" si="5"/>
        <v>0</v>
      </c>
      <c r="M502" s="154">
        <f t="shared" si="4"/>
        <v>0</v>
      </c>
      <c r="N502" s="173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ht="15.75" customHeight="1">
      <c r="A503" s="10"/>
      <c r="B503" s="174"/>
      <c r="C503" s="6"/>
      <c r="D503" s="127"/>
      <c r="E503" s="127"/>
      <c r="F503" s="175"/>
      <c r="G503" s="26">
        <v>0.0</v>
      </c>
      <c r="H503" s="176"/>
      <c r="I503" s="154">
        <f t="shared" si="1"/>
        <v>0</v>
      </c>
      <c r="J503" s="141"/>
      <c r="K503" s="154">
        <f t="shared" si="2"/>
        <v>0</v>
      </c>
      <c r="L503" s="154">
        <f t="shared" si="5"/>
        <v>0</v>
      </c>
      <c r="M503" s="154">
        <f t="shared" si="4"/>
        <v>0</v>
      </c>
      <c r="N503" s="173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ht="15.75" customHeight="1">
      <c r="A504" s="10"/>
      <c r="B504" s="174"/>
      <c r="C504" s="6"/>
      <c r="D504" s="127"/>
      <c r="E504" s="127"/>
      <c r="F504" s="175"/>
      <c r="G504" s="26">
        <v>0.0</v>
      </c>
      <c r="H504" s="176"/>
      <c r="I504" s="154">
        <f t="shared" si="1"/>
        <v>0</v>
      </c>
      <c r="J504" s="141"/>
      <c r="K504" s="154">
        <f t="shared" si="2"/>
        <v>0</v>
      </c>
      <c r="L504" s="154">
        <f t="shared" si="5"/>
        <v>0</v>
      </c>
      <c r="M504" s="154">
        <f t="shared" si="4"/>
        <v>0</v>
      </c>
      <c r="N504" s="173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ht="15.75" customHeight="1">
      <c r="A505" s="10"/>
      <c r="B505" s="174"/>
      <c r="C505" s="6"/>
      <c r="D505" s="127"/>
      <c r="E505" s="127"/>
      <c r="F505" s="175"/>
      <c r="G505" s="26">
        <v>0.0</v>
      </c>
      <c r="H505" s="176"/>
      <c r="I505" s="154">
        <f t="shared" si="1"/>
        <v>0</v>
      </c>
      <c r="J505" s="141"/>
      <c r="K505" s="154">
        <f t="shared" si="2"/>
        <v>0</v>
      </c>
      <c r="L505" s="154">
        <f t="shared" si="5"/>
        <v>0</v>
      </c>
      <c r="M505" s="154">
        <f t="shared" si="4"/>
        <v>0</v>
      </c>
      <c r="N505" s="173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ht="15.75" customHeight="1">
      <c r="A506" s="10"/>
      <c r="B506" s="174"/>
      <c r="C506" s="6"/>
      <c r="D506" s="127"/>
      <c r="E506" s="127"/>
      <c r="F506" s="175"/>
      <c r="G506" s="26">
        <v>0.0</v>
      </c>
      <c r="H506" s="176"/>
      <c r="I506" s="154">
        <f t="shared" si="1"/>
        <v>0</v>
      </c>
      <c r="J506" s="141"/>
      <c r="K506" s="154">
        <f t="shared" si="2"/>
        <v>0</v>
      </c>
      <c r="L506" s="154">
        <f t="shared" si="5"/>
        <v>0</v>
      </c>
      <c r="M506" s="154">
        <f t="shared" si="4"/>
        <v>0</v>
      </c>
      <c r="N506" s="173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ht="15.75" customHeight="1">
      <c r="A507" s="10"/>
      <c r="B507" s="174"/>
      <c r="C507" s="6"/>
      <c r="D507" s="127"/>
      <c r="E507" s="127"/>
      <c r="F507" s="175"/>
      <c r="G507" s="26">
        <v>0.0</v>
      </c>
      <c r="H507" s="176"/>
      <c r="I507" s="154">
        <f t="shared" si="1"/>
        <v>0</v>
      </c>
      <c r="J507" s="141"/>
      <c r="K507" s="154">
        <f t="shared" si="2"/>
        <v>0</v>
      </c>
      <c r="L507" s="154">
        <f t="shared" si="5"/>
        <v>0</v>
      </c>
      <c r="M507" s="154">
        <f t="shared" si="4"/>
        <v>0</v>
      </c>
      <c r="N507" s="173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ht="15.75" customHeight="1">
      <c r="A508" s="10"/>
      <c r="B508" s="174"/>
      <c r="C508" s="6"/>
      <c r="D508" s="127"/>
      <c r="E508" s="127"/>
      <c r="F508" s="175"/>
      <c r="G508" s="26">
        <v>0.0</v>
      </c>
      <c r="H508" s="176"/>
      <c r="I508" s="154">
        <f t="shared" si="1"/>
        <v>0</v>
      </c>
      <c r="J508" s="141"/>
      <c r="K508" s="154">
        <f t="shared" si="2"/>
        <v>0</v>
      </c>
      <c r="L508" s="154">
        <f t="shared" si="5"/>
        <v>0</v>
      </c>
      <c r="M508" s="154">
        <f t="shared" si="4"/>
        <v>0</v>
      </c>
      <c r="N508" s="173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ht="15.75" customHeight="1">
      <c r="A509" s="10"/>
      <c r="B509" s="174"/>
      <c r="C509" s="6"/>
      <c r="D509" s="127"/>
      <c r="E509" s="127"/>
      <c r="F509" s="175"/>
      <c r="G509" s="26">
        <v>0.0</v>
      </c>
      <c r="H509" s="176"/>
      <c r="I509" s="154">
        <f t="shared" si="1"/>
        <v>0</v>
      </c>
      <c r="J509" s="141"/>
      <c r="K509" s="154">
        <f t="shared" si="2"/>
        <v>0</v>
      </c>
      <c r="L509" s="154">
        <f t="shared" si="5"/>
        <v>0</v>
      </c>
      <c r="M509" s="154">
        <f t="shared" si="4"/>
        <v>0</v>
      </c>
      <c r="N509" s="173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ht="15.75" customHeight="1">
      <c r="A510" s="10"/>
      <c r="B510" s="174"/>
      <c r="C510" s="6"/>
      <c r="D510" s="127"/>
      <c r="E510" s="127"/>
      <c r="F510" s="175"/>
      <c r="G510" s="26">
        <v>0.0</v>
      </c>
      <c r="H510" s="176"/>
      <c r="I510" s="154">
        <f t="shared" si="1"/>
        <v>0</v>
      </c>
      <c r="J510" s="141"/>
      <c r="K510" s="154">
        <f t="shared" si="2"/>
        <v>0</v>
      </c>
      <c r="L510" s="154">
        <f t="shared" si="5"/>
        <v>0</v>
      </c>
      <c r="M510" s="154">
        <f t="shared" si="4"/>
        <v>0</v>
      </c>
      <c r="N510" s="173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ht="15.75" customHeight="1">
      <c r="A511" s="10"/>
      <c r="B511" s="174"/>
      <c r="C511" s="6"/>
      <c r="D511" s="127"/>
      <c r="E511" s="127"/>
      <c r="F511" s="175"/>
      <c r="G511" s="26">
        <v>0.0</v>
      </c>
      <c r="H511" s="176"/>
      <c r="I511" s="154">
        <f t="shared" si="1"/>
        <v>0</v>
      </c>
      <c r="J511" s="141"/>
      <c r="K511" s="154">
        <f t="shared" si="2"/>
        <v>0</v>
      </c>
      <c r="L511" s="154">
        <f t="shared" si="5"/>
        <v>0</v>
      </c>
      <c r="M511" s="154">
        <f t="shared" si="4"/>
        <v>0</v>
      </c>
      <c r="N511" s="173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ht="15.75" customHeight="1">
      <c r="A512" s="10"/>
      <c r="B512" s="174"/>
      <c r="C512" s="6"/>
      <c r="D512" s="127"/>
      <c r="E512" s="127"/>
      <c r="F512" s="175"/>
      <c r="G512" s="26">
        <v>0.0</v>
      </c>
      <c r="H512" s="176"/>
      <c r="I512" s="154">
        <f t="shared" si="1"/>
        <v>0</v>
      </c>
      <c r="J512" s="141"/>
      <c r="K512" s="154">
        <f t="shared" si="2"/>
        <v>0</v>
      </c>
      <c r="L512" s="154">
        <f t="shared" si="5"/>
        <v>0</v>
      </c>
      <c r="M512" s="154">
        <f t="shared" si="4"/>
        <v>0</v>
      </c>
      <c r="N512" s="173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ht="15.75" customHeight="1">
      <c r="A513" s="10"/>
      <c r="B513" s="174"/>
      <c r="C513" s="6"/>
      <c r="D513" s="127"/>
      <c r="E513" s="127"/>
      <c r="F513" s="175"/>
      <c r="G513" s="26">
        <v>0.0</v>
      </c>
      <c r="H513" s="176"/>
      <c r="I513" s="154">
        <f t="shared" si="1"/>
        <v>0</v>
      </c>
      <c r="J513" s="141"/>
      <c r="K513" s="154">
        <f t="shared" si="2"/>
        <v>0</v>
      </c>
      <c r="L513" s="154">
        <f t="shared" si="5"/>
        <v>0</v>
      </c>
      <c r="M513" s="154">
        <f t="shared" si="4"/>
        <v>0</v>
      </c>
      <c r="N513" s="173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ht="15.75" customHeight="1">
      <c r="A514" s="10"/>
      <c r="B514" s="174"/>
      <c r="C514" s="6"/>
      <c r="D514" s="127"/>
      <c r="E514" s="127"/>
      <c r="F514" s="175"/>
      <c r="G514" s="26">
        <v>0.0</v>
      </c>
      <c r="H514" s="176"/>
      <c r="I514" s="154">
        <f t="shared" si="1"/>
        <v>0</v>
      </c>
      <c r="J514" s="141"/>
      <c r="K514" s="154">
        <f t="shared" si="2"/>
        <v>0</v>
      </c>
      <c r="L514" s="154">
        <f t="shared" si="5"/>
        <v>0</v>
      </c>
      <c r="M514" s="154">
        <f t="shared" si="4"/>
        <v>0</v>
      </c>
      <c r="N514" s="173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ht="15.75" customHeight="1">
      <c r="A515" s="10"/>
      <c r="B515" s="174"/>
      <c r="C515" s="6"/>
      <c r="D515" s="127"/>
      <c r="E515" s="127"/>
      <c r="F515" s="175"/>
      <c r="G515" s="26">
        <v>0.0</v>
      </c>
      <c r="H515" s="176"/>
      <c r="I515" s="154">
        <f t="shared" si="1"/>
        <v>0</v>
      </c>
      <c r="J515" s="141"/>
      <c r="K515" s="154">
        <f t="shared" si="2"/>
        <v>0</v>
      </c>
      <c r="L515" s="154">
        <f t="shared" si="5"/>
        <v>0</v>
      </c>
      <c r="M515" s="154">
        <f t="shared" si="4"/>
        <v>0</v>
      </c>
      <c r="N515" s="173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ht="15.75" customHeight="1">
      <c r="A516" s="10"/>
      <c r="B516" s="174"/>
      <c r="C516" s="6"/>
      <c r="D516" s="127"/>
      <c r="E516" s="127"/>
      <c r="F516" s="175"/>
      <c r="G516" s="26">
        <v>0.0</v>
      </c>
      <c r="H516" s="176"/>
      <c r="I516" s="154">
        <f t="shared" si="1"/>
        <v>0</v>
      </c>
      <c r="J516" s="141"/>
      <c r="K516" s="154">
        <f t="shared" si="2"/>
        <v>0</v>
      </c>
      <c r="L516" s="154">
        <f t="shared" si="5"/>
        <v>0</v>
      </c>
      <c r="M516" s="154">
        <f t="shared" si="4"/>
        <v>0</v>
      </c>
      <c r="N516" s="173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ht="15.75" customHeight="1">
      <c r="A517" s="10"/>
      <c r="B517" s="174"/>
      <c r="C517" s="6"/>
      <c r="D517" s="127"/>
      <c r="E517" s="127"/>
      <c r="F517" s="175"/>
      <c r="G517" s="26">
        <v>0.0</v>
      </c>
      <c r="H517" s="176"/>
      <c r="I517" s="154">
        <f t="shared" si="1"/>
        <v>0</v>
      </c>
      <c r="J517" s="141"/>
      <c r="K517" s="154">
        <f t="shared" si="2"/>
        <v>0</v>
      </c>
      <c r="L517" s="154">
        <f t="shared" si="5"/>
        <v>0</v>
      </c>
      <c r="M517" s="154">
        <f t="shared" si="4"/>
        <v>0</v>
      </c>
      <c r="N517" s="173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ht="15.75" customHeight="1">
      <c r="A518" s="10"/>
      <c r="B518" s="174"/>
      <c r="C518" s="6"/>
      <c r="D518" s="127"/>
      <c r="E518" s="127"/>
      <c r="F518" s="175"/>
      <c r="G518" s="26">
        <v>0.0</v>
      </c>
      <c r="H518" s="176"/>
      <c r="I518" s="154">
        <f t="shared" si="1"/>
        <v>0</v>
      </c>
      <c r="J518" s="141"/>
      <c r="K518" s="154">
        <f t="shared" si="2"/>
        <v>0</v>
      </c>
      <c r="L518" s="154">
        <f t="shared" si="5"/>
        <v>0</v>
      </c>
      <c r="M518" s="154">
        <f t="shared" si="4"/>
        <v>0</v>
      </c>
      <c r="N518" s="173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ht="15.75" customHeight="1">
      <c r="A519" s="10"/>
      <c r="B519" s="174"/>
      <c r="C519" s="6"/>
      <c r="D519" s="127"/>
      <c r="E519" s="127"/>
      <c r="F519" s="175"/>
      <c r="G519" s="26">
        <v>0.0</v>
      </c>
      <c r="H519" s="176"/>
      <c r="I519" s="154">
        <f t="shared" si="1"/>
        <v>0</v>
      </c>
      <c r="J519" s="141"/>
      <c r="K519" s="154">
        <f t="shared" si="2"/>
        <v>0</v>
      </c>
      <c r="L519" s="154">
        <f t="shared" si="5"/>
        <v>0</v>
      </c>
      <c r="M519" s="154">
        <f t="shared" si="4"/>
        <v>0</v>
      </c>
      <c r="N519" s="173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ht="15.75" customHeight="1">
      <c r="A520" s="10"/>
      <c r="B520" s="174"/>
      <c r="C520" s="6"/>
      <c r="D520" s="127"/>
      <c r="E520" s="127"/>
      <c r="F520" s="175"/>
      <c r="G520" s="26">
        <v>0.0</v>
      </c>
      <c r="H520" s="176"/>
      <c r="I520" s="154">
        <f t="shared" si="1"/>
        <v>0</v>
      </c>
      <c r="J520" s="141"/>
      <c r="K520" s="154">
        <f t="shared" si="2"/>
        <v>0</v>
      </c>
      <c r="L520" s="154">
        <f t="shared" si="5"/>
        <v>0</v>
      </c>
      <c r="M520" s="154">
        <f t="shared" si="4"/>
        <v>0</v>
      </c>
      <c r="N520" s="173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ht="15.75" customHeight="1">
      <c r="A521" s="10"/>
      <c r="B521" s="174"/>
      <c r="C521" s="6"/>
      <c r="D521" s="127"/>
      <c r="E521" s="127"/>
      <c r="F521" s="175"/>
      <c r="G521" s="26">
        <v>0.0</v>
      </c>
      <c r="H521" s="176"/>
      <c r="I521" s="154">
        <f t="shared" si="1"/>
        <v>0</v>
      </c>
      <c r="J521" s="141"/>
      <c r="K521" s="154">
        <f t="shared" si="2"/>
        <v>0</v>
      </c>
      <c r="L521" s="154">
        <f t="shared" si="5"/>
        <v>0</v>
      </c>
      <c r="M521" s="154">
        <f t="shared" si="4"/>
        <v>0</v>
      </c>
      <c r="N521" s="173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ht="15.75" customHeight="1">
      <c r="A522" s="10"/>
      <c r="B522" s="174"/>
      <c r="C522" s="6"/>
      <c r="D522" s="127"/>
      <c r="E522" s="127"/>
      <c r="F522" s="175"/>
      <c r="G522" s="26">
        <v>0.0</v>
      </c>
      <c r="H522" s="176"/>
      <c r="I522" s="154">
        <f t="shared" si="1"/>
        <v>0</v>
      </c>
      <c r="J522" s="141"/>
      <c r="K522" s="154">
        <f t="shared" si="2"/>
        <v>0</v>
      </c>
      <c r="L522" s="154">
        <f t="shared" si="5"/>
        <v>0</v>
      </c>
      <c r="M522" s="154">
        <f t="shared" si="4"/>
        <v>0</v>
      </c>
      <c r="N522" s="173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ht="15.75" customHeight="1">
      <c r="A523" s="10"/>
      <c r="B523" s="174"/>
      <c r="C523" s="6"/>
      <c r="D523" s="127"/>
      <c r="E523" s="127"/>
      <c r="F523" s="175"/>
      <c r="G523" s="26">
        <v>0.0</v>
      </c>
      <c r="H523" s="176"/>
      <c r="I523" s="154">
        <f t="shared" si="1"/>
        <v>0</v>
      </c>
      <c r="J523" s="141"/>
      <c r="K523" s="154">
        <f t="shared" si="2"/>
        <v>0</v>
      </c>
      <c r="L523" s="154">
        <f t="shared" si="5"/>
        <v>0</v>
      </c>
      <c r="M523" s="154">
        <f t="shared" si="4"/>
        <v>0</v>
      </c>
      <c r="N523" s="173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ht="15.75" customHeight="1">
      <c r="A524" s="10"/>
      <c r="B524" s="174"/>
      <c r="C524" s="6"/>
      <c r="D524" s="127"/>
      <c r="E524" s="127"/>
      <c r="F524" s="175"/>
      <c r="G524" s="26">
        <v>0.0</v>
      </c>
      <c r="H524" s="176"/>
      <c r="I524" s="154">
        <f t="shared" si="1"/>
        <v>0</v>
      </c>
      <c r="J524" s="141"/>
      <c r="K524" s="154">
        <f t="shared" si="2"/>
        <v>0</v>
      </c>
      <c r="L524" s="154">
        <f t="shared" si="5"/>
        <v>0</v>
      </c>
      <c r="M524" s="154">
        <f t="shared" si="4"/>
        <v>0</v>
      </c>
      <c r="N524" s="173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ht="15.75" customHeight="1">
      <c r="A525" s="10"/>
      <c r="B525" s="174"/>
      <c r="C525" s="6"/>
      <c r="D525" s="127"/>
      <c r="E525" s="127"/>
      <c r="F525" s="175"/>
      <c r="G525" s="26">
        <v>0.0</v>
      </c>
      <c r="H525" s="176"/>
      <c r="I525" s="154">
        <f t="shared" si="1"/>
        <v>0</v>
      </c>
      <c r="J525" s="141"/>
      <c r="K525" s="154">
        <f t="shared" si="2"/>
        <v>0</v>
      </c>
      <c r="L525" s="154">
        <f t="shared" si="5"/>
        <v>0</v>
      </c>
      <c r="M525" s="154">
        <f t="shared" si="4"/>
        <v>0</v>
      </c>
      <c r="N525" s="173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ht="15.75" customHeight="1">
      <c r="A526" s="10"/>
      <c r="B526" s="174"/>
      <c r="C526" s="6"/>
      <c r="D526" s="127"/>
      <c r="E526" s="127"/>
      <c r="F526" s="175"/>
      <c r="G526" s="26">
        <v>0.0</v>
      </c>
      <c r="H526" s="176"/>
      <c r="I526" s="154">
        <f t="shared" si="1"/>
        <v>0</v>
      </c>
      <c r="J526" s="141"/>
      <c r="K526" s="154">
        <f t="shared" si="2"/>
        <v>0</v>
      </c>
      <c r="L526" s="154">
        <f t="shared" si="5"/>
        <v>0</v>
      </c>
      <c r="M526" s="154">
        <f t="shared" si="4"/>
        <v>0</v>
      </c>
      <c r="N526" s="173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ht="15.75" customHeight="1">
      <c r="A527" s="10"/>
      <c r="B527" s="174"/>
      <c r="C527" s="6"/>
      <c r="D527" s="127"/>
      <c r="E527" s="127"/>
      <c r="F527" s="175"/>
      <c r="G527" s="26">
        <v>0.0</v>
      </c>
      <c r="H527" s="176"/>
      <c r="I527" s="154">
        <f t="shared" si="1"/>
        <v>0</v>
      </c>
      <c r="J527" s="141"/>
      <c r="K527" s="154">
        <f t="shared" si="2"/>
        <v>0</v>
      </c>
      <c r="L527" s="154">
        <f t="shared" si="5"/>
        <v>0</v>
      </c>
      <c r="M527" s="154">
        <f t="shared" si="4"/>
        <v>0</v>
      </c>
      <c r="N527" s="173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ht="15.75" customHeight="1">
      <c r="A528" s="10"/>
      <c r="B528" s="174"/>
      <c r="C528" s="6"/>
      <c r="D528" s="127"/>
      <c r="E528" s="127"/>
      <c r="F528" s="175"/>
      <c r="G528" s="26">
        <v>0.0</v>
      </c>
      <c r="H528" s="176"/>
      <c r="I528" s="154">
        <f t="shared" si="1"/>
        <v>0</v>
      </c>
      <c r="J528" s="141"/>
      <c r="K528" s="154">
        <f t="shared" si="2"/>
        <v>0</v>
      </c>
      <c r="L528" s="154">
        <f t="shared" si="5"/>
        <v>0</v>
      </c>
      <c r="M528" s="154">
        <f t="shared" si="4"/>
        <v>0</v>
      </c>
      <c r="N528" s="173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ht="15.75" customHeight="1">
      <c r="A529" s="10"/>
      <c r="B529" s="174"/>
      <c r="C529" s="6"/>
      <c r="D529" s="127"/>
      <c r="E529" s="127"/>
      <c r="F529" s="175"/>
      <c r="G529" s="26">
        <v>0.0</v>
      </c>
      <c r="H529" s="176"/>
      <c r="I529" s="154">
        <f t="shared" si="1"/>
        <v>0</v>
      </c>
      <c r="J529" s="141"/>
      <c r="K529" s="154">
        <f t="shared" si="2"/>
        <v>0</v>
      </c>
      <c r="L529" s="154">
        <f t="shared" si="5"/>
        <v>0</v>
      </c>
      <c r="M529" s="154">
        <f t="shared" si="4"/>
        <v>0</v>
      </c>
      <c r="N529" s="173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ht="15.75" customHeight="1">
      <c r="A530" s="10"/>
      <c r="B530" s="174"/>
      <c r="C530" s="6"/>
      <c r="D530" s="127"/>
      <c r="E530" s="127"/>
      <c r="F530" s="175"/>
      <c r="G530" s="26">
        <v>0.0</v>
      </c>
      <c r="H530" s="176"/>
      <c r="I530" s="154">
        <f t="shared" si="1"/>
        <v>0</v>
      </c>
      <c r="J530" s="141"/>
      <c r="K530" s="154">
        <f t="shared" si="2"/>
        <v>0</v>
      </c>
      <c r="L530" s="154">
        <f t="shared" si="5"/>
        <v>0</v>
      </c>
      <c r="M530" s="154">
        <f t="shared" si="4"/>
        <v>0</v>
      </c>
      <c r="N530" s="173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ht="15.75" customHeight="1">
      <c r="A531" s="10"/>
      <c r="B531" s="174"/>
      <c r="C531" s="6"/>
      <c r="D531" s="127"/>
      <c r="E531" s="127"/>
      <c r="F531" s="175"/>
      <c r="G531" s="26">
        <v>0.0</v>
      </c>
      <c r="H531" s="176"/>
      <c r="I531" s="154">
        <f t="shared" si="1"/>
        <v>0</v>
      </c>
      <c r="J531" s="141"/>
      <c r="K531" s="154">
        <f t="shared" si="2"/>
        <v>0</v>
      </c>
      <c r="L531" s="154">
        <f t="shared" si="5"/>
        <v>0</v>
      </c>
      <c r="M531" s="154">
        <f t="shared" si="4"/>
        <v>0</v>
      </c>
      <c r="N531" s="173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ht="15.75" customHeight="1">
      <c r="A532" s="10"/>
      <c r="B532" s="174"/>
      <c r="C532" s="6"/>
      <c r="D532" s="127"/>
      <c r="E532" s="127"/>
      <c r="F532" s="175"/>
      <c r="G532" s="26">
        <v>0.0</v>
      </c>
      <c r="H532" s="176"/>
      <c r="I532" s="154">
        <f t="shared" si="1"/>
        <v>0</v>
      </c>
      <c r="J532" s="141"/>
      <c r="K532" s="154">
        <f t="shared" si="2"/>
        <v>0</v>
      </c>
      <c r="L532" s="154">
        <f t="shared" si="5"/>
        <v>0</v>
      </c>
      <c r="M532" s="154">
        <f t="shared" si="4"/>
        <v>0</v>
      </c>
      <c r="N532" s="173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ht="15.75" customHeight="1">
      <c r="A533" s="10"/>
      <c r="B533" s="174"/>
      <c r="C533" s="6"/>
      <c r="D533" s="127"/>
      <c r="E533" s="127"/>
      <c r="F533" s="175"/>
      <c r="G533" s="26">
        <v>0.0</v>
      </c>
      <c r="H533" s="176"/>
      <c r="I533" s="154">
        <f t="shared" si="1"/>
        <v>0</v>
      </c>
      <c r="J533" s="141"/>
      <c r="K533" s="154">
        <f t="shared" si="2"/>
        <v>0</v>
      </c>
      <c r="L533" s="154">
        <f t="shared" si="5"/>
        <v>0</v>
      </c>
      <c r="M533" s="154">
        <f t="shared" si="4"/>
        <v>0</v>
      </c>
      <c r="N533" s="173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ht="15.75" customHeight="1">
      <c r="A534" s="10"/>
      <c r="B534" s="174"/>
      <c r="C534" s="6"/>
      <c r="D534" s="127"/>
      <c r="E534" s="127"/>
      <c r="F534" s="175"/>
      <c r="G534" s="26">
        <v>0.0</v>
      </c>
      <c r="H534" s="176"/>
      <c r="I534" s="154">
        <f t="shared" si="1"/>
        <v>0</v>
      </c>
      <c r="J534" s="141"/>
      <c r="K534" s="154">
        <f t="shared" si="2"/>
        <v>0</v>
      </c>
      <c r="L534" s="154">
        <f t="shared" si="5"/>
        <v>0</v>
      </c>
      <c r="M534" s="154">
        <f t="shared" si="4"/>
        <v>0</v>
      </c>
      <c r="N534" s="173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ht="15.75" customHeight="1">
      <c r="A535" s="10"/>
      <c r="B535" s="174"/>
      <c r="C535" s="6"/>
      <c r="D535" s="127"/>
      <c r="E535" s="127"/>
      <c r="F535" s="175"/>
      <c r="G535" s="26">
        <v>0.0</v>
      </c>
      <c r="H535" s="176"/>
      <c r="I535" s="154">
        <f t="shared" si="1"/>
        <v>0</v>
      </c>
      <c r="J535" s="141"/>
      <c r="K535" s="154">
        <f t="shared" si="2"/>
        <v>0</v>
      </c>
      <c r="L535" s="154">
        <f t="shared" si="5"/>
        <v>0</v>
      </c>
      <c r="M535" s="154">
        <f t="shared" si="4"/>
        <v>0</v>
      </c>
      <c r="N535" s="173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ht="15.75" customHeight="1">
      <c r="A536" s="10"/>
      <c r="B536" s="174"/>
      <c r="C536" s="6"/>
      <c r="D536" s="127"/>
      <c r="E536" s="127"/>
      <c r="F536" s="175"/>
      <c r="G536" s="26">
        <v>0.0</v>
      </c>
      <c r="H536" s="176"/>
      <c r="I536" s="154">
        <f t="shared" si="1"/>
        <v>0</v>
      </c>
      <c r="J536" s="141"/>
      <c r="K536" s="154">
        <f t="shared" si="2"/>
        <v>0</v>
      </c>
      <c r="L536" s="154">
        <f t="shared" si="5"/>
        <v>0</v>
      </c>
      <c r="M536" s="154">
        <f t="shared" si="4"/>
        <v>0</v>
      </c>
      <c r="N536" s="173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ht="15.75" customHeight="1">
      <c r="A537" s="10"/>
      <c r="B537" s="174"/>
      <c r="C537" s="6"/>
      <c r="D537" s="127"/>
      <c r="E537" s="127"/>
      <c r="F537" s="175"/>
      <c r="G537" s="26">
        <v>0.0</v>
      </c>
      <c r="H537" s="176"/>
      <c r="I537" s="154">
        <f t="shared" si="1"/>
        <v>0</v>
      </c>
      <c r="J537" s="141"/>
      <c r="K537" s="154">
        <f t="shared" si="2"/>
        <v>0</v>
      </c>
      <c r="L537" s="154">
        <f t="shared" si="5"/>
        <v>0</v>
      </c>
      <c r="M537" s="154">
        <f t="shared" si="4"/>
        <v>0</v>
      </c>
      <c r="N537" s="173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ht="15.75" customHeight="1">
      <c r="A538" s="10"/>
      <c r="B538" s="174"/>
      <c r="C538" s="6"/>
      <c r="D538" s="127"/>
      <c r="E538" s="127"/>
      <c r="F538" s="175"/>
      <c r="G538" s="26">
        <v>0.0</v>
      </c>
      <c r="H538" s="176"/>
      <c r="I538" s="154">
        <f t="shared" si="1"/>
        <v>0</v>
      </c>
      <c r="J538" s="141"/>
      <c r="K538" s="154">
        <f t="shared" si="2"/>
        <v>0</v>
      </c>
      <c r="L538" s="154">
        <f t="shared" si="5"/>
        <v>0</v>
      </c>
      <c r="M538" s="154">
        <f t="shared" si="4"/>
        <v>0</v>
      </c>
      <c r="N538" s="173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ht="15.75" customHeight="1">
      <c r="A539" s="10"/>
      <c r="B539" s="174"/>
      <c r="C539" s="6"/>
      <c r="D539" s="127"/>
      <c r="E539" s="127"/>
      <c r="F539" s="175"/>
      <c r="G539" s="26">
        <v>0.0</v>
      </c>
      <c r="H539" s="176"/>
      <c r="I539" s="154">
        <f t="shared" si="1"/>
        <v>0</v>
      </c>
      <c r="J539" s="141"/>
      <c r="K539" s="154">
        <f t="shared" si="2"/>
        <v>0</v>
      </c>
      <c r="L539" s="154">
        <f t="shared" si="5"/>
        <v>0</v>
      </c>
      <c r="M539" s="154">
        <f t="shared" si="4"/>
        <v>0</v>
      </c>
      <c r="N539" s="173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ht="15.75" customHeight="1">
      <c r="A540" s="10"/>
      <c r="B540" s="174"/>
      <c r="C540" s="6"/>
      <c r="D540" s="127"/>
      <c r="E540" s="127"/>
      <c r="F540" s="175"/>
      <c r="G540" s="26">
        <v>0.0</v>
      </c>
      <c r="H540" s="176"/>
      <c r="I540" s="154">
        <f t="shared" si="1"/>
        <v>0</v>
      </c>
      <c r="J540" s="141"/>
      <c r="K540" s="154">
        <f t="shared" si="2"/>
        <v>0</v>
      </c>
      <c r="L540" s="154">
        <f t="shared" si="5"/>
        <v>0</v>
      </c>
      <c r="M540" s="154">
        <f t="shared" si="4"/>
        <v>0</v>
      </c>
      <c r="N540" s="173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ht="15.75" customHeight="1">
      <c r="A541" s="10"/>
      <c r="B541" s="174"/>
      <c r="C541" s="6"/>
      <c r="D541" s="127"/>
      <c r="E541" s="127"/>
      <c r="F541" s="175"/>
      <c r="G541" s="26">
        <v>0.0</v>
      </c>
      <c r="H541" s="176"/>
      <c r="I541" s="154">
        <f t="shared" si="1"/>
        <v>0</v>
      </c>
      <c r="J541" s="141"/>
      <c r="K541" s="154">
        <f t="shared" si="2"/>
        <v>0</v>
      </c>
      <c r="L541" s="154">
        <f t="shared" si="5"/>
        <v>0</v>
      </c>
      <c r="M541" s="154">
        <f t="shared" si="4"/>
        <v>0</v>
      </c>
      <c r="N541" s="173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ht="15.75" customHeight="1">
      <c r="A542" s="10"/>
      <c r="B542" s="174"/>
      <c r="C542" s="6"/>
      <c r="D542" s="127"/>
      <c r="E542" s="127"/>
      <c r="F542" s="175"/>
      <c r="G542" s="26">
        <v>0.0</v>
      </c>
      <c r="H542" s="176"/>
      <c r="I542" s="154">
        <f t="shared" si="1"/>
        <v>0</v>
      </c>
      <c r="J542" s="141"/>
      <c r="K542" s="154">
        <f t="shared" si="2"/>
        <v>0</v>
      </c>
      <c r="L542" s="154">
        <f t="shared" si="5"/>
        <v>0</v>
      </c>
      <c r="M542" s="154">
        <f t="shared" si="4"/>
        <v>0</v>
      </c>
      <c r="N542" s="173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ht="15.75" customHeight="1">
      <c r="A543" s="10"/>
      <c r="B543" s="174"/>
      <c r="C543" s="6"/>
      <c r="D543" s="127"/>
      <c r="E543" s="127"/>
      <c r="F543" s="175"/>
      <c r="G543" s="26">
        <v>0.0</v>
      </c>
      <c r="H543" s="176"/>
      <c r="I543" s="154">
        <f t="shared" si="1"/>
        <v>0</v>
      </c>
      <c r="J543" s="141"/>
      <c r="K543" s="154">
        <f t="shared" si="2"/>
        <v>0</v>
      </c>
      <c r="L543" s="154">
        <f t="shared" si="5"/>
        <v>0</v>
      </c>
      <c r="M543" s="154">
        <f t="shared" si="4"/>
        <v>0</v>
      </c>
      <c r="N543" s="173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ht="15.75" customHeight="1">
      <c r="A544" s="10"/>
      <c r="B544" s="174"/>
      <c r="C544" s="6"/>
      <c r="D544" s="127"/>
      <c r="E544" s="127"/>
      <c r="F544" s="175"/>
      <c r="G544" s="26">
        <v>0.0</v>
      </c>
      <c r="H544" s="176"/>
      <c r="I544" s="154">
        <f t="shared" si="1"/>
        <v>0</v>
      </c>
      <c r="J544" s="141"/>
      <c r="K544" s="154">
        <f t="shared" si="2"/>
        <v>0</v>
      </c>
      <c r="L544" s="154">
        <f t="shared" si="5"/>
        <v>0</v>
      </c>
      <c r="M544" s="154">
        <f t="shared" si="4"/>
        <v>0</v>
      </c>
      <c r="N544" s="173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ht="15.75" customHeight="1">
      <c r="A545" s="10"/>
      <c r="B545" s="174"/>
      <c r="C545" s="6"/>
      <c r="D545" s="127"/>
      <c r="E545" s="127"/>
      <c r="F545" s="175"/>
      <c r="G545" s="26">
        <v>0.0</v>
      </c>
      <c r="H545" s="176"/>
      <c r="I545" s="154">
        <f t="shared" si="1"/>
        <v>0</v>
      </c>
      <c r="J545" s="141"/>
      <c r="K545" s="154">
        <f t="shared" si="2"/>
        <v>0</v>
      </c>
      <c r="L545" s="154">
        <f t="shared" si="5"/>
        <v>0</v>
      </c>
      <c r="M545" s="154">
        <f t="shared" si="4"/>
        <v>0</v>
      </c>
      <c r="N545" s="173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ht="15.75" customHeight="1">
      <c r="A546" s="10"/>
      <c r="B546" s="174"/>
      <c r="C546" s="6"/>
      <c r="D546" s="127"/>
      <c r="E546" s="127"/>
      <c r="F546" s="175"/>
      <c r="G546" s="26">
        <v>0.0</v>
      </c>
      <c r="H546" s="176"/>
      <c r="I546" s="154">
        <f t="shared" si="1"/>
        <v>0</v>
      </c>
      <c r="J546" s="141"/>
      <c r="K546" s="154">
        <f t="shared" si="2"/>
        <v>0</v>
      </c>
      <c r="L546" s="154">
        <f t="shared" si="5"/>
        <v>0</v>
      </c>
      <c r="M546" s="154">
        <f t="shared" si="4"/>
        <v>0</v>
      </c>
      <c r="N546" s="173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ht="15.75" customHeight="1">
      <c r="A547" s="10"/>
      <c r="B547" s="174"/>
      <c r="C547" s="6"/>
      <c r="D547" s="127"/>
      <c r="E547" s="127"/>
      <c r="F547" s="175"/>
      <c r="G547" s="26">
        <v>0.0</v>
      </c>
      <c r="H547" s="176"/>
      <c r="I547" s="154">
        <f t="shared" si="1"/>
        <v>0</v>
      </c>
      <c r="J547" s="141"/>
      <c r="K547" s="154">
        <f t="shared" si="2"/>
        <v>0</v>
      </c>
      <c r="L547" s="154">
        <f t="shared" si="5"/>
        <v>0</v>
      </c>
      <c r="M547" s="154">
        <f t="shared" si="4"/>
        <v>0</v>
      </c>
      <c r="N547" s="173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ht="15.75" customHeight="1">
      <c r="A548" s="10"/>
      <c r="B548" s="174"/>
      <c r="C548" s="6"/>
      <c r="D548" s="127"/>
      <c r="E548" s="127"/>
      <c r="F548" s="175"/>
      <c r="G548" s="26">
        <v>0.0</v>
      </c>
      <c r="H548" s="176"/>
      <c r="I548" s="154">
        <f t="shared" si="1"/>
        <v>0</v>
      </c>
      <c r="J548" s="141"/>
      <c r="K548" s="154">
        <f t="shared" si="2"/>
        <v>0</v>
      </c>
      <c r="L548" s="154">
        <f t="shared" si="5"/>
        <v>0</v>
      </c>
      <c r="M548" s="154">
        <f t="shared" si="4"/>
        <v>0</v>
      </c>
      <c r="N548" s="173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ht="15.75" customHeight="1">
      <c r="A549" s="10"/>
      <c r="B549" s="174"/>
      <c r="C549" s="6"/>
      <c r="D549" s="127"/>
      <c r="E549" s="127"/>
      <c r="F549" s="175"/>
      <c r="G549" s="26">
        <v>0.0</v>
      </c>
      <c r="H549" s="176"/>
      <c r="I549" s="154">
        <f t="shared" si="1"/>
        <v>0</v>
      </c>
      <c r="J549" s="141"/>
      <c r="K549" s="154">
        <f t="shared" si="2"/>
        <v>0</v>
      </c>
      <c r="L549" s="154">
        <f t="shared" si="5"/>
        <v>0</v>
      </c>
      <c r="M549" s="154">
        <f t="shared" si="4"/>
        <v>0</v>
      </c>
      <c r="N549" s="173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ht="15.75" customHeight="1">
      <c r="A550" s="10"/>
      <c r="B550" s="174"/>
      <c r="C550" s="6"/>
      <c r="D550" s="127"/>
      <c r="E550" s="127"/>
      <c r="F550" s="175"/>
      <c r="G550" s="26">
        <v>0.0</v>
      </c>
      <c r="H550" s="176"/>
      <c r="I550" s="154">
        <f t="shared" si="1"/>
        <v>0</v>
      </c>
      <c r="J550" s="141"/>
      <c r="K550" s="154">
        <f t="shared" si="2"/>
        <v>0</v>
      </c>
      <c r="L550" s="154">
        <f t="shared" si="5"/>
        <v>0</v>
      </c>
      <c r="M550" s="154">
        <f t="shared" si="4"/>
        <v>0</v>
      </c>
      <c r="N550" s="173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ht="15.75" customHeight="1">
      <c r="A551" s="10"/>
      <c r="B551" s="174"/>
      <c r="C551" s="6"/>
      <c r="D551" s="127"/>
      <c r="E551" s="127"/>
      <c r="F551" s="175"/>
      <c r="G551" s="26">
        <v>0.0</v>
      </c>
      <c r="H551" s="176"/>
      <c r="I551" s="154">
        <f t="shared" si="1"/>
        <v>0</v>
      </c>
      <c r="J551" s="141"/>
      <c r="K551" s="154">
        <f t="shared" si="2"/>
        <v>0</v>
      </c>
      <c r="L551" s="154">
        <f t="shared" si="5"/>
        <v>0</v>
      </c>
      <c r="M551" s="154">
        <f t="shared" si="4"/>
        <v>0</v>
      </c>
      <c r="N551" s="173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ht="15.75" customHeight="1">
      <c r="A552" s="10"/>
      <c r="B552" s="174"/>
      <c r="C552" s="6"/>
      <c r="D552" s="127"/>
      <c r="E552" s="127"/>
      <c r="F552" s="175"/>
      <c r="G552" s="26">
        <v>0.0</v>
      </c>
      <c r="H552" s="176"/>
      <c r="I552" s="154">
        <f t="shared" si="1"/>
        <v>0</v>
      </c>
      <c r="J552" s="141"/>
      <c r="K552" s="154">
        <f t="shared" si="2"/>
        <v>0</v>
      </c>
      <c r="L552" s="154">
        <f t="shared" si="5"/>
        <v>0</v>
      </c>
      <c r="M552" s="154">
        <f t="shared" si="4"/>
        <v>0</v>
      </c>
      <c r="N552" s="173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ht="15.75" customHeight="1">
      <c r="A553" s="10"/>
      <c r="B553" s="174"/>
      <c r="C553" s="6"/>
      <c r="D553" s="127"/>
      <c r="E553" s="127"/>
      <c r="F553" s="175"/>
      <c r="G553" s="26">
        <v>0.0</v>
      </c>
      <c r="H553" s="176"/>
      <c r="I553" s="154">
        <f t="shared" si="1"/>
        <v>0</v>
      </c>
      <c r="J553" s="141"/>
      <c r="K553" s="154">
        <f t="shared" si="2"/>
        <v>0</v>
      </c>
      <c r="L553" s="154">
        <f t="shared" si="5"/>
        <v>0</v>
      </c>
      <c r="M553" s="154">
        <f t="shared" si="4"/>
        <v>0</v>
      </c>
      <c r="N553" s="173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ht="15.75" customHeight="1">
      <c r="A554" s="10"/>
      <c r="B554" s="174"/>
      <c r="C554" s="6"/>
      <c r="D554" s="127"/>
      <c r="E554" s="127"/>
      <c r="F554" s="175"/>
      <c r="G554" s="26">
        <v>0.0</v>
      </c>
      <c r="H554" s="176"/>
      <c r="I554" s="154">
        <f t="shared" si="1"/>
        <v>0</v>
      </c>
      <c r="J554" s="141"/>
      <c r="K554" s="154">
        <f t="shared" si="2"/>
        <v>0</v>
      </c>
      <c r="L554" s="154">
        <f t="shared" si="5"/>
        <v>0</v>
      </c>
      <c r="M554" s="154">
        <f t="shared" si="4"/>
        <v>0</v>
      </c>
      <c r="N554" s="173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ht="15.75" customHeight="1">
      <c r="A555" s="10"/>
      <c r="B555" s="174"/>
      <c r="C555" s="6"/>
      <c r="D555" s="127"/>
      <c r="E555" s="127"/>
      <c r="F555" s="175"/>
      <c r="G555" s="26">
        <v>0.0</v>
      </c>
      <c r="H555" s="176"/>
      <c r="I555" s="154">
        <f t="shared" si="1"/>
        <v>0</v>
      </c>
      <c r="J555" s="141"/>
      <c r="K555" s="154">
        <f t="shared" si="2"/>
        <v>0</v>
      </c>
      <c r="L555" s="154">
        <f t="shared" si="5"/>
        <v>0</v>
      </c>
      <c r="M555" s="154">
        <f t="shared" si="4"/>
        <v>0</v>
      </c>
      <c r="N555" s="173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ht="15.75" customHeight="1">
      <c r="A556" s="10"/>
      <c r="B556" s="174"/>
      <c r="C556" s="6"/>
      <c r="D556" s="127"/>
      <c r="E556" s="127"/>
      <c r="F556" s="175"/>
      <c r="G556" s="26">
        <v>0.0</v>
      </c>
      <c r="H556" s="176"/>
      <c r="I556" s="154">
        <f t="shared" si="1"/>
        <v>0</v>
      </c>
      <c r="J556" s="141"/>
      <c r="K556" s="154">
        <f t="shared" si="2"/>
        <v>0</v>
      </c>
      <c r="L556" s="154">
        <f t="shared" si="5"/>
        <v>0</v>
      </c>
      <c r="M556" s="154">
        <f t="shared" si="4"/>
        <v>0</v>
      </c>
      <c r="N556" s="173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ht="15.75" customHeight="1">
      <c r="A557" s="10"/>
      <c r="B557" s="174"/>
      <c r="C557" s="6"/>
      <c r="D557" s="127"/>
      <c r="E557" s="127"/>
      <c r="F557" s="175"/>
      <c r="G557" s="26">
        <v>0.0</v>
      </c>
      <c r="H557" s="176"/>
      <c r="I557" s="154">
        <f t="shared" si="1"/>
        <v>0</v>
      </c>
      <c r="J557" s="141"/>
      <c r="K557" s="154">
        <f t="shared" si="2"/>
        <v>0</v>
      </c>
      <c r="L557" s="154">
        <f t="shared" si="5"/>
        <v>0</v>
      </c>
      <c r="M557" s="154">
        <f t="shared" si="4"/>
        <v>0</v>
      </c>
      <c r="N557" s="173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ht="15.75" customHeight="1">
      <c r="A558" s="10"/>
      <c r="B558" s="174"/>
      <c r="C558" s="6"/>
      <c r="D558" s="127"/>
      <c r="E558" s="127"/>
      <c r="F558" s="175"/>
      <c r="G558" s="26">
        <v>0.0</v>
      </c>
      <c r="H558" s="176"/>
      <c r="I558" s="154">
        <f t="shared" si="1"/>
        <v>0</v>
      </c>
      <c r="J558" s="141"/>
      <c r="K558" s="154">
        <f t="shared" si="2"/>
        <v>0</v>
      </c>
      <c r="L558" s="154">
        <f t="shared" si="5"/>
        <v>0</v>
      </c>
      <c r="M558" s="154">
        <f t="shared" si="4"/>
        <v>0</v>
      </c>
      <c r="N558" s="173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ht="15.75" customHeight="1">
      <c r="A559" s="10"/>
      <c r="B559" s="174"/>
      <c r="C559" s="6"/>
      <c r="D559" s="127"/>
      <c r="E559" s="127"/>
      <c r="F559" s="175"/>
      <c r="G559" s="26">
        <v>0.0</v>
      </c>
      <c r="H559" s="176"/>
      <c r="I559" s="154">
        <f t="shared" si="1"/>
        <v>0</v>
      </c>
      <c r="J559" s="141"/>
      <c r="K559" s="154">
        <f t="shared" si="2"/>
        <v>0</v>
      </c>
      <c r="L559" s="154">
        <f t="shared" si="5"/>
        <v>0</v>
      </c>
      <c r="M559" s="154">
        <f t="shared" si="4"/>
        <v>0</v>
      </c>
      <c r="N559" s="173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ht="15.75" customHeight="1">
      <c r="A560" s="10"/>
      <c r="B560" s="174"/>
      <c r="C560" s="6"/>
      <c r="D560" s="127"/>
      <c r="E560" s="127"/>
      <c r="F560" s="175"/>
      <c r="G560" s="26">
        <v>0.0</v>
      </c>
      <c r="H560" s="176"/>
      <c r="I560" s="154">
        <f t="shared" si="1"/>
        <v>0</v>
      </c>
      <c r="J560" s="141"/>
      <c r="K560" s="154">
        <f t="shared" si="2"/>
        <v>0</v>
      </c>
      <c r="L560" s="154">
        <f t="shared" si="5"/>
        <v>0</v>
      </c>
      <c r="M560" s="154">
        <f t="shared" si="4"/>
        <v>0</v>
      </c>
      <c r="N560" s="173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ht="15.75" customHeight="1">
      <c r="A561" s="10"/>
      <c r="B561" s="174"/>
      <c r="C561" s="6"/>
      <c r="D561" s="127"/>
      <c r="E561" s="127"/>
      <c r="F561" s="175"/>
      <c r="G561" s="26">
        <v>0.0</v>
      </c>
      <c r="H561" s="176"/>
      <c r="I561" s="154">
        <f t="shared" si="1"/>
        <v>0</v>
      </c>
      <c r="J561" s="141"/>
      <c r="K561" s="154">
        <f t="shared" si="2"/>
        <v>0</v>
      </c>
      <c r="L561" s="154">
        <f t="shared" si="5"/>
        <v>0</v>
      </c>
      <c r="M561" s="154">
        <f t="shared" si="4"/>
        <v>0</v>
      </c>
      <c r="N561" s="173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ht="15.75" customHeight="1">
      <c r="A562" s="10"/>
      <c r="B562" s="174"/>
      <c r="C562" s="6"/>
      <c r="D562" s="127"/>
      <c r="E562" s="127"/>
      <c r="F562" s="175"/>
      <c r="G562" s="26">
        <v>0.0</v>
      </c>
      <c r="H562" s="176"/>
      <c r="I562" s="154">
        <f t="shared" si="1"/>
        <v>0</v>
      </c>
      <c r="J562" s="141"/>
      <c r="K562" s="154">
        <f t="shared" si="2"/>
        <v>0</v>
      </c>
      <c r="L562" s="154">
        <f t="shared" si="5"/>
        <v>0</v>
      </c>
      <c r="M562" s="154">
        <f t="shared" si="4"/>
        <v>0</v>
      </c>
      <c r="N562" s="173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ht="15.75" customHeight="1">
      <c r="A563" s="10"/>
      <c r="B563" s="174"/>
      <c r="C563" s="6"/>
      <c r="D563" s="127"/>
      <c r="E563" s="127"/>
      <c r="F563" s="175"/>
      <c r="G563" s="26">
        <v>0.0</v>
      </c>
      <c r="H563" s="176"/>
      <c r="I563" s="154">
        <f t="shared" si="1"/>
        <v>0</v>
      </c>
      <c r="J563" s="141"/>
      <c r="K563" s="154">
        <f t="shared" si="2"/>
        <v>0</v>
      </c>
      <c r="L563" s="154">
        <f t="shared" si="5"/>
        <v>0</v>
      </c>
      <c r="M563" s="154">
        <f t="shared" si="4"/>
        <v>0</v>
      </c>
      <c r="N563" s="173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ht="15.75" customHeight="1">
      <c r="A564" s="10"/>
      <c r="B564" s="174"/>
      <c r="C564" s="6"/>
      <c r="D564" s="127"/>
      <c r="E564" s="127"/>
      <c r="F564" s="175"/>
      <c r="G564" s="26">
        <v>0.0</v>
      </c>
      <c r="H564" s="176"/>
      <c r="I564" s="154">
        <f t="shared" si="1"/>
        <v>0</v>
      </c>
      <c r="J564" s="141"/>
      <c r="K564" s="154">
        <f t="shared" si="2"/>
        <v>0</v>
      </c>
      <c r="L564" s="154">
        <f t="shared" si="5"/>
        <v>0</v>
      </c>
      <c r="M564" s="154">
        <f t="shared" si="4"/>
        <v>0</v>
      </c>
      <c r="N564" s="173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ht="15.75" customHeight="1">
      <c r="A565" s="10"/>
      <c r="B565" s="174"/>
      <c r="C565" s="6"/>
      <c r="D565" s="127"/>
      <c r="E565" s="127"/>
      <c r="F565" s="175"/>
      <c r="G565" s="26">
        <v>0.0</v>
      </c>
      <c r="H565" s="176"/>
      <c r="I565" s="154">
        <f t="shared" si="1"/>
        <v>0</v>
      </c>
      <c r="J565" s="141"/>
      <c r="K565" s="154">
        <f t="shared" si="2"/>
        <v>0</v>
      </c>
      <c r="L565" s="154">
        <f t="shared" si="5"/>
        <v>0</v>
      </c>
      <c r="M565" s="154">
        <f t="shared" si="4"/>
        <v>0</v>
      </c>
      <c r="N565" s="173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ht="15.75" customHeight="1">
      <c r="A566" s="10"/>
      <c r="B566" s="174"/>
      <c r="C566" s="6"/>
      <c r="D566" s="127"/>
      <c r="E566" s="127"/>
      <c r="F566" s="175"/>
      <c r="G566" s="26">
        <v>0.0</v>
      </c>
      <c r="H566" s="176"/>
      <c r="I566" s="154">
        <f t="shared" si="1"/>
        <v>0</v>
      </c>
      <c r="J566" s="141"/>
      <c r="K566" s="154">
        <f t="shared" si="2"/>
        <v>0</v>
      </c>
      <c r="L566" s="154">
        <f t="shared" si="5"/>
        <v>0</v>
      </c>
      <c r="M566" s="154">
        <f t="shared" si="4"/>
        <v>0</v>
      </c>
      <c r="N566" s="173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ht="15.75" customHeight="1">
      <c r="A567" s="10"/>
      <c r="B567" s="174"/>
      <c r="C567" s="6"/>
      <c r="D567" s="127"/>
      <c r="E567" s="127"/>
      <c r="F567" s="175"/>
      <c r="G567" s="26">
        <v>0.0</v>
      </c>
      <c r="H567" s="176"/>
      <c r="I567" s="154">
        <f t="shared" si="1"/>
        <v>0</v>
      </c>
      <c r="J567" s="141"/>
      <c r="K567" s="154">
        <f t="shared" si="2"/>
        <v>0</v>
      </c>
      <c r="L567" s="154">
        <f t="shared" si="5"/>
        <v>0</v>
      </c>
      <c r="M567" s="154">
        <f t="shared" si="4"/>
        <v>0</v>
      </c>
      <c r="N567" s="173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ht="15.75" customHeight="1">
      <c r="A568" s="10"/>
      <c r="B568" s="174"/>
      <c r="C568" s="6"/>
      <c r="D568" s="127"/>
      <c r="E568" s="127"/>
      <c r="F568" s="175"/>
      <c r="G568" s="26">
        <v>0.0</v>
      </c>
      <c r="H568" s="176"/>
      <c r="I568" s="154">
        <f t="shared" si="1"/>
        <v>0</v>
      </c>
      <c r="J568" s="141"/>
      <c r="K568" s="154">
        <f t="shared" si="2"/>
        <v>0</v>
      </c>
      <c r="L568" s="154">
        <f t="shared" si="5"/>
        <v>0</v>
      </c>
      <c r="M568" s="154">
        <f t="shared" si="4"/>
        <v>0</v>
      </c>
      <c r="N568" s="173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ht="15.75" customHeight="1">
      <c r="A569" s="10"/>
      <c r="B569" s="174"/>
      <c r="C569" s="6"/>
      <c r="D569" s="127"/>
      <c r="E569" s="127"/>
      <c r="F569" s="175"/>
      <c r="G569" s="26">
        <v>0.0</v>
      </c>
      <c r="H569" s="176"/>
      <c r="I569" s="154">
        <f t="shared" si="1"/>
        <v>0</v>
      </c>
      <c r="J569" s="141"/>
      <c r="K569" s="154">
        <f t="shared" si="2"/>
        <v>0</v>
      </c>
      <c r="L569" s="154">
        <f t="shared" si="5"/>
        <v>0</v>
      </c>
      <c r="M569" s="154">
        <f t="shared" si="4"/>
        <v>0</v>
      </c>
      <c r="N569" s="173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ht="15.75" customHeight="1">
      <c r="A570" s="10"/>
      <c r="B570" s="174"/>
      <c r="C570" s="6"/>
      <c r="D570" s="127"/>
      <c r="E570" s="127"/>
      <c r="F570" s="175"/>
      <c r="G570" s="26">
        <v>0.0</v>
      </c>
      <c r="H570" s="176"/>
      <c r="I570" s="154">
        <f t="shared" si="1"/>
        <v>0</v>
      </c>
      <c r="J570" s="141"/>
      <c r="K570" s="154">
        <f t="shared" si="2"/>
        <v>0</v>
      </c>
      <c r="L570" s="154">
        <f t="shared" si="5"/>
        <v>0</v>
      </c>
      <c r="M570" s="154">
        <f t="shared" si="4"/>
        <v>0</v>
      </c>
      <c r="N570" s="173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ht="15.75" customHeight="1">
      <c r="A571" s="10"/>
      <c r="B571" s="174"/>
      <c r="C571" s="6"/>
      <c r="D571" s="127"/>
      <c r="E571" s="127"/>
      <c r="F571" s="175"/>
      <c r="G571" s="26">
        <v>0.0</v>
      </c>
      <c r="H571" s="176"/>
      <c r="I571" s="154">
        <f t="shared" si="1"/>
        <v>0</v>
      </c>
      <c r="J571" s="141"/>
      <c r="K571" s="154">
        <f t="shared" si="2"/>
        <v>0</v>
      </c>
      <c r="L571" s="154">
        <f t="shared" si="5"/>
        <v>0</v>
      </c>
      <c r="M571" s="154">
        <f t="shared" si="4"/>
        <v>0</v>
      </c>
      <c r="N571" s="173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ht="15.75" customHeight="1">
      <c r="A572" s="10"/>
      <c r="B572" s="174"/>
      <c r="C572" s="6"/>
      <c r="D572" s="127"/>
      <c r="E572" s="127"/>
      <c r="F572" s="175"/>
      <c r="G572" s="26">
        <v>0.0</v>
      </c>
      <c r="H572" s="176"/>
      <c r="I572" s="154">
        <f t="shared" si="1"/>
        <v>0</v>
      </c>
      <c r="J572" s="141"/>
      <c r="K572" s="154">
        <f t="shared" si="2"/>
        <v>0</v>
      </c>
      <c r="L572" s="154">
        <f t="shared" si="5"/>
        <v>0</v>
      </c>
      <c r="M572" s="154">
        <f t="shared" si="4"/>
        <v>0</v>
      </c>
      <c r="N572" s="173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ht="15.75" customHeight="1">
      <c r="A573" s="10"/>
      <c r="B573" s="174"/>
      <c r="C573" s="6"/>
      <c r="D573" s="127"/>
      <c r="E573" s="127"/>
      <c r="F573" s="175"/>
      <c r="G573" s="26">
        <v>0.0</v>
      </c>
      <c r="H573" s="176"/>
      <c r="I573" s="154">
        <f t="shared" si="1"/>
        <v>0</v>
      </c>
      <c r="J573" s="141"/>
      <c r="K573" s="154">
        <f t="shared" si="2"/>
        <v>0</v>
      </c>
      <c r="L573" s="154">
        <f t="shared" si="5"/>
        <v>0</v>
      </c>
      <c r="M573" s="154">
        <f t="shared" si="4"/>
        <v>0</v>
      </c>
      <c r="N573" s="173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ht="15.75" customHeight="1">
      <c r="A574" s="10"/>
      <c r="B574" s="174"/>
      <c r="C574" s="6"/>
      <c r="D574" s="127"/>
      <c r="E574" s="127"/>
      <c r="F574" s="175"/>
      <c r="G574" s="26">
        <v>0.0</v>
      </c>
      <c r="H574" s="176"/>
      <c r="I574" s="154">
        <f t="shared" si="1"/>
        <v>0</v>
      </c>
      <c r="J574" s="141"/>
      <c r="K574" s="154">
        <f t="shared" si="2"/>
        <v>0</v>
      </c>
      <c r="L574" s="154">
        <f t="shared" si="5"/>
        <v>0</v>
      </c>
      <c r="M574" s="154">
        <f t="shared" si="4"/>
        <v>0</v>
      </c>
      <c r="N574" s="173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ht="15.75" customHeight="1">
      <c r="A575" s="10"/>
      <c r="B575" s="174"/>
      <c r="C575" s="6"/>
      <c r="D575" s="127"/>
      <c r="E575" s="127"/>
      <c r="F575" s="175"/>
      <c r="G575" s="26">
        <v>0.0</v>
      </c>
      <c r="H575" s="176"/>
      <c r="I575" s="154">
        <f t="shared" si="1"/>
        <v>0</v>
      </c>
      <c r="J575" s="141"/>
      <c r="K575" s="154">
        <f t="shared" si="2"/>
        <v>0</v>
      </c>
      <c r="L575" s="154">
        <f t="shared" si="5"/>
        <v>0</v>
      </c>
      <c r="M575" s="154">
        <f t="shared" si="4"/>
        <v>0</v>
      </c>
      <c r="N575" s="173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ht="15.75" customHeight="1">
      <c r="A576" s="10"/>
      <c r="B576" s="174"/>
      <c r="C576" s="6"/>
      <c r="D576" s="127"/>
      <c r="E576" s="127"/>
      <c r="F576" s="175"/>
      <c r="G576" s="26">
        <v>0.0</v>
      </c>
      <c r="H576" s="176"/>
      <c r="I576" s="154">
        <f t="shared" si="1"/>
        <v>0</v>
      </c>
      <c r="J576" s="141"/>
      <c r="K576" s="154">
        <f t="shared" si="2"/>
        <v>0</v>
      </c>
      <c r="L576" s="154">
        <f t="shared" si="5"/>
        <v>0</v>
      </c>
      <c r="M576" s="154">
        <f t="shared" si="4"/>
        <v>0</v>
      </c>
      <c r="N576" s="173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ht="15.75" customHeight="1">
      <c r="A577" s="10"/>
      <c r="B577" s="174"/>
      <c r="C577" s="6"/>
      <c r="D577" s="127"/>
      <c r="E577" s="127"/>
      <c r="F577" s="175"/>
      <c r="G577" s="26">
        <v>0.0</v>
      </c>
      <c r="H577" s="176"/>
      <c r="I577" s="154">
        <f t="shared" si="1"/>
        <v>0</v>
      </c>
      <c r="J577" s="141"/>
      <c r="K577" s="154">
        <f t="shared" si="2"/>
        <v>0</v>
      </c>
      <c r="L577" s="154">
        <f t="shared" si="5"/>
        <v>0</v>
      </c>
      <c r="M577" s="154">
        <f t="shared" si="4"/>
        <v>0</v>
      </c>
      <c r="N577" s="173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ht="15.75" customHeight="1">
      <c r="A578" s="10"/>
      <c r="B578" s="174"/>
      <c r="C578" s="6"/>
      <c r="D578" s="127"/>
      <c r="E578" s="127"/>
      <c r="F578" s="175"/>
      <c r="G578" s="26">
        <v>0.0</v>
      </c>
      <c r="H578" s="176"/>
      <c r="I578" s="154">
        <f t="shared" si="1"/>
        <v>0</v>
      </c>
      <c r="J578" s="141"/>
      <c r="K578" s="154">
        <f t="shared" si="2"/>
        <v>0</v>
      </c>
      <c r="L578" s="154">
        <f t="shared" si="5"/>
        <v>0</v>
      </c>
      <c r="M578" s="154">
        <f t="shared" si="4"/>
        <v>0</v>
      </c>
      <c r="N578" s="173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ht="15.75" customHeight="1">
      <c r="A579" s="10"/>
      <c r="B579" s="174"/>
      <c r="C579" s="6"/>
      <c r="D579" s="127"/>
      <c r="E579" s="127"/>
      <c r="F579" s="175"/>
      <c r="G579" s="26">
        <v>0.0</v>
      </c>
      <c r="H579" s="176"/>
      <c r="I579" s="154">
        <f t="shared" si="1"/>
        <v>0</v>
      </c>
      <c r="J579" s="141"/>
      <c r="K579" s="154">
        <f t="shared" si="2"/>
        <v>0</v>
      </c>
      <c r="L579" s="154">
        <f t="shared" si="5"/>
        <v>0</v>
      </c>
      <c r="M579" s="154">
        <f t="shared" si="4"/>
        <v>0</v>
      </c>
      <c r="N579" s="173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ht="15.75" customHeight="1">
      <c r="A580" s="10"/>
      <c r="B580" s="174"/>
      <c r="C580" s="6"/>
      <c r="D580" s="127"/>
      <c r="E580" s="127"/>
      <c r="F580" s="175"/>
      <c r="G580" s="26">
        <v>0.0</v>
      </c>
      <c r="H580" s="176"/>
      <c r="I580" s="154">
        <f t="shared" si="1"/>
        <v>0</v>
      </c>
      <c r="J580" s="141"/>
      <c r="K580" s="154">
        <f t="shared" si="2"/>
        <v>0</v>
      </c>
      <c r="L580" s="154">
        <f t="shared" si="5"/>
        <v>0</v>
      </c>
      <c r="M580" s="154">
        <f t="shared" si="4"/>
        <v>0</v>
      </c>
      <c r="N580" s="173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ht="15.75" customHeight="1">
      <c r="A581" s="10"/>
      <c r="B581" s="174"/>
      <c r="C581" s="6"/>
      <c r="D581" s="127"/>
      <c r="E581" s="127"/>
      <c r="F581" s="175"/>
      <c r="G581" s="26">
        <v>0.0</v>
      </c>
      <c r="H581" s="176"/>
      <c r="I581" s="154">
        <f t="shared" si="1"/>
        <v>0</v>
      </c>
      <c r="J581" s="141"/>
      <c r="K581" s="154">
        <f t="shared" si="2"/>
        <v>0</v>
      </c>
      <c r="L581" s="154">
        <f t="shared" si="5"/>
        <v>0</v>
      </c>
      <c r="M581" s="154">
        <f t="shared" si="4"/>
        <v>0</v>
      </c>
      <c r="N581" s="173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ht="15.75" customHeight="1">
      <c r="A582" s="10"/>
      <c r="B582" s="174"/>
      <c r="C582" s="6"/>
      <c r="D582" s="127"/>
      <c r="E582" s="127"/>
      <c r="F582" s="175"/>
      <c r="G582" s="26">
        <v>0.0</v>
      </c>
      <c r="H582" s="176"/>
      <c r="I582" s="154">
        <f t="shared" si="1"/>
        <v>0</v>
      </c>
      <c r="J582" s="141"/>
      <c r="K582" s="154">
        <f t="shared" si="2"/>
        <v>0</v>
      </c>
      <c r="L582" s="154">
        <f t="shared" si="5"/>
        <v>0</v>
      </c>
      <c r="M582" s="154">
        <f t="shared" si="4"/>
        <v>0</v>
      </c>
      <c r="N582" s="173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ht="15.75" customHeight="1">
      <c r="A583" s="10"/>
      <c r="B583" s="174"/>
      <c r="C583" s="6"/>
      <c r="D583" s="127"/>
      <c r="E583" s="127"/>
      <c r="F583" s="175"/>
      <c r="G583" s="26">
        <v>0.0</v>
      </c>
      <c r="H583" s="176"/>
      <c r="I583" s="154">
        <f t="shared" si="1"/>
        <v>0</v>
      </c>
      <c r="J583" s="141"/>
      <c r="K583" s="154">
        <f t="shared" si="2"/>
        <v>0</v>
      </c>
      <c r="L583" s="154">
        <f t="shared" si="5"/>
        <v>0</v>
      </c>
      <c r="M583" s="154">
        <f t="shared" si="4"/>
        <v>0</v>
      </c>
      <c r="N583" s="173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ht="15.75" customHeight="1">
      <c r="A584" s="10"/>
      <c r="B584" s="174"/>
      <c r="C584" s="6"/>
      <c r="D584" s="127"/>
      <c r="E584" s="127"/>
      <c r="F584" s="175"/>
      <c r="G584" s="26">
        <v>0.0</v>
      </c>
      <c r="H584" s="176"/>
      <c r="I584" s="154">
        <f t="shared" si="1"/>
        <v>0</v>
      </c>
      <c r="J584" s="141"/>
      <c r="K584" s="154">
        <f t="shared" si="2"/>
        <v>0</v>
      </c>
      <c r="L584" s="154">
        <f t="shared" si="5"/>
        <v>0</v>
      </c>
      <c r="M584" s="154">
        <f t="shared" si="4"/>
        <v>0</v>
      </c>
      <c r="N584" s="173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ht="15.75" customHeight="1">
      <c r="A585" s="10"/>
      <c r="B585" s="174"/>
      <c r="C585" s="6"/>
      <c r="D585" s="127"/>
      <c r="E585" s="127"/>
      <c r="F585" s="175"/>
      <c r="G585" s="26">
        <v>0.0</v>
      </c>
      <c r="H585" s="176"/>
      <c r="I585" s="154">
        <f t="shared" si="1"/>
        <v>0</v>
      </c>
      <c r="J585" s="141"/>
      <c r="K585" s="154">
        <f t="shared" si="2"/>
        <v>0</v>
      </c>
      <c r="L585" s="154">
        <f t="shared" si="5"/>
        <v>0</v>
      </c>
      <c r="M585" s="154">
        <f t="shared" si="4"/>
        <v>0</v>
      </c>
      <c r="N585" s="173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ht="15.75" customHeight="1">
      <c r="A586" s="10"/>
      <c r="B586" s="174"/>
      <c r="C586" s="6"/>
      <c r="D586" s="127"/>
      <c r="E586" s="127"/>
      <c r="F586" s="175"/>
      <c r="G586" s="26">
        <v>0.0</v>
      </c>
      <c r="H586" s="176"/>
      <c r="I586" s="154">
        <f t="shared" si="1"/>
        <v>0</v>
      </c>
      <c r="J586" s="141"/>
      <c r="K586" s="154">
        <f t="shared" si="2"/>
        <v>0</v>
      </c>
      <c r="L586" s="154">
        <f t="shared" si="5"/>
        <v>0</v>
      </c>
      <c r="M586" s="154">
        <f t="shared" si="4"/>
        <v>0</v>
      </c>
      <c r="N586" s="173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ht="15.75" customHeight="1">
      <c r="A587" s="10"/>
      <c r="B587" s="174"/>
      <c r="C587" s="6"/>
      <c r="D587" s="127"/>
      <c r="E587" s="127"/>
      <c r="F587" s="175"/>
      <c r="G587" s="26">
        <v>0.0</v>
      </c>
      <c r="H587" s="176"/>
      <c r="I587" s="154">
        <f t="shared" si="1"/>
        <v>0</v>
      </c>
      <c r="J587" s="141"/>
      <c r="K587" s="154">
        <f t="shared" si="2"/>
        <v>0</v>
      </c>
      <c r="L587" s="154">
        <f t="shared" si="5"/>
        <v>0</v>
      </c>
      <c r="M587" s="154">
        <f t="shared" si="4"/>
        <v>0</v>
      </c>
      <c r="N587" s="173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ht="15.75" customHeight="1">
      <c r="A588" s="10"/>
      <c r="B588" s="174"/>
      <c r="C588" s="6"/>
      <c r="D588" s="127"/>
      <c r="E588" s="127"/>
      <c r="F588" s="175"/>
      <c r="G588" s="26">
        <v>0.0</v>
      </c>
      <c r="H588" s="176"/>
      <c r="I588" s="154">
        <f t="shared" si="1"/>
        <v>0</v>
      </c>
      <c r="J588" s="141"/>
      <c r="K588" s="154">
        <f t="shared" si="2"/>
        <v>0</v>
      </c>
      <c r="L588" s="154">
        <f t="shared" si="5"/>
        <v>0</v>
      </c>
      <c r="M588" s="154">
        <f t="shared" si="4"/>
        <v>0</v>
      </c>
      <c r="N588" s="173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ht="15.75" customHeight="1">
      <c r="A589" s="10"/>
      <c r="B589" s="174"/>
      <c r="C589" s="6"/>
      <c r="D589" s="127"/>
      <c r="E589" s="127"/>
      <c r="F589" s="175"/>
      <c r="G589" s="26">
        <v>0.0</v>
      </c>
      <c r="H589" s="176"/>
      <c r="I589" s="154">
        <f t="shared" si="1"/>
        <v>0</v>
      </c>
      <c r="J589" s="141"/>
      <c r="K589" s="154">
        <f t="shared" si="2"/>
        <v>0</v>
      </c>
      <c r="L589" s="154">
        <f t="shared" si="5"/>
        <v>0</v>
      </c>
      <c r="M589" s="154">
        <f t="shared" si="4"/>
        <v>0</v>
      </c>
      <c r="N589" s="173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ht="15.75" customHeight="1">
      <c r="A590" s="10"/>
      <c r="B590" s="174"/>
      <c r="C590" s="6"/>
      <c r="D590" s="127"/>
      <c r="E590" s="127"/>
      <c r="F590" s="175"/>
      <c r="G590" s="26">
        <v>0.0</v>
      </c>
      <c r="H590" s="176"/>
      <c r="I590" s="154">
        <f t="shared" si="1"/>
        <v>0</v>
      </c>
      <c r="J590" s="141"/>
      <c r="K590" s="154">
        <f t="shared" si="2"/>
        <v>0</v>
      </c>
      <c r="L590" s="154">
        <f t="shared" si="5"/>
        <v>0</v>
      </c>
      <c r="M590" s="154">
        <f t="shared" si="4"/>
        <v>0</v>
      </c>
      <c r="N590" s="173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ht="15.75" customHeight="1">
      <c r="A591" s="10"/>
      <c r="B591" s="174"/>
      <c r="C591" s="6"/>
      <c r="D591" s="127"/>
      <c r="E591" s="127"/>
      <c r="F591" s="175"/>
      <c r="G591" s="26">
        <v>0.0</v>
      </c>
      <c r="H591" s="176"/>
      <c r="I591" s="154">
        <f t="shared" si="1"/>
        <v>0</v>
      </c>
      <c r="J591" s="141"/>
      <c r="K591" s="154">
        <f t="shared" si="2"/>
        <v>0</v>
      </c>
      <c r="L591" s="154">
        <f t="shared" si="5"/>
        <v>0</v>
      </c>
      <c r="M591" s="154">
        <f t="shared" si="4"/>
        <v>0</v>
      </c>
      <c r="N591" s="173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ht="15.75" customHeight="1">
      <c r="A592" s="10"/>
      <c r="B592" s="174"/>
      <c r="C592" s="6"/>
      <c r="D592" s="127"/>
      <c r="E592" s="127"/>
      <c r="F592" s="175"/>
      <c r="G592" s="26">
        <v>0.0</v>
      </c>
      <c r="H592" s="176"/>
      <c r="I592" s="154">
        <f t="shared" si="1"/>
        <v>0</v>
      </c>
      <c r="J592" s="141"/>
      <c r="K592" s="154">
        <f t="shared" si="2"/>
        <v>0</v>
      </c>
      <c r="L592" s="154">
        <f t="shared" si="5"/>
        <v>0</v>
      </c>
      <c r="M592" s="154">
        <f t="shared" si="4"/>
        <v>0</v>
      </c>
      <c r="N592" s="173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ht="15.75" customHeight="1">
      <c r="A593" s="10"/>
      <c r="B593" s="174"/>
      <c r="C593" s="6"/>
      <c r="D593" s="127"/>
      <c r="E593" s="127"/>
      <c r="F593" s="175"/>
      <c r="G593" s="26">
        <v>0.0</v>
      </c>
      <c r="H593" s="176"/>
      <c r="I593" s="154">
        <f t="shared" si="1"/>
        <v>0</v>
      </c>
      <c r="J593" s="141"/>
      <c r="K593" s="154">
        <f t="shared" si="2"/>
        <v>0</v>
      </c>
      <c r="L593" s="154">
        <f t="shared" si="5"/>
        <v>0</v>
      </c>
      <c r="M593" s="154">
        <f t="shared" si="4"/>
        <v>0</v>
      </c>
      <c r="N593" s="173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ht="15.75" customHeight="1">
      <c r="A594" s="10"/>
      <c r="B594" s="174"/>
      <c r="C594" s="6"/>
      <c r="D594" s="127"/>
      <c r="E594" s="127"/>
      <c r="F594" s="175"/>
      <c r="G594" s="26">
        <v>0.0</v>
      </c>
      <c r="H594" s="176"/>
      <c r="I594" s="154">
        <f t="shared" si="1"/>
        <v>0</v>
      </c>
      <c r="J594" s="141"/>
      <c r="K594" s="154">
        <f t="shared" si="2"/>
        <v>0</v>
      </c>
      <c r="L594" s="154">
        <f t="shared" si="5"/>
        <v>0</v>
      </c>
      <c r="M594" s="154">
        <f t="shared" si="4"/>
        <v>0</v>
      </c>
      <c r="N594" s="173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ht="15.75" customHeight="1">
      <c r="A595" s="10"/>
      <c r="B595" s="174"/>
      <c r="C595" s="6"/>
      <c r="D595" s="127"/>
      <c r="E595" s="127"/>
      <c r="F595" s="175"/>
      <c r="G595" s="26">
        <v>0.0</v>
      </c>
      <c r="H595" s="176"/>
      <c r="I595" s="154">
        <f t="shared" si="1"/>
        <v>0</v>
      </c>
      <c r="J595" s="141"/>
      <c r="K595" s="154">
        <f t="shared" si="2"/>
        <v>0</v>
      </c>
      <c r="L595" s="154">
        <f t="shared" si="5"/>
        <v>0</v>
      </c>
      <c r="M595" s="154">
        <f t="shared" si="4"/>
        <v>0</v>
      </c>
      <c r="N595" s="173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ht="15.75" customHeight="1">
      <c r="A596" s="10"/>
      <c r="B596" s="174"/>
      <c r="C596" s="6"/>
      <c r="D596" s="127"/>
      <c r="E596" s="127"/>
      <c r="F596" s="175"/>
      <c r="G596" s="26">
        <v>0.0</v>
      </c>
      <c r="H596" s="176"/>
      <c r="I596" s="154">
        <f t="shared" si="1"/>
        <v>0</v>
      </c>
      <c r="J596" s="141"/>
      <c r="K596" s="154">
        <f t="shared" si="2"/>
        <v>0</v>
      </c>
      <c r="L596" s="154">
        <f t="shared" si="5"/>
        <v>0</v>
      </c>
      <c r="M596" s="154">
        <f t="shared" si="4"/>
        <v>0</v>
      </c>
      <c r="N596" s="173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ht="15.75" customHeight="1">
      <c r="A597" s="10"/>
      <c r="B597" s="174"/>
      <c r="C597" s="6"/>
      <c r="D597" s="127"/>
      <c r="E597" s="127"/>
      <c r="F597" s="175"/>
      <c r="G597" s="26">
        <v>0.0</v>
      </c>
      <c r="H597" s="176"/>
      <c r="I597" s="154">
        <f t="shared" si="1"/>
        <v>0</v>
      </c>
      <c r="J597" s="141"/>
      <c r="K597" s="154">
        <f t="shared" si="2"/>
        <v>0</v>
      </c>
      <c r="L597" s="154">
        <f t="shared" si="5"/>
        <v>0</v>
      </c>
      <c r="M597" s="154">
        <f t="shared" si="4"/>
        <v>0</v>
      </c>
      <c r="N597" s="173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ht="15.75" customHeight="1">
      <c r="A598" s="10"/>
      <c r="B598" s="174"/>
      <c r="C598" s="6"/>
      <c r="D598" s="127"/>
      <c r="E598" s="127"/>
      <c r="F598" s="175"/>
      <c r="G598" s="26">
        <v>0.0</v>
      </c>
      <c r="H598" s="176"/>
      <c r="I598" s="154">
        <f t="shared" si="1"/>
        <v>0</v>
      </c>
      <c r="J598" s="141"/>
      <c r="K598" s="154">
        <f t="shared" si="2"/>
        <v>0</v>
      </c>
      <c r="L598" s="154">
        <f t="shared" si="5"/>
        <v>0</v>
      </c>
      <c r="M598" s="154">
        <f t="shared" si="4"/>
        <v>0</v>
      </c>
      <c r="N598" s="173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ht="15.75" customHeight="1">
      <c r="A599" s="10"/>
      <c r="B599" s="174"/>
      <c r="C599" s="6"/>
      <c r="D599" s="127"/>
      <c r="E599" s="127"/>
      <c r="F599" s="175"/>
      <c r="G599" s="26">
        <v>0.0</v>
      </c>
      <c r="H599" s="176"/>
      <c r="I599" s="154">
        <f t="shared" si="1"/>
        <v>0</v>
      </c>
      <c r="J599" s="141"/>
      <c r="K599" s="154">
        <f t="shared" si="2"/>
        <v>0</v>
      </c>
      <c r="L599" s="154">
        <f t="shared" si="5"/>
        <v>0</v>
      </c>
      <c r="M599" s="154">
        <f t="shared" si="4"/>
        <v>0</v>
      </c>
      <c r="N599" s="173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ht="15.75" customHeight="1">
      <c r="A600" s="10"/>
      <c r="B600" s="174"/>
      <c r="C600" s="6"/>
      <c r="D600" s="127"/>
      <c r="E600" s="127"/>
      <c r="F600" s="175"/>
      <c r="G600" s="26">
        <v>0.0</v>
      </c>
      <c r="H600" s="176"/>
      <c r="I600" s="154">
        <f t="shared" si="1"/>
        <v>0</v>
      </c>
      <c r="J600" s="141"/>
      <c r="K600" s="154">
        <f t="shared" si="2"/>
        <v>0</v>
      </c>
      <c r="L600" s="154">
        <f t="shared" si="5"/>
        <v>0</v>
      </c>
      <c r="M600" s="154">
        <f t="shared" si="4"/>
        <v>0</v>
      </c>
      <c r="N600" s="173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ht="15.75" customHeight="1">
      <c r="A601" s="10"/>
      <c r="B601" s="174"/>
      <c r="C601" s="6"/>
      <c r="D601" s="127"/>
      <c r="E601" s="127"/>
      <c r="F601" s="175"/>
      <c r="G601" s="26">
        <v>0.0</v>
      </c>
      <c r="H601" s="176"/>
      <c r="I601" s="154">
        <f t="shared" si="1"/>
        <v>0</v>
      </c>
      <c r="J601" s="141"/>
      <c r="K601" s="154">
        <f t="shared" si="2"/>
        <v>0</v>
      </c>
      <c r="L601" s="154">
        <f t="shared" si="5"/>
        <v>0</v>
      </c>
      <c r="M601" s="154">
        <f t="shared" si="4"/>
        <v>0</v>
      </c>
      <c r="N601" s="173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ht="15.75" customHeight="1">
      <c r="A602" s="10"/>
      <c r="B602" s="174"/>
      <c r="C602" s="6"/>
      <c r="D602" s="127"/>
      <c r="E602" s="127"/>
      <c r="F602" s="175"/>
      <c r="G602" s="26">
        <v>0.0</v>
      </c>
      <c r="H602" s="176"/>
      <c r="I602" s="154">
        <f t="shared" si="1"/>
        <v>0</v>
      </c>
      <c r="J602" s="141"/>
      <c r="K602" s="154">
        <f t="shared" si="2"/>
        <v>0</v>
      </c>
      <c r="L602" s="154">
        <f t="shared" si="5"/>
        <v>0</v>
      </c>
      <c r="M602" s="154">
        <f t="shared" si="4"/>
        <v>0</v>
      </c>
      <c r="N602" s="173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ht="15.75" customHeight="1">
      <c r="A603" s="10"/>
      <c r="B603" s="174"/>
      <c r="C603" s="6"/>
      <c r="D603" s="127"/>
      <c r="E603" s="127"/>
      <c r="F603" s="175"/>
      <c r="G603" s="26">
        <v>0.0</v>
      </c>
      <c r="H603" s="176"/>
      <c r="I603" s="154">
        <f t="shared" si="1"/>
        <v>0</v>
      </c>
      <c r="J603" s="141"/>
      <c r="K603" s="154">
        <f t="shared" si="2"/>
        <v>0</v>
      </c>
      <c r="L603" s="154">
        <f t="shared" si="5"/>
        <v>0</v>
      </c>
      <c r="M603" s="154">
        <f t="shared" si="4"/>
        <v>0</v>
      </c>
      <c r="N603" s="173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ht="15.75" customHeight="1">
      <c r="A604" s="10"/>
      <c r="B604" s="174"/>
      <c r="C604" s="6"/>
      <c r="D604" s="127"/>
      <c r="E604" s="127"/>
      <c r="F604" s="175"/>
      <c r="G604" s="26">
        <v>0.0</v>
      </c>
      <c r="H604" s="176"/>
      <c r="I604" s="154">
        <f t="shared" si="1"/>
        <v>0</v>
      </c>
      <c r="J604" s="141"/>
      <c r="K604" s="154">
        <f t="shared" si="2"/>
        <v>0</v>
      </c>
      <c r="L604" s="154">
        <f t="shared" si="5"/>
        <v>0</v>
      </c>
      <c r="M604" s="154">
        <f t="shared" si="4"/>
        <v>0</v>
      </c>
      <c r="N604" s="173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ht="15.75" customHeight="1">
      <c r="A605" s="10"/>
      <c r="B605" s="174"/>
      <c r="C605" s="6"/>
      <c r="D605" s="127"/>
      <c r="E605" s="127"/>
      <c r="F605" s="175"/>
      <c r="G605" s="26">
        <v>0.0</v>
      </c>
      <c r="H605" s="176"/>
      <c r="I605" s="154">
        <f t="shared" si="1"/>
        <v>0</v>
      </c>
      <c r="J605" s="141"/>
      <c r="K605" s="154">
        <f t="shared" si="2"/>
        <v>0</v>
      </c>
      <c r="L605" s="154">
        <f t="shared" si="5"/>
        <v>0</v>
      </c>
      <c r="M605" s="154">
        <f t="shared" si="4"/>
        <v>0</v>
      </c>
      <c r="N605" s="173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ht="15.75" customHeight="1">
      <c r="A606" s="10"/>
      <c r="B606" s="174"/>
      <c r="C606" s="6"/>
      <c r="D606" s="127"/>
      <c r="E606" s="127"/>
      <c r="F606" s="175"/>
      <c r="G606" s="26">
        <v>0.0</v>
      </c>
      <c r="H606" s="176"/>
      <c r="I606" s="154">
        <f t="shared" si="1"/>
        <v>0</v>
      </c>
      <c r="J606" s="141"/>
      <c r="K606" s="154">
        <f t="shared" si="2"/>
        <v>0</v>
      </c>
      <c r="L606" s="154">
        <f t="shared" si="5"/>
        <v>0</v>
      </c>
      <c r="M606" s="154">
        <f t="shared" si="4"/>
        <v>0</v>
      </c>
      <c r="N606" s="173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ht="15.75" customHeight="1">
      <c r="A607" s="10"/>
      <c r="B607" s="174"/>
      <c r="C607" s="6"/>
      <c r="D607" s="127"/>
      <c r="E607" s="127"/>
      <c r="F607" s="175"/>
      <c r="G607" s="26">
        <v>0.0</v>
      </c>
      <c r="H607" s="176"/>
      <c r="I607" s="154">
        <f t="shared" si="1"/>
        <v>0</v>
      </c>
      <c r="J607" s="141"/>
      <c r="K607" s="154">
        <f t="shared" si="2"/>
        <v>0</v>
      </c>
      <c r="L607" s="154">
        <f t="shared" si="5"/>
        <v>0</v>
      </c>
      <c r="M607" s="154">
        <f t="shared" si="4"/>
        <v>0</v>
      </c>
      <c r="N607" s="173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ht="15.75" customHeight="1">
      <c r="A608" s="10"/>
      <c r="B608" s="174"/>
      <c r="C608" s="6"/>
      <c r="D608" s="127"/>
      <c r="E608" s="127"/>
      <c r="F608" s="175"/>
      <c r="G608" s="26">
        <v>0.0</v>
      </c>
      <c r="H608" s="176"/>
      <c r="I608" s="154">
        <f t="shared" si="1"/>
        <v>0</v>
      </c>
      <c r="J608" s="141"/>
      <c r="K608" s="154">
        <f t="shared" si="2"/>
        <v>0</v>
      </c>
      <c r="L608" s="154">
        <f t="shared" si="5"/>
        <v>0</v>
      </c>
      <c r="M608" s="154">
        <f t="shared" si="4"/>
        <v>0</v>
      </c>
      <c r="N608" s="173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ht="15.75" customHeight="1">
      <c r="A609" s="10"/>
      <c r="B609" s="174"/>
      <c r="C609" s="6"/>
      <c r="D609" s="127"/>
      <c r="E609" s="127"/>
      <c r="F609" s="175"/>
      <c r="G609" s="26">
        <v>0.0</v>
      </c>
      <c r="H609" s="176"/>
      <c r="I609" s="154">
        <f t="shared" si="1"/>
        <v>0</v>
      </c>
      <c r="J609" s="141"/>
      <c r="K609" s="154">
        <f t="shared" si="2"/>
        <v>0</v>
      </c>
      <c r="L609" s="154">
        <f t="shared" si="5"/>
        <v>0</v>
      </c>
      <c r="M609" s="154">
        <f t="shared" si="4"/>
        <v>0</v>
      </c>
      <c r="N609" s="173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ht="15.75" customHeight="1">
      <c r="A610" s="10"/>
      <c r="B610" s="174"/>
      <c r="C610" s="6"/>
      <c r="D610" s="127"/>
      <c r="E610" s="127"/>
      <c r="F610" s="175"/>
      <c r="G610" s="26">
        <v>0.0</v>
      </c>
      <c r="H610" s="176"/>
      <c r="I610" s="154">
        <f t="shared" si="1"/>
        <v>0</v>
      </c>
      <c r="J610" s="141"/>
      <c r="K610" s="154">
        <f t="shared" si="2"/>
        <v>0</v>
      </c>
      <c r="L610" s="154">
        <f t="shared" si="5"/>
        <v>0</v>
      </c>
      <c r="M610" s="154">
        <f t="shared" si="4"/>
        <v>0</v>
      </c>
      <c r="N610" s="173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ht="15.75" customHeight="1">
      <c r="A611" s="10"/>
      <c r="B611" s="174"/>
      <c r="C611" s="6"/>
      <c r="D611" s="127"/>
      <c r="E611" s="127"/>
      <c r="F611" s="175"/>
      <c r="G611" s="26">
        <v>0.0</v>
      </c>
      <c r="H611" s="176"/>
      <c r="I611" s="154">
        <f t="shared" si="1"/>
        <v>0</v>
      </c>
      <c r="J611" s="141"/>
      <c r="K611" s="154">
        <f t="shared" si="2"/>
        <v>0</v>
      </c>
      <c r="L611" s="154">
        <f t="shared" si="5"/>
        <v>0</v>
      </c>
      <c r="M611" s="154">
        <f t="shared" si="4"/>
        <v>0</v>
      </c>
      <c r="N611" s="173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ht="15.75" customHeight="1">
      <c r="A612" s="10"/>
      <c r="B612" s="174"/>
      <c r="C612" s="6"/>
      <c r="D612" s="127"/>
      <c r="E612" s="127"/>
      <c r="F612" s="175"/>
      <c r="G612" s="26">
        <v>0.0</v>
      </c>
      <c r="H612" s="176"/>
      <c r="I612" s="154">
        <f t="shared" si="1"/>
        <v>0</v>
      </c>
      <c r="J612" s="141"/>
      <c r="K612" s="154">
        <f t="shared" si="2"/>
        <v>0</v>
      </c>
      <c r="L612" s="154">
        <f t="shared" si="5"/>
        <v>0</v>
      </c>
      <c r="M612" s="154">
        <f t="shared" si="4"/>
        <v>0</v>
      </c>
      <c r="N612" s="173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ht="15.75" customHeight="1">
      <c r="A613" s="10"/>
      <c r="B613" s="174"/>
      <c r="C613" s="6"/>
      <c r="D613" s="127"/>
      <c r="E613" s="127"/>
      <c r="F613" s="175"/>
      <c r="G613" s="26">
        <v>0.0</v>
      </c>
      <c r="H613" s="176"/>
      <c r="I613" s="154">
        <f t="shared" si="1"/>
        <v>0</v>
      </c>
      <c r="J613" s="141"/>
      <c r="K613" s="154">
        <f t="shared" si="2"/>
        <v>0</v>
      </c>
      <c r="L613" s="154">
        <f t="shared" si="5"/>
        <v>0</v>
      </c>
      <c r="M613" s="154">
        <f t="shared" si="4"/>
        <v>0</v>
      </c>
      <c r="N613" s="173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ht="15.75" customHeight="1">
      <c r="A614" s="10"/>
      <c r="B614" s="174"/>
      <c r="C614" s="6"/>
      <c r="D614" s="127"/>
      <c r="E614" s="127"/>
      <c r="F614" s="175"/>
      <c r="G614" s="26">
        <v>0.0</v>
      </c>
      <c r="H614" s="176"/>
      <c r="I614" s="154">
        <f t="shared" si="1"/>
        <v>0</v>
      </c>
      <c r="J614" s="141"/>
      <c r="K614" s="154">
        <f t="shared" si="2"/>
        <v>0</v>
      </c>
      <c r="L614" s="154">
        <f t="shared" si="5"/>
        <v>0</v>
      </c>
      <c r="M614" s="154">
        <f t="shared" si="4"/>
        <v>0</v>
      </c>
      <c r="N614" s="173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ht="15.75" customHeight="1">
      <c r="A615" s="10"/>
      <c r="B615" s="174"/>
      <c r="C615" s="6"/>
      <c r="D615" s="127"/>
      <c r="E615" s="127"/>
      <c r="F615" s="175"/>
      <c r="G615" s="26">
        <v>0.0</v>
      </c>
      <c r="H615" s="176"/>
      <c r="I615" s="154">
        <f t="shared" si="1"/>
        <v>0</v>
      </c>
      <c r="J615" s="141"/>
      <c r="K615" s="154">
        <f t="shared" si="2"/>
        <v>0</v>
      </c>
      <c r="L615" s="154">
        <f t="shared" si="5"/>
        <v>0</v>
      </c>
      <c r="M615" s="154">
        <f t="shared" si="4"/>
        <v>0</v>
      </c>
      <c r="N615" s="173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ht="15.75" customHeight="1">
      <c r="A616" s="10"/>
      <c r="B616" s="174"/>
      <c r="C616" s="6"/>
      <c r="D616" s="127"/>
      <c r="E616" s="127"/>
      <c r="F616" s="175"/>
      <c r="G616" s="26">
        <v>0.0</v>
      </c>
      <c r="H616" s="176"/>
      <c r="I616" s="154">
        <f t="shared" si="1"/>
        <v>0</v>
      </c>
      <c r="J616" s="141"/>
      <c r="K616" s="154">
        <f t="shared" si="2"/>
        <v>0</v>
      </c>
      <c r="L616" s="154">
        <f t="shared" si="5"/>
        <v>0</v>
      </c>
      <c r="M616" s="154">
        <f t="shared" si="4"/>
        <v>0</v>
      </c>
      <c r="N616" s="173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ht="15.75" customHeight="1">
      <c r="A617" s="10"/>
      <c r="B617" s="174"/>
      <c r="C617" s="6"/>
      <c r="D617" s="127"/>
      <c r="E617" s="127"/>
      <c r="F617" s="175"/>
      <c r="G617" s="26">
        <v>0.0</v>
      </c>
      <c r="H617" s="176"/>
      <c r="I617" s="154">
        <f t="shared" si="1"/>
        <v>0</v>
      </c>
      <c r="J617" s="141"/>
      <c r="K617" s="154">
        <f t="shared" si="2"/>
        <v>0</v>
      </c>
      <c r="L617" s="154">
        <f t="shared" si="5"/>
        <v>0</v>
      </c>
      <c r="M617" s="154">
        <f t="shared" si="4"/>
        <v>0</v>
      </c>
      <c r="N617" s="173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ht="15.75" customHeight="1">
      <c r="A618" s="10"/>
      <c r="B618" s="174"/>
      <c r="C618" s="6"/>
      <c r="D618" s="127"/>
      <c r="E618" s="127"/>
      <c r="F618" s="175"/>
      <c r="G618" s="26">
        <v>0.0</v>
      </c>
      <c r="H618" s="176"/>
      <c r="I618" s="154">
        <f t="shared" si="1"/>
        <v>0</v>
      </c>
      <c r="J618" s="141"/>
      <c r="K618" s="154">
        <f t="shared" si="2"/>
        <v>0</v>
      </c>
      <c r="L618" s="154">
        <f t="shared" si="5"/>
        <v>0</v>
      </c>
      <c r="M618" s="154">
        <f t="shared" si="4"/>
        <v>0</v>
      </c>
      <c r="N618" s="173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ht="15.75" customHeight="1">
      <c r="A619" s="10"/>
      <c r="B619" s="174"/>
      <c r="C619" s="6"/>
      <c r="D619" s="127"/>
      <c r="E619" s="127"/>
      <c r="F619" s="175"/>
      <c r="G619" s="26">
        <v>0.0</v>
      </c>
      <c r="H619" s="176"/>
      <c r="I619" s="154">
        <f t="shared" si="1"/>
        <v>0</v>
      </c>
      <c r="J619" s="141"/>
      <c r="K619" s="154">
        <f t="shared" si="2"/>
        <v>0</v>
      </c>
      <c r="L619" s="154">
        <f t="shared" si="5"/>
        <v>0</v>
      </c>
      <c r="M619" s="154">
        <f t="shared" si="4"/>
        <v>0</v>
      </c>
      <c r="N619" s="173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ht="15.75" customHeight="1">
      <c r="A620" s="10"/>
      <c r="B620" s="174"/>
      <c r="C620" s="6"/>
      <c r="D620" s="127"/>
      <c r="E620" s="127"/>
      <c r="F620" s="175"/>
      <c r="G620" s="26">
        <v>0.0</v>
      </c>
      <c r="H620" s="176"/>
      <c r="I620" s="154">
        <f t="shared" si="1"/>
        <v>0</v>
      </c>
      <c r="J620" s="141"/>
      <c r="K620" s="154">
        <f t="shared" si="2"/>
        <v>0</v>
      </c>
      <c r="L620" s="154">
        <f t="shared" si="5"/>
        <v>0</v>
      </c>
      <c r="M620" s="154">
        <f t="shared" si="4"/>
        <v>0</v>
      </c>
      <c r="N620" s="173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ht="15.75" customHeight="1">
      <c r="A621" s="10"/>
      <c r="B621" s="174"/>
      <c r="C621" s="6"/>
      <c r="D621" s="127"/>
      <c r="E621" s="127"/>
      <c r="F621" s="175"/>
      <c r="G621" s="26">
        <v>0.0</v>
      </c>
      <c r="H621" s="176"/>
      <c r="I621" s="154">
        <f t="shared" si="1"/>
        <v>0</v>
      </c>
      <c r="J621" s="141"/>
      <c r="K621" s="154">
        <f t="shared" si="2"/>
        <v>0</v>
      </c>
      <c r="L621" s="154">
        <f t="shared" si="5"/>
        <v>0</v>
      </c>
      <c r="M621" s="154">
        <f t="shared" si="4"/>
        <v>0</v>
      </c>
      <c r="N621" s="173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ht="15.75" customHeight="1">
      <c r="A622" s="10"/>
      <c r="B622" s="174"/>
      <c r="C622" s="6"/>
      <c r="D622" s="127"/>
      <c r="E622" s="127"/>
      <c r="F622" s="175"/>
      <c r="G622" s="26">
        <v>0.0</v>
      </c>
      <c r="H622" s="176"/>
      <c r="I622" s="154">
        <f t="shared" si="1"/>
        <v>0</v>
      </c>
      <c r="J622" s="141"/>
      <c r="K622" s="154">
        <f t="shared" si="2"/>
        <v>0</v>
      </c>
      <c r="L622" s="154">
        <f t="shared" si="5"/>
        <v>0</v>
      </c>
      <c r="M622" s="154">
        <f t="shared" si="4"/>
        <v>0</v>
      </c>
      <c r="N622" s="173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ht="15.75" customHeight="1">
      <c r="A623" s="10"/>
      <c r="B623" s="174"/>
      <c r="C623" s="6"/>
      <c r="D623" s="127"/>
      <c r="E623" s="127"/>
      <c r="F623" s="175"/>
      <c r="G623" s="26">
        <v>0.0</v>
      </c>
      <c r="H623" s="176"/>
      <c r="I623" s="154">
        <f t="shared" si="1"/>
        <v>0</v>
      </c>
      <c r="J623" s="141"/>
      <c r="K623" s="154">
        <f t="shared" si="2"/>
        <v>0</v>
      </c>
      <c r="L623" s="154">
        <f t="shared" si="5"/>
        <v>0</v>
      </c>
      <c r="M623" s="154">
        <f t="shared" si="4"/>
        <v>0</v>
      </c>
      <c r="N623" s="173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ht="15.75" customHeight="1">
      <c r="A624" s="10"/>
      <c r="B624" s="174"/>
      <c r="C624" s="6"/>
      <c r="D624" s="127"/>
      <c r="E624" s="127"/>
      <c r="F624" s="175"/>
      <c r="G624" s="26">
        <v>0.0</v>
      </c>
      <c r="H624" s="176"/>
      <c r="I624" s="154">
        <f t="shared" si="1"/>
        <v>0</v>
      </c>
      <c r="J624" s="141"/>
      <c r="K624" s="154">
        <f t="shared" si="2"/>
        <v>0</v>
      </c>
      <c r="L624" s="154">
        <f t="shared" si="5"/>
        <v>0</v>
      </c>
      <c r="M624" s="154">
        <f t="shared" si="4"/>
        <v>0</v>
      </c>
      <c r="N624" s="173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ht="15.75" customHeight="1">
      <c r="A625" s="10"/>
      <c r="B625" s="174"/>
      <c r="C625" s="6"/>
      <c r="D625" s="127"/>
      <c r="E625" s="127"/>
      <c r="F625" s="175"/>
      <c r="G625" s="26">
        <v>0.0</v>
      </c>
      <c r="H625" s="176"/>
      <c r="I625" s="154">
        <f t="shared" si="1"/>
        <v>0</v>
      </c>
      <c r="J625" s="141"/>
      <c r="K625" s="154">
        <f t="shared" si="2"/>
        <v>0</v>
      </c>
      <c r="L625" s="154">
        <f t="shared" si="5"/>
        <v>0</v>
      </c>
      <c r="M625" s="154">
        <f t="shared" si="4"/>
        <v>0</v>
      </c>
      <c r="N625" s="173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ht="15.75" customHeight="1">
      <c r="A626" s="10"/>
      <c r="B626" s="174"/>
      <c r="C626" s="6"/>
      <c r="D626" s="127"/>
      <c r="E626" s="127"/>
      <c r="F626" s="175"/>
      <c r="G626" s="26">
        <v>0.0</v>
      </c>
      <c r="H626" s="176"/>
      <c r="I626" s="154">
        <f t="shared" si="1"/>
        <v>0</v>
      </c>
      <c r="J626" s="141"/>
      <c r="K626" s="154">
        <f t="shared" si="2"/>
        <v>0</v>
      </c>
      <c r="L626" s="154">
        <f t="shared" si="5"/>
        <v>0</v>
      </c>
      <c r="M626" s="154">
        <f t="shared" si="4"/>
        <v>0</v>
      </c>
      <c r="N626" s="173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ht="15.75" customHeight="1">
      <c r="A627" s="10"/>
      <c r="B627" s="174"/>
      <c r="C627" s="6"/>
      <c r="D627" s="127"/>
      <c r="E627" s="127"/>
      <c r="F627" s="175"/>
      <c r="G627" s="26">
        <v>0.0</v>
      </c>
      <c r="H627" s="176"/>
      <c r="I627" s="154">
        <f t="shared" si="1"/>
        <v>0</v>
      </c>
      <c r="J627" s="141"/>
      <c r="K627" s="154">
        <f t="shared" si="2"/>
        <v>0</v>
      </c>
      <c r="L627" s="154">
        <f t="shared" si="5"/>
        <v>0</v>
      </c>
      <c r="M627" s="154">
        <f t="shared" si="4"/>
        <v>0</v>
      </c>
      <c r="N627" s="173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ht="15.75" customHeight="1">
      <c r="A628" s="10"/>
      <c r="B628" s="174"/>
      <c r="C628" s="6"/>
      <c r="D628" s="127"/>
      <c r="E628" s="127"/>
      <c r="F628" s="175"/>
      <c r="G628" s="26">
        <v>0.0</v>
      </c>
      <c r="H628" s="176"/>
      <c r="I628" s="154">
        <f t="shared" si="1"/>
        <v>0</v>
      </c>
      <c r="J628" s="141"/>
      <c r="K628" s="154">
        <f t="shared" si="2"/>
        <v>0</v>
      </c>
      <c r="L628" s="154">
        <f t="shared" si="5"/>
        <v>0</v>
      </c>
      <c r="M628" s="154">
        <f t="shared" si="4"/>
        <v>0</v>
      </c>
      <c r="N628" s="173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ht="15.75" customHeight="1">
      <c r="A629" s="10"/>
      <c r="B629" s="174"/>
      <c r="C629" s="6"/>
      <c r="D629" s="127"/>
      <c r="E629" s="127"/>
      <c r="F629" s="175"/>
      <c r="G629" s="26">
        <v>0.0</v>
      </c>
      <c r="H629" s="176"/>
      <c r="I629" s="154">
        <f t="shared" si="1"/>
        <v>0</v>
      </c>
      <c r="J629" s="141"/>
      <c r="K629" s="154">
        <f t="shared" si="2"/>
        <v>0</v>
      </c>
      <c r="L629" s="154">
        <f t="shared" si="5"/>
        <v>0</v>
      </c>
      <c r="M629" s="154">
        <f t="shared" si="4"/>
        <v>0</v>
      </c>
      <c r="N629" s="173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ht="15.75" customHeight="1">
      <c r="A630" s="10"/>
      <c r="B630" s="174"/>
      <c r="C630" s="6"/>
      <c r="D630" s="127"/>
      <c r="E630" s="127"/>
      <c r="F630" s="175"/>
      <c r="G630" s="26">
        <v>0.0</v>
      </c>
      <c r="H630" s="176"/>
      <c r="I630" s="154">
        <f t="shared" si="1"/>
        <v>0</v>
      </c>
      <c r="J630" s="141"/>
      <c r="K630" s="154">
        <f t="shared" si="2"/>
        <v>0</v>
      </c>
      <c r="L630" s="154">
        <f t="shared" si="5"/>
        <v>0</v>
      </c>
      <c r="M630" s="154">
        <f t="shared" si="4"/>
        <v>0</v>
      </c>
      <c r="N630" s="173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ht="15.75" customHeight="1">
      <c r="A631" s="10"/>
      <c r="B631" s="174"/>
      <c r="C631" s="6"/>
      <c r="D631" s="127"/>
      <c r="E631" s="127"/>
      <c r="F631" s="175"/>
      <c r="G631" s="26">
        <v>0.0</v>
      </c>
      <c r="H631" s="176"/>
      <c r="I631" s="154">
        <f t="shared" si="1"/>
        <v>0</v>
      </c>
      <c r="J631" s="141"/>
      <c r="K631" s="154">
        <f t="shared" si="2"/>
        <v>0</v>
      </c>
      <c r="L631" s="154">
        <f t="shared" si="5"/>
        <v>0</v>
      </c>
      <c r="M631" s="154">
        <f t="shared" si="4"/>
        <v>0</v>
      </c>
      <c r="N631" s="173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ht="15.75" customHeight="1">
      <c r="A632" s="10"/>
      <c r="B632" s="174"/>
      <c r="C632" s="6"/>
      <c r="D632" s="127"/>
      <c r="E632" s="127"/>
      <c r="F632" s="175"/>
      <c r="G632" s="26">
        <v>0.0</v>
      </c>
      <c r="H632" s="176"/>
      <c r="I632" s="154">
        <f t="shared" si="1"/>
        <v>0</v>
      </c>
      <c r="J632" s="141"/>
      <c r="K632" s="154">
        <f t="shared" si="2"/>
        <v>0</v>
      </c>
      <c r="L632" s="154">
        <f t="shared" si="5"/>
        <v>0</v>
      </c>
      <c r="M632" s="154">
        <f t="shared" si="4"/>
        <v>0</v>
      </c>
      <c r="N632" s="173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ht="15.75" customHeight="1">
      <c r="A633" s="10"/>
      <c r="B633" s="174"/>
      <c r="C633" s="6"/>
      <c r="D633" s="127"/>
      <c r="E633" s="127"/>
      <c r="F633" s="175"/>
      <c r="G633" s="26">
        <v>0.0</v>
      </c>
      <c r="H633" s="176"/>
      <c r="I633" s="154">
        <f t="shared" si="1"/>
        <v>0</v>
      </c>
      <c r="J633" s="141"/>
      <c r="K633" s="154">
        <f t="shared" si="2"/>
        <v>0</v>
      </c>
      <c r="L633" s="154">
        <f t="shared" si="5"/>
        <v>0</v>
      </c>
      <c r="M633" s="154">
        <f t="shared" si="4"/>
        <v>0</v>
      </c>
      <c r="N633" s="173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ht="15.75" customHeight="1">
      <c r="A634" s="10"/>
      <c r="B634" s="174"/>
      <c r="C634" s="6"/>
      <c r="D634" s="127"/>
      <c r="E634" s="127"/>
      <c r="F634" s="175"/>
      <c r="G634" s="26">
        <v>0.0</v>
      </c>
      <c r="H634" s="176"/>
      <c r="I634" s="154">
        <f t="shared" si="1"/>
        <v>0</v>
      </c>
      <c r="J634" s="141"/>
      <c r="K634" s="154">
        <f t="shared" si="2"/>
        <v>0</v>
      </c>
      <c r="L634" s="154">
        <f t="shared" si="5"/>
        <v>0</v>
      </c>
      <c r="M634" s="154">
        <f t="shared" si="4"/>
        <v>0</v>
      </c>
      <c r="N634" s="173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ht="15.75" customHeight="1">
      <c r="A635" s="10"/>
      <c r="B635" s="174"/>
      <c r="C635" s="6"/>
      <c r="D635" s="127"/>
      <c r="E635" s="127"/>
      <c r="F635" s="175"/>
      <c r="G635" s="26">
        <v>0.0</v>
      </c>
      <c r="H635" s="176"/>
      <c r="I635" s="154">
        <f t="shared" si="1"/>
        <v>0</v>
      </c>
      <c r="J635" s="141"/>
      <c r="K635" s="154">
        <f t="shared" si="2"/>
        <v>0</v>
      </c>
      <c r="L635" s="154">
        <f t="shared" si="5"/>
        <v>0</v>
      </c>
      <c r="M635" s="154">
        <f t="shared" si="4"/>
        <v>0</v>
      </c>
      <c r="N635" s="173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ht="15.75" customHeight="1">
      <c r="A636" s="10"/>
      <c r="B636" s="174"/>
      <c r="C636" s="6"/>
      <c r="D636" s="127"/>
      <c r="E636" s="127"/>
      <c r="F636" s="175"/>
      <c r="G636" s="26">
        <v>0.0</v>
      </c>
      <c r="H636" s="176"/>
      <c r="I636" s="154">
        <f t="shared" si="1"/>
        <v>0</v>
      </c>
      <c r="J636" s="141"/>
      <c r="K636" s="154">
        <f t="shared" si="2"/>
        <v>0</v>
      </c>
      <c r="L636" s="154">
        <f t="shared" si="5"/>
        <v>0</v>
      </c>
      <c r="M636" s="154">
        <f t="shared" si="4"/>
        <v>0</v>
      </c>
      <c r="N636" s="173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ht="15.75" customHeight="1">
      <c r="A637" s="10"/>
      <c r="B637" s="174"/>
      <c r="C637" s="6"/>
      <c r="D637" s="127"/>
      <c r="E637" s="127"/>
      <c r="F637" s="175"/>
      <c r="G637" s="26">
        <v>0.0</v>
      </c>
      <c r="H637" s="176"/>
      <c r="I637" s="154">
        <f t="shared" si="1"/>
        <v>0</v>
      </c>
      <c r="J637" s="141"/>
      <c r="K637" s="154">
        <f t="shared" si="2"/>
        <v>0</v>
      </c>
      <c r="L637" s="154">
        <f t="shared" si="5"/>
        <v>0</v>
      </c>
      <c r="M637" s="154">
        <f t="shared" si="4"/>
        <v>0</v>
      </c>
      <c r="N637" s="173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ht="15.75" customHeight="1">
      <c r="A638" s="10"/>
      <c r="B638" s="174"/>
      <c r="C638" s="6"/>
      <c r="D638" s="127"/>
      <c r="E638" s="127"/>
      <c r="F638" s="175"/>
      <c r="G638" s="26">
        <v>0.0</v>
      </c>
      <c r="H638" s="176"/>
      <c r="I638" s="154">
        <f t="shared" si="1"/>
        <v>0</v>
      </c>
      <c r="J638" s="141"/>
      <c r="K638" s="154">
        <f t="shared" si="2"/>
        <v>0</v>
      </c>
      <c r="L638" s="154">
        <f t="shared" si="5"/>
        <v>0</v>
      </c>
      <c r="M638" s="154">
        <f t="shared" si="4"/>
        <v>0</v>
      </c>
      <c r="N638" s="173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ht="15.75" customHeight="1">
      <c r="A639" s="10"/>
      <c r="B639" s="174"/>
      <c r="C639" s="6"/>
      <c r="D639" s="127"/>
      <c r="E639" s="127"/>
      <c r="F639" s="175"/>
      <c r="G639" s="26">
        <v>0.0</v>
      </c>
      <c r="H639" s="176"/>
      <c r="I639" s="154">
        <f t="shared" si="1"/>
        <v>0</v>
      </c>
      <c r="J639" s="141"/>
      <c r="K639" s="154">
        <f t="shared" si="2"/>
        <v>0</v>
      </c>
      <c r="L639" s="154">
        <f t="shared" si="5"/>
        <v>0</v>
      </c>
      <c r="M639" s="154">
        <f t="shared" si="4"/>
        <v>0</v>
      </c>
      <c r="N639" s="173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ht="15.75" customHeight="1">
      <c r="A640" s="10"/>
      <c r="B640" s="174"/>
      <c r="C640" s="6"/>
      <c r="D640" s="127"/>
      <c r="E640" s="127"/>
      <c r="F640" s="175"/>
      <c r="G640" s="26">
        <v>0.0</v>
      </c>
      <c r="H640" s="176"/>
      <c r="I640" s="154">
        <f t="shared" si="1"/>
        <v>0</v>
      </c>
      <c r="J640" s="141"/>
      <c r="K640" s="154">
        <f t="shared" si="2"/>
        <v>0</v>
      </c>
      <c r="L640" s="154">
        <f t="shared" si="5"/>
        <v>0</v>
      </c>
      <c r="M640" s="154">
        <f t="shared" si="4"/>
        <v>0</v>
      </c>
      <c r="N640" s="173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ht="15.75" customHeight="1">
      <c r="A641" s="10"/>
      <c r="B641" s="174"/>
      <c r="C641" s="6"/>
      <c r="D641" s="127"/>
      <c r="E641" s="127"/>
      <c r="F641" s="175"/>
      <c r="G641" s="26">
        <v>0.0</v>
      </c>
      <c r="H641" s="176"/>
      <c r="I641" s="154">
        <f t="shared" si="1"/>
        <v>0</v>
      </c>
      <c r="J641" s="141"/>
      <c r="K641" s="154">
        <f t="shared" si="2"/>
        <v>0</v>
      </c>
      <c r="L641" s="154">
        <f t="shared" si="5"/>
        <v>0</v>
      </c>
      <c r="M641" s="154">
        <f t="shared" si="4"/>
        <v>0</v>
      </c>
      <c r="N641" s="173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ht="15.75" customHeight="1">
      <c r="A642" s="10"/>
      <c r="B642" s="174"/>
      <c r="C642" s="6"/>
      <c r="D642" s="127"/>
      <c r="E642" s="127"/>
      <c r="F642" s="175"/>
      <c r="G642" s="26">
        <v>0.0</v>
      </c>
      <c r="H642" s="176"/>
      <c r="I642" s="154">
        <f t="shared" si="1"/>
        <v>0</v>
      </c>
      <c r="J642" s="141"/>
      <c r="K642" s="154">
        <f t="shared" si="2"/>
        <v>0</v>
      </c>
      <c r="L642" s="154">
        <f t="shared" si="5"/>
        <v>0</v>
      </c>
      <c r="M642" s="154">
        <f t="shared" si="4"/>
        <v>0</v>
      </c>
      <c r="N642" s="173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ht="15.75" customHeight="1">
      <c r="A643" s="10"/>
      <c r="B643" s="174"/>
      <c r="C643" s="6"/>
      <c r="D643" s="127"/>
      <c r="E643" s="127"/>
      <c r="F643" s="175"/>
      <c r="G643" s="26">
        <v>0.0</v>
      </c>
      <c r="H643" s="176"/>
      <c r="I643" s="154">
        <f t="shared" si="1"/>
        <v>0</v>
      </c>
      <c r="J643" s="141"/>
      <c r="K643" s="154">
        <f t="shared" si="2"/>
        <v>0</v>
      </c>
      <c r="L643" s="154">
        <f t="shared" si="5"/>
        <v>0</v>
      </c>
      <c r="M643" s="154">
        <f t="shared" si="4"/>
        <v>0</v>
      </c>
      <c r="N643" s="173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ht="15.75" customHeight="1">
      <c r="A644" s="10"/>
      <c r="B644" s="174"/>
      <c r="C644" s="6"/>
      <c r="D644" s="127"/>
      <c r="E644" s="127"/>
      <c r="F644" s="175"/>
      <c r="G644" s="26">
        <v>0.0</v>
      </c>
      <c r="H644" s="176"/>
      <c r="I644" s="154">
        <f t="shared" si="1"/>
        <v>0</v>
      </c>
      <c r="J644" s="141"/>
      <c r="K644" s="154">
        <f t="shared" si="2"/>
        <v>0</v>
      </c>
      <c r="L644" s="154">
        <f t="shared" si="5"/>
        <v>0</v>
      </c>
      <c r="M644" s="154">
        <f t="shared" si="4"/>
        <v>0</v>
      </c>
      <c r="N644" s="173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ht="15.75" customHeight="1">
      <c r="A645" s="10"/>
      <c r="B645" s="174"/>
      <c r="C645" s="6"/>
      <c r="D645" s="127"/>
      <c r="E645" s="127"/>
      <c r="F645" s="175"/>
      <c r="G645" s="26">
        <v>0.0</v>
      </c>
      <c r="H645" s="176"/>
      <c r="I645" s="154">
        <f t="shared" si="1"/>
        <v>0</v>
      </c>
      <c r="J645" s="141"/>
      <c r="K645" s="154">
        <f t="shared" si="2"/>
        <v>0</v>
      </c>
      <c r="L645" s="154">
        <f t="shared" si="5"/>
        <v>0</v>
      </c>
      <c r="M645" s="154">
        <f t="shared" si="4"/>
        <v>0</v>
      </c>
      <c r="N645" s="173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ht="15.75" customHeight="1">
      <c r="A646" s="10"/>
      <c r="B646" s="174"/>
      <c r="C646" s="6"/>
      <c r="D646" s="127"/>
      <c r="E646" s="127"/>
      <c r="F646" s="175"/>
      <c r="G646" s="26">
        <v>0.0</v>
      </c>
      <c r="H646" s="176"/>
      <c r="I646" s="154">
        <f t="shared" si="1"/>
        <v>0</v>
      </c>
      <c r="J646" s="141"/>
      <c r="K646" s="154">
        <f t="shared" si="2"/>
        <v>0</v>
      </c>
      <c r="L646" s="154">
        <f t="shared" si="5"/>
        <v>0</v>
      </c>
      <c r="M646" s="154">
        <f t="shared" si="4"/>
        <v>0</v>
      </c>
      <c r="N646" s="173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ht="15.75" customHeight="1">
      <c r="A647" s="10"/>
      <c r="B647" s="174"/>
      <c r="C647" s="6"/>
      <c r="D647" s="127"/>
      <c r="E647" s="127"/>
      <c r="F647" s="175"/>
      <c r="G647" s="26">
        <v>0.0</v>
      </c>
      <c r="H647" s="176"/>
      <c r="I647" s="154">
        <f t="shared" si="1"/>
        <v>0</v>
      </c>
      <c r="J647" s="141"/>
      <c r="K647" s="154">
        <f t="shared" si="2"/>
        <v>0</v>
      </c>
      <c r="L647" s="154">
        <f t="shared" si="5"/>
        <v>0</v>
      </c>
      <c r="M647" s="154">
        <f t="shared" si="4"/>
        <v>0</v>
      </c>
      <c r="N647" s="173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ht="15.75" customHeight="1">
      <c r="A648" s="10"/>
      <c r="B648" s="174"/>
      <c r="C648" s="6"/>
      <c r="D648" s="127"/>
      <c r="E648" s="127"/>
      <c r="F648" s="175"/>
      <c r="G648" s="26">
        <v>0.0</v>
      </c>
      <c r="H648" s="176"/>
      <c r="I648" s="154">
        <f t="shared" si="1"/>
        <v>0</v>
      </c>
      <c r="J648" s="141"/>
      <c r="K648" s="154">
        <f t="shared" si="2"/>
        <v>0</v>
      </c>
      <c r="L648" s="154">
        <f t="shared" si="5"/>
        <v>0</v>
      </c>
      <c r="M648" s="154">
        <f t="shared" si="4"/>
        <v>0</v>
      </c>
      <c r="N648" s="173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ht="15.75" customHeight="1">
      <c r="A649" s="10"/>
      <c r="B649" s="174"/>
      <c r="C649" s="6"/>
      <c r="D649" s="127"/>
      <c r="E649" s="127"/>
      <c r="F649" s="175"/>
      <c r="G649" s="26">
        <v>0.0</v>
      </c>
      <c r="H649" s="176"/>
      <c r="I649" s="154">
        <f t="shared" si="1"/>
        <v>0</v>
      </c>
      <c r="J649" s="141"/>
      <c r="K649" s="154">
        <f t="shared" si="2"/>
        <v>0</v>
      </c>
      <c r="L649" s="154">
        <f t="shared" si="5"/>
        <v>0</v>
      </c>
      <c r="M649" s="154">
        <f t="shared" si="4"/>
        <v>0</v>
      </c>
      <c r="N649" s="173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ht="15.75" customHeight="1">
      <c r="A650" s="10"/>
      <c r="B650" s="174"/>
      <c r="C650" s="6"/>
      <c r="D650" s="127"/>
      <c r="E650" s="127"/>
      <c r="F650" s="175"/>
      <c r="G650" s="26">
        <v>0.0</v>
      </c>
      <c r="H650" s="176"/>
      <c r="I650" s="154">
        <f t="shared" si="1"/>
        <v>0</v>
      </c>
      <c r="J650" s="141"/>
      <c r="K650" s="154">
        <f t="shared" si="2"/>
        <v>0</v>
      </c>
      <c r="L650" s="154">
        <f t="shared" si="5"/>
        <v>0</v>
      </c>
      <c r="M650" s="154">
        <f t="shared" si="4"/>
        <v>0</v>
      </c>
      <c r="N650" s="173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ht="15.75" customHeight="1">
      <c r="A651" s="10"/>
      <c r="B651" s="174"/>
      <c r="C651" s="6"/>
      <c r="D651" s="127"/>
      <c r="E651" s="127"/>
      <c r="F651" s="175"/>
      <c r="G651" s="26">
        <v>0.0</v>
      </c>
      <c r="H651" s="176"/>
      <c r="I651" s="154">
        <f t="shared" si="1"/>
        <v>0</v>
      </c>
      <c r="J651" s="141"/>
      <c r="K651" s="154">
        <f t="shared" si="2"/>
        <v>0</v>
      </c>
      <c r="L651" s="154">
        <f t="shared" si="5"/>
        <v>0</v>
      </c>
      <c r="M651" s="154">
        <f t="shared" si="4"/>
        <v>0</v>
      </c>
      <c r="N651" s="173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ht="15.75" customHeight="1">
      <c r="A652" s="10"/>
      <c r="B652" s="174"/>
      <c r="C652" s="6"/>
      <c r="D652" s="127"/>
      <c r="E652" s="127"/>
      <c r="F652" s="175"/>
      <c r="G652" s="26">
        <v>0.0</v>
      </c>
      <c r="H652" s="176"/>
      <c r="I652" s="154">
        <f t="shared" si="1"/>
        <v>0</v>
      </c>
      <c r="J652" s="141"/>
      <c r="K652" s="154">
        <f t="shared" si="2"/>
        <v>0</v>
      </c>
      <c r="L652" s="154">
        <f t="shared" si="5"/>
        <v>0</v>
      </c>
      <c r="M652" s="154">
        <f t="shared" si="4"/>
        <v>0</v>
      </c>
      <c r="N652" s="173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ht="15.75" customHeight="1">
      <c r="A653" s="10"/>
      <c r="B653" s="174"/>
      <c r="C653" s="6"/>
      <c r="D653" s="127"/>
      <c r="E653" s="127"/>
      <c r="F653" s="175"/>
      <c r="G653" s="26">
        <v>0.0</v>
      </c>
      <c r="H653" s="176"/>
      <c r="I653" s="154">
        <f t="shared" si="1"/>
        <v>0</v>
      </c>
      <c r="J653" s="141"/>
      <c r="K653" s="154">
        <f t="shared" si="2"/>
        <v>0</v>
      </c>
      <c r="L653" s="154">
        <f t="shared" si="5"/>
        <v>0</v>
      </c>
      <c r="M653" s="154">
        <f t="shared" si="4"/>
        <v>0</v>
      </c>
      <c r="N653" s="173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ht="15.75" customHeight="1">
      <c r="A654" s="10"/>
      <c r="B654" s="174"/>
      <c r="C654" s="6"/>
      <c r="D654" s="127"/>
      <c r="E654" s="127"/>
      <c r="F654" s="175"/>
      <c r="G654" s="26">
        <v>0.0</v>
      </c>
      <c r="H654" s="176"/>
      <c r="I654" s="154">
        <f t="shared" si="1"/>
        <v>0</v>
      </c>
      <c r="J654" s="141"/>
      <c r="K654" s="154">
        <f t="shared" si="2"/>
        <v>0</v>
      </c>
      <c r="L654" s="154">
        <f t="shared" si="5"/>
        <v>0</v>
      </c>
      <c r="M654" s="154">
        <f t="shared" si="4"/>
        <v>0</v>
      </c>
      <c r="N654" s="173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ht="15.75" customHeight="1">
      <c r="A655" s="10"/>
      <c r="B655" s="174"/>
      <c r="C655" s="6"/>
      <c r="D655" s="127"/>
      <c r="E655" s="127"/>
      <c r="F655" s="175"/>
      <c r="G655" s="26">
        <v>0.0</v>
      </c>
      <c r="H655" s="176"/>
      <c r="I655" s="154">
        <f t="shared" si="1"/>
        <v>0</v>
      </c>
      <c r="J655" s="141"/>
      <c r="K655" s="154">
        <f t="shared" si="2"/>
        <v>0</v>
      </c>
      <c r="L655" s="154">
        <f t="shared" si="5"/>
        <v>0</v>
      </c>
      <c r="M655" s="154">
        <f t="shared" si="4"/>
        <v>0</v>
      </c>
      <c r="N655" s="173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ht="15.75" customHeight="1">
      <c r="A656" s="10"/>
      <c r="B656" s="174"/>
      <c r="C656" s="6"/>
      <c r="D656" s="127"/>
      <c r="E656" s="127"/>
      <c r="F656" s="175"/>
      <c r="G656" s="26">
        <v>0.0</v>
      </c>
      <c r="H656" s="176"/>
      <c r="I656" s="154">
        <f t="shared" si="1"/>
        <v>0</v>
      </c>
      <c r="J656" s="141"/>
      <c r="K656" s="154">
        <f t="shared" si="2"/>
        <v>0</v>
      </c>
      <c r="L656" s="154">
        <f t="shared" si="5"/>
        <v>0</v>
      </c>
      <c r="M656" s="154">
        <f t="shared" si="4"/>
        <v>0</v>
      </c>
      <c r="N656" s="173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ht="15.75" customHeight="1">
      <c r="A657" s="10"/>
      <c r="B657" s="174"/>
      <c r="C657" s="6"/>
      <c r="D657" s="127"/>
      <c r="E657" s="127"/>
      <c r="F657" s="175"/>
      <c r="G657" s="26">
        <v>0.0</v>
      </c>
      <c r="H657" s="176"/>
      <c r="I657" s="154">
        <f t="shared" si="1"/>
        <v>0</v>
      </c>
      <c r="J657" s="141"/>
      <c r="K657" s="154">
        <f t="shared" si="2"/>
        <v>0</v>
      </c>
      <c r="L657" s="154">
        <f t="shared" si="5"/>
        <v>0</v>
      </c>
      <c r="M657" s="154">
        <f t="shared" si="4"/>
        <v>0</v>
      </c>
      <c r="N657" s="173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ht="15.75" customHeight="1">
      <c r="A658" s="10"/>
      <c r="B658" s="174"/>
      <c r="C658" s="6"/>
      <c r="D658" s="127"/>
      <c r="E658" s="127"/>
      <c r="F658" s="175"/>
      <c r="G658" s="26">
        <v>0.0</v>
      </c>
      <c r="H658" s="176"/>
      <c r="I658" s="154">
        <f t="shared" si="1"/>
        <v>0</v>
      </c>
      <c r="J658" s="141"/>
      <c r="K658" s="154">
        <f t="shared" si="2"/>
        <v>0</v>
      </c>
      <c r="L658" s="154">
        <f t="shared" si="5"/>
        <v>0</v>
      </c>
      <c r="M658" s="154">
        <f t="shared" si="4"/>
        <v>0</v>
      </c>
      <c r="N658" s="173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ht="15.75" customHeight="1">
      <c r="A659" s="10"/>
      <c r="B659" s="174"/>
      <c r="C659" s="6"/>
      <c r="D659" s="127"/>
      <c r="E659" s="127"/>
      <c r="F659" s="175"/>
      <c r="G659" s="26">
        <v>0.0</v>
      </c>
      <c r="H659" s="176"/>
      <c r="I659" s="154">
        <f t="shared" si="1"/>
        <v>0</v>
      </c>
      <c r="J659" s="141"/>
      <c r="K659" s="154">
        <f t="shared" si="2"/>
        <v>0</v>
      </c>
      <c r="L659" s="154">
        <f t="shared" si="5"/>
        <v>0</v>
      </c>
      <c r="M659" s="154">
        <f t="shared" si="4"/>
        <v>0</v>
      </c>
      <c r="N659" s="173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ht="15.75" customHeight="1">
      <c r="A660" s="10"/>
      <c r="B660" s="174"/>
      <c r="C660" s="6"/>
      <c r="D660" s="127"/>
      <c r="E660" s="127"/>
      <c r="F660" s="175"/>
      <c r="G660" s="26">
        <v>0.0</v>
      </c>
      <c r="H660" s="176"/>
      <c r="I660" s="154">
        <f t="shared" si="1"/>
        <v>0</v>
      </c>
      <c r="J660" s="141"/>
      <c r="K660" s="154">
        <f t="shared" si="2"/>
        <v>0</v>
      </c>
      <c r="L660" s="154">
        <f t="shared" si="5"/>
        <v>0</v>
      </c>
      <c r="M660" s="154">
        <f t="shared" si="4"/>
        <v>0</v>
      </c>
      <c r="N660" s="173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ht="15.75" customHeight="1">
      <c r="A661" s="10"/>
      <c r="B661" s="174"/>
      <c r="C661" s="6"/>
      <c r="D661" s="127"/>
      <c r="E661" s="127"/>
      <c r="F661" s="175"/>
      <c r="G661" s="26">
        <v>0.0</v>
      </c>
      <c r="H661" s="176"/>
      <c r="I661" s="154">
        <f t="shared" si="1"/>
        <v>0</v>
      </c>
      <c r="J661" s="141"/>
      <c r="K661" s="154">
        <f t="shared" si="2"/>
        <v>0</v>
      </c>
      <c r="L661" s="154">
        <f t="shared" si="5"/>
        <v>0</v>
      </c>
      <c r="M661" s="154">
        <f t="shared" si="4"/>
        <v>0</v>
      </c>
      <c r="N661" s="173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ht="15.75" customHeight="1">
      <c r="A662" s="10"/>
      <c r="B662" s="174"/>
      <c r="C662" s="6"/>
      <c r="D662" s="127"/>
      <c r="E662" s="127"/>
      <c r="F662" s="175"/>
      <c r="G662" s="26">
        <v>0.0</v>
      </c>
      <c r="H662" s="176"/>
      <c r="I662" s="154">
        <f t="shared" si="1"/>
        <v>0</v>
      </c>
      <c r="J662" s="141"/>
      <c r="K662" s="154">
        <f t="shared" si="2"/>
        <v>0</v>
      </c>
      <c r="L662" s="154">
        <f t="shared" si="5"/>
        <v>0</v>
      </c>
      <c r="M662" s="154">
        <f t="shared" si="4"/>
        <v>0</v>
      </c>
      <c r="N662" s="173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ht="15.75" customHeight="1">
      <c r="A663" s="10"/>
      <c r="B663" s="174"/>
      <c r="C663" s="6"/>
      <c r="D663" s="127"/>
      <c r="E663" s="127"/>
      <c r="F663" s="175"/>
      <c r="G663" s="26">
        <v>0.0</v>
      </c>
      <c r="H663" s="176"/>
      <c r="I663" s="154">
        <f t="shared" si="1"/>
        <v>0</v>
      </c>
      <c r="J663" s="141"/>
      <c r="K663" s="154">
        <f t="shared" si="2"/>
        <v>0</v>
      </c>
      <c r="L663" s="154">
        <f t="shared" si="5"/>
        <v>0</v>
      </c>
      <c r="M663" s="154">
        <f t="shared" si="4"/>
        <v>0</v>
      </c>
      <c r="N663" s="173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ht="15.75" customHeight="1">
      <c r="A664" s="10"/>
      <c r="B664" s="174"/>
      <c r="C664" s="6"/>
      <c r="D664" s="127"/>
      <c r="E664" s="127"/>
      <c r="F664" s="175"/>
      <c r="G664" s="26">
        <v>0.0</v>
      </c>
      <c r="H664" s="176"/>
      <c r="I664" s="154">
        <f t="shared" si="1"/>
        <v>0</v>
      </c>
      <c r="J664" s="141"/>
      <c r="K664" s="154">
        <f t="shared" si="2"/>
        <v>0</v>
      </c>
      <c r="L664" s="154">
        <f t="shared" si="5"/>
        <v>0</v>
      </c>
      <c r="M664" s="154">
        <f t="shared" si="4"/>
        <v>0</v>
      </c>
      <c r="N664" s="173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ht="15.75" customHeight="1">
      <c r="A665" s="10"/>
      <c r="B665" s="174"/>
      <c r="C665" s="6"/>
      <c r="D665" s="127"/>
      <c r="E665" s="127"/>
      <c r="F665" s="175"/>
      <c r="G665" s="26">
        <v>0.0</v>
      </c>
      <c r="H665" s="176"/>
      <c r="I665" s="154">
        <f t="shared" si="1"/>
        <v>0</v>
      </c>
      <c r="J665" s="141"/>
      <c r="K665" s="154">
        <f t="shared" si="2"/>
        <v>0</v>
      </c>
      <c r="L665" s="154">
        <f t="shared" si="5"/>
        <v>0</v>
      </c>
      <c r="M665" s="154">
        <f t="shared" si="4"/>
        <v>0</v>
      </c>
      <c r="N665" s="173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ht="15.75" customHeight="1">
      <c r="A666" s="10"/>
      <c r="B666" s="174"/>
      <c r="C666" s="6"/>
      <c r="D666" s="127"/>
      <c r="E666" s="127"/>
      <c r="F666" s="175"/>
      <c r="G666" s="26">
        <v>0.0</v>
      </c>
      <c r="H666" s="176"/>
      <c r="I666" s="154">
        <f t="shared" si="1"/>
        <v>0</v>
      </c>
      <c r="J666" s="141"/>
      <c r="K666" s="154">
        <f t="shared" si="2"/>
        <v>0</v>
      </c>
      <c r="L666" s="154">
        <f t="shared" si="5"/>
        <v>0</v>
      </c>
      <c r="M666" s="154">
        <f t="shared" si="4"/>
        <v>0</v>
      </c>
      <c r="N666" s="173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ht="15.75" customHeight="1">
      <c r="A667" s="10"/>
      <c r="B667" s="174"/>
      <c r="C667" s="6"/>
      <c r="D667" s="127"/>
      <c r="E667" s="127"/>
      <c r="F667" s="175"/>
      <c r="G667" s="26">
        <v>0.0</v>
      </c>
      <c r="H667" s="176"/>
      <c r="I667" s="154">
        <f t="shared" si="1"/>
        <v>0</v>
      </c>
      <c r="J667" s="141"/>
      <c r="K667" s="154">
        <f t="shared" si="2"/>
        <v>0</v>
      </c>
      <c r="L667" s="154">
        <f t="shared" si="5"/>
        <v>0</v>
      </c>
      <c r="M667" s="154">
        <f t="shared" si="4"/>
        <v>0</v>
      </c>
      <c r="N667" s="173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ht="15.75" customHeight="1">
      <c r="A668" s="10"/>
      <c r="B668" s="174"/>
      <c r="C668" s="6"/>
      <c r="D668" s="127"/>
      <c r="E668" s="127"/>
      <c r="F668" s="175"/>
      <c r="G668" s="26">
        <v>0.0</v>
      </c>
      <c r="H668" s="176"/>
      <c r="I668" s="154">
        <f t="shared" si="1"/>
        <v>0</v>
      </c>
      <c r="J668" s="141"/>
      <c r="K668" s="154">
        <f t="shared" si="2"/>
        <v>0</v>
      </c>
      <c r="L668" s="154">
        <f t="shared" si="5"/>
        <v>0</v>
      </c>
      <c r="M668" s="154">
        <f t="shared" si="4"/>
        <v>0</v>
      </c>
      <c r="N668" s="173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ht="15.75" customHeight="1">
      <c r="A669" s="10"/>
      <c r="B669" s="174"/>
      <c r="C669" s="6"/>
      <c r="D669" s="127"/>
      <c r="E669" s="127"/>
      <c r="F669" s="175"/>
      <c r="G669" s="26">
        <v>0.0</v>
      </c>
      <c r="H669" s="176"/>
      <c r="I669" s="154">
        <f t="shared" si="1"/>
        <v>0</v>
      </c>
      <c r="J669" s="141"/>
      <c r="K669" s="154">
        <f t="shared" si="2"/>
        <v>0</v>
      </c>
      <c r="L669" s="154">
        <f t="shared" si="5"/>
        <v>0</v>
      </c>
      <c r="M669" s="154">
        <f t="shared" si="4"/>
        <v>0</v>
      </c>
      <c r="N669" s="173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ht="15.75" customHeight="1">
      <c r="A670" s="10"/>
      <c r="B670" s="174"/>
      <c r="C670" s="6"/>
      <c r="D670" s="127"/>
      <c r="E670" s="127"/>
      <c r="F670" s="175"/>
      <c r="G670" s="26">
        <v>0.0</v>
      </c>
      <c r="H670" s="176"/>
      <c r="I670" s="154">
        <f t="shared" si="1"/>
        <v>0</v>
      </c>
      <c r="J670" s="141"/>
      <c r="K670" s="154">
        <f t="shared" si="2"/>
        <v>0</v>
      </c>
      <c r="L670" s="154">
        <f t="shared" si="5"/>
        <v>0</v>
      </c>
      <c r="M670" s="154">
        <f t="shared" si="4"/>
        <v>0</v>
      </c>
      <c r="N670" s="173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ht="15.75" customHeight="1">
      <c r="A671" s="10"/>
      <c r="B671" s="174"/>
      <c r="C671" s="6"/>
      <c r="D671" s="127"/>
      <c r="E671" s="127"/>
      <c r="F671" s="175"/>
      <c r="G671" s="26">
        <v>0.0</v>
      </c>
      <c r="H671" s="176"/>
      <c r="I671" s="154">
        <f t="shared" si="1"/>
        <v>0</v>
      </c>
      <c r="J671" s="141"/>
      <c r="K671" s="154">
        <f t="shared" si="2"/>
        <v>0</v>
      </c>
      <c r="L671" s="154">
        <f t="shared" si="5"/>
        <v>0</v>
      </c>
      <c r="M671" s="154">
        <f t="shared" si="4"/>
        <v>0</v>
      </c>
      <c r="N671" s="173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ht="15.75" customHeight="1">
      <c r="A672" s="10"/>
      <c r="B672" s="174"/>
      <c r="C672" s="6"/>
      <c r="D672" s="127"/>
      <c r="E672" s="127"/>
      <c r="F672" s="175"/>
      <c r="G672" s="26">
        <v>0.0</v>
      </c>
      <c r="H672" s="176"/>
      <c r="I672" s="154">
        <f t="shared" si="1"/>
        <v>0</v>
      </c>
      <c r="J672" s="141"/>
      <c r="K672" s="154">
        <f t="shared" si="2"/>
        <v>0</v>
      </c>
      <c r="L672" s="154">
        <f t="shared" si="5"/>
        <v>0</v>
      </c>
      <c r="M672" s="154">
        <f t="shared" si="4"/>
        <v>0</v>
      </c>
      <c r="N672" s="173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ht="15.75" customHeight="1">
      <c r="A673" s="10"/>
      <c r="B673" s="174"/>
      <c r="C673" s="6"/>
      <c r="D673" s="127"/>
      <c r="E673" s="127"/>
      <c r="F673" s="175"/>
      <c r="G673" s="26">
        <v>0.0</v>
      </c>
      <c r="H673" s="176"/>
      <c r="I673" s="154">
        <f t="shared" si="1"/>
        <v>0</v>
      </c>
      <c r="J673" s="141"/>
      <c r="K673" s="154">
        <f t="shared" si="2"/>
        <v>0</v>
      </c>
      <c r="L673" s="154">
        <f t="shared" si="5"/>
        <v>0</v>
      </c>
      <c r="M673" s="154">
        <f t="shared" si="4"/>
        <v>0</v>
      </c>
      <c r="N673" s="173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ht="15.75" customHeight="1">
      <c r="A674" s="10"/>
      <c r="B674" s="174"/>
      <c r="C674" s="6"/>
      <c r="D674" s="127"/>
      <c r="E674" s="127"/>
      <c r="F674" s="175"/>
      <c r="G674" s="26">
        <v>0.0</v>
      </c>
      <c r="H674" s="176"/>
      <c r="I674" s="154">
        <f t="shared" si="1"/>
        <v>0</v>
      </c>
      <c r="J674" s="141"/>
      <c r="K674" s="154">
        <f t="shared" si="2"/>
        <v>0</v>
      </c>
      <c r="L674" s="154">
        <f t="shared" si="5"/>
        <v>0</v>
      </c>
      <c r="M674" s="154">
        <f t="shared" si="4"/>
        <v>0</v>
      </c>
      <c r="N674" s="173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ht="15.75" customHeight="1">
      <c r="A675" s="10"/>
      <c r="B675" s="174"/>
      <c r="C675" s="6"/>
      <c r="D675" s="127"/>
      <c r="E675" s="127"/>
      <c r="F675" s="175"/>
      <c r="G675" s="26">
        <v>0.0</v>
      </c>
      <c r="H675" s="176"/>
      <c r="I675" s="154">
        <f t="shared" si="1"/>
        <v>0</v>
      </c>
      <c r="J675" s="141"/>
      <c r="K675" s="154">
        <f t="shared" si="2"/>
        <v>0</v>
      </c>
      <c r="L675" s="154">
        <f t="shared" si="5"/>
        <v>0</v>
      </c>
      <c r="M675" s="154">
        <f t="shared" si="4"/>
        <v>0</v>
      </c>
      <c r="N675" s="173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ht="15.75" customHeight="1">
      <c r="A676" s="10"/>
      <c r="B676" s="174"/>
      <c r="C676" s="6"/>
      <c r="D676" s="127"/>
      <c r="E676" s="127"/>
      <c r="F676" s="175"/>
      <c r="G676" s="26">
        <v>0.0</v>
      </c>
      <c r="H676" s="176"/>
      <c r="I676" s="154">
        <f t="shared" si="1"/>
        <v>0</v>
      </c>
      <c r="J676" s="141"/>
      <c r="K676" s="154">
        <f t="shared" si="2"/>
        <v>0</v>
      </c>
      <c r="L676" s="154">
        <f t="shared" si="5"/>
        <v>0</v>
      </c>
      <c r="M676" s="154">
        <f t="shared" si="4"/>
        <v>0</v>
      </c>
      <c r="N676" s="173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ht="15.75" customHeight="1">
      <c r="A677" s="10"/>
      <c r="B677" s="174"/>
      <c r="C677" s="6"/>
      <c r="D677" s="127"/>
      <c r="E677" s="127"/>
      <c r="F677" s="175"/>
      <c r="G677" s="26">
        <v>0.0</v>
      </c>
      <c r="H677" s="176"/>
      <c r="I677" s="154">
        <f t="shared" si="1"/>
        <v>0</v>
      </c>
      <c r="J677" s="141"/>
      <c r="K677" s="154">
        <f t="shared" si="2"/>
        <v>0</v>
      </c>
      <c r="L677" s="154">
        <f t="shared" si="5"/>
        <v>0</v>
      </c>
      <c r="M677" s="154">
        <f t="shared" si="4"/>
        <v>0</v>
      </c>
      <c r="N677" s="173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ht="15.75" customHeight="1">
      <c r="A678" s="10"/>
      <c r="B678" s="174"/>
      <c r="C678" s="6"/>
      <c r="D678" s="127"/>
      <c r="E678" s="127"/>
      <c r="F678" s="175"/>
      <c r="G678" s="26">
        <v>0.0</v>
      </c>
      <c r="H678" s="176"/>
      <c r="I678" s="154">
        <f t="shared" si="1"/>
        <v>0</v>
      </c>
      <c r="J678" s="141"/>
      <c r="K678" s="154">
        <f t="shared" si="2"/>
        <v>0</v>
      </c>
      <c r="L678" s="154">
        <f t="shared" si="5"/>
        <v>0</v>
      </c>
      <c r="M678" s="154">
        <f t="shared" si="4"/>
        <v>0</v>
      </c>
      <c r="N678" s="173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ht="15.75" customHeight="1">
      <c r="A679" s="10"/>
      <c r="B679" s="174"/>
      <c r="C679" s="6"/>
      <c r="D679" s="127"/>
      <c r="E679" s="127"/>
      <c r="F679" s="175"/>
      <c r="G679" s="26">
        <v>0.0</v>
      </c>
      <c r="H679" s="176"/>
      <c r="I679" s="154">
        <f t="shared" si="1"/>
        <v>0</v>
      </c>
      <c r="J679" s="141"/>
      <c r="K679" s="154">
        <f t="shared" si="2"/>
        <v>0</v>
      </c>
      <c r="L679" s="154">
        <f t="shared" si="5"/>
        <v>0</v>
      </c>
      <c r="M679" s="154">
        <f t="shared" si="4"/>
        <v>0</v>
      </c>
      <c r="N679" s="173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ht="15.75" customHeight="1">
      <c r="A680" s="10"/>
      <c r="B680" s="174"/>
      <c r="C680" s="6"/>
      <c r="D680" s="127"/>
      <c r="E680" s="127"/>
      <c r="F680" s="175"/>
      <c r="G680" s="26">
        <v>0.0</v>
      </c>
      <c r="H680" s="176"/>
      <c r="I680" s="154">
        <f t="shared" si="1"/>
        <v>0</v>
      </c>
      <c r="J680" s="141"/>
      <c r="K680" s="154">
        <f t="shared" si="2"/>
        <v>0</v>
      </c>
      <c r="L680" s="154">
        <f t="shared" si="5"/>
        <v>0</v>
      </c>
      <c r="M680" s="154">
        <f t="shared" si="4"/>
        <v>0</v>
      </c>
      <c r="N680" s="173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ht="15.75" customHeight="1">
      <c r="A681" s="10"/>
      <c r="B681" s="174"/>
      <c r="C681" s="6"/>
      <c r="D681" s="127"/>
      <c r="E681" s="127"/>
      <c r="F681" s="175"/>
      <c r="G681" s="26">
        <v>0.0</v>
      </c>
      <c r="H681" s="176"/>
      <c r="I681" s="154">
        <f t="shared" si="1"/>
        <v>0</v>
      </c>
      <c r="J681" s="141"/>
      <c r="K681" s="154">
        <f t="shared" si="2"/>
        <v>0</v>
      </c>
      <c r="L681" s="154">
        <f t="shared" si="5"/>
        <v>0</v>
      </c>
      <c r="M681" s="154">
        <f t="shared" si="4"/>
        <v>0</v>
      </c>
      <c r="N681" s="173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ht="15.75" customHeight="1">
      <c r="A682" s="10"/>
      <c r="B682" s="174"/>
      <c r="C682" s="6"/>
      <c r="D682" s="127"/>
      <c r="E682" s="127"/>
      <c r="F682" s="175"/>
      <c r="G682" s="26">
        <v>0.0</v>
      </c>
      <c r="H682" s="176"/>
      <c r="I682" s="154">
        <f t="shared" si="1"/>
        <v>0</v>
      </c>
      <c r="J682" s="141"/>
      <c r="K682" s="154">
        <f t="shared" si="2"/>
        <v>0</v>
      </c>
      <c r="L682" s="154">
        <f t="shared" si="5"/>
        <v>0</v>
      </c>
      <c r="M682" s="154">
        <f t="shared" si="4"/>
        <v>0</v>
      </c>
      <c r="N682" s="173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ht="15.75" customHeight="1">
      <c r="A683" s="10"/>
      <c r="B683" s="174"/>
      <c r="C683" s="6"/>
      <c r="D683" s="127"/>
      <c r="E683" s="127"/>
      <c r="F683" s="175"/>
      <c r="G683" s="26">
        <v>0.0</v>
      </c>
      <c r="H683" s="176"/>
      <c r="I683" s="154">
        <f t="shared" si="1"/>
        <v>0</v>
      </c>
      <c r="J683" s="141"/>
      <c r="K683" s="154">
        <f t="shared" si="2"/>
        <v>0</v>
      </c>
      <c r="L683" s="154">
        <f t="shared" si="5"/>
        <v>0</v>
      </c>
      <c r="M683" s="154">
        <f t="shared" si="4"/>
        <v>0</v>
      </c>
      <c r="N683" s="173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ht="15.75" customHeight="1">
      <c r="A684" s="10"/>
      <c r="B684" s="174"/>
      <c r="C684" s="6"/>
      <c r="D684" s="127"/>
      <c r="E684" s="127"/>
      <c r="F684" s="175"/>
      <c r="G684" s="26">
        <v>0.0</v>
      </c>
      <c r="H684" s="176"/>
      <c r="I684" s="154">
        <f t="shared" si="1"/>
        <v>0</v>
      </c>
      <c r="J684" s="141"/>
      <c r="K684" s="154">
        <f t="shared" si="2"/>
        <v>0</v>
      </c>
      <c r="L684" s="154">
        <f t="shared" si="5"/>
        <v>0</v>
      </c>
      <c r="M684" s="154">
        <f t="shared" si="4"/>
        <v>0</v>
      </c>
      <c r="N684" s="173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ht="15.75" customHeight="1">
      <c r="A685" s="10"/>
      <c r="B685" s="174"/>
      <c r="C685" s="6"/>
      <c r="D685" s="127"/>
      <c r="E685" s="127"/>
      <c r="F685" s="175"/>
      <c r="G685" s="26">
        <v>0.0</v>
      </c>
      <c r="H685" s="176"/>
      <c r="I685" s="154">
        <f t="shared" si="1"/>
        <v>0</v>
      </c>
      <c r="J685" s="141"/>
      <c r="K685" s="154">
        <f t="shared" si="2"/>
        <v>0</v>
      </c>
      <c r="L685" s="154">
        <f t="shared" si="5"/>
        <v>0</v>
      </c>
      <c r="M685" s="154">
        <f t="shared" si="4"/>
        <v>0</v>
      </c>
      <c r="N685" s="173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ht="15.75" customHeight="1">
      <c r="A686" s="10"/>
      <c r="B686" s="174"/>
      <c r="C686" s="6"/>
      <c r="D686" s="127"/>
      <c r="E686" s="127"/>
      <c r="F686" s="175"/>
      <c r="G686" s="26">
        <v>0.0</v>
      </c>
      <c r="H686" s="176"/>
      <c r="I686" s="154">
        <f t="shared" si="1"/>
        <v>0</v>
      </c>
      <c r="J686" s="141"/>
      <c r="K686" s="154">
        <f t="shared" si="2"/>
        <v>0</v>
      </c>
      <c r="L686" s="154">
        <f t="shared" si="5"/>
        <v>0</v>
      </c>
      <c r="M686" s="154">
        <f t="shared" si="4"/>
        <v>0</v>
      </c>
      <c r="N686" s="173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ht="15.75" customHeight="1">
      <c r="A687" s="10"/>
      <c r="B687" s="174"/>
      <c r="C687" s="6"/>
      <c r="D687" s="127"/>
      <c r="E687" s="127"/>
      <c r="F687" s="175"/>
      <c r="G687" s="26">
        <v>0.0</v>
      </c>
      <c r="H687" s="176"/>
      <c r="I687" s="154">
        <f t="shared" si="1"/>
        <v>0</v>
      </c>
      <c r="J687" s="141"/>
      <c r="K687" s="154">
        <f t="shared" si="2"/>
        <v>0</v>
      </c>
      <c r="L687" s="154">
        <f t="shared" si="5"/>
        <v>0</v>
      </c>
      <c r="M687" s="154">
        <f t="shared" si="4"/>
        <v>0</v>
      </c>
      <c r="N687" s="173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ht="15.75" customHeight="1">
      <c r="A688" s="10"/>
      <c r="B688" s="174"/>
      <c r="C688" s="6"/>
      <c r="D688" s="127"/>
      <c r="E688" s="127"/>
      <c r="F688" s="175"/>
      <c r="G688" s="26">
        <v>0.0</v>
      </c>
      <c r="H688" s="176"/>
      <c r="I688" s="154">
        <f t="shared" si="1"/>
        <v>0</v>
      </c>
      <c r="J688" s="141"/>
      <c r="K688" s="154">
        <f t="shared" si="2"/>
        <v>0</v>
      </c>
      <c r="L688" s="154">
        <f t="shared" si="5"/>
        <v>0</v>
      </c>
      <c r="M688" s="154">
        <f t="shared" si="4"/>
        <v>0</v>
      </c>
      <c r="N688" s="173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ht="15.75" customHeight="1">
      <c r="A689" s="10"/>
      <c r="B689" s="174"/>
      <c r="C689" s="6"/>
      <c r="D689" s="127"/>
      <c r="E689" s="127"/>
      <c r="F689" s="175"/>
      <c r="G689" s="26">
        <v>0.0</v>
      </c>
      <c r="H689" s="176"/>
      <c r="I689" s="154">
        <f t="shared" si="1"/>
        <v>0</v>
      </c>
      <c r="J689" s="141"/>
      <c r="K689" s="154">
        <f t="shared" si="2"/>
        <v>0</v>
      </c>
      <c r="L689" s="154">
        <f t="shared" si="5"/>
        <v>0</v>
      </c>
      <c r="M689" s="154">
        <f t="shared" si="4"/>
        <v>0</v>
      </c>
      <c r="N689" s="173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ht="15.75" customHeight="1">
      <c r="A690" s="10"/>
      <c r="B690" s="174"/>
      <c r="C690" s="6"/>
      <c r="D690" s="127"/>
      <c r="E690" s="127"/>
      <c r="F690" s="175"/>
      <c r="G690" s="26">
        <v>0.0</v>
      </c>
      <c r="H690" s="176"/>
      <c r="I690" s="154">
        <f t="shared" si="1"/>
        <v>0</v>
      </c>
      <c r="J690" s="141"/>
      <c r="K690" s="154">
        <f t="shared" si="2"/>
        <v>0</v>
      </c>
      <c r="L690" s="154">
        <f t="shared" si="5"/>
        <v>0</v>
      </c>
      <c r="M690" s="154">
        <f t="shared" si="4"/>
        <v>0</v>
      </c>
      <c r="N690" s="173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ht="15.75" customHeight="1">
      <c r="A691" s="10"/>
      <c r="B691" s="174"/>
      <c r="C691" s="6"/>
      <c r="D691" s="127"/>
      <c r="E691" s="127"/>
      <c r="F691" s="175"/>
      <c r="G691" s="26">
        <v>0.0</v>
      </c>
      <c r="H691" s="176"/>
      <c r="I691" s="154">
        <f t="shared" si="1"/>
        <v>0</v>
      </c>
      <c r="J691" s="141"/>
      <c r="K691" s="154">
        <f t="shared" si="2"/>
        <v>0</v>
      </c>
      <c r="L691" s="154">
        <f t="shared" si="5"/>
        <v>0</v>
      </c>
      <c r="M691" s="154">
        <f t="shared" si="4"/>
        <v>0</v>
      </c>
      <c r="N691" s="173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ht="15.75" customHeight="1">
      <c r="A692" s="10"/>
      <c r="B692" s="174"/>
      <c r="C692" s="6"/>
      <c r="D692" s="127"/>
      <c r="E692" s="127"/>
      <c r="F692" s="175"/>
      <c r="G692" s="26">
        <v>0.0</v>
      </c>
      <c r="H692" s="176"/>
      <c r="I692" s="154">
        <f t="shared" si="1"/>
        <v>0</v>
      </c>
      <c r="J692" s="141"/>
      <c r="K692" s="154">
        <f t="shared" si="2"/>
        <v>0</v>
      </c>
      <c r="L692" s="154">
        <f t="shared" si="5"/>
        <v>0</v>
      </c>
      <c r="M692" s="154">
        <f t="shared" si="4"/>
        <v>0</v>
      </c>
      <c r="N692" s="173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ht="15.75" customHeight="1">
      <c r="A693" s="10"/>
      <c r="B693" s="174"/>
      <c r="C693" s="6"/>
      <c r="D693" s="127"/>
      <c r="E693" s="127"/>
      <c r="F693" s="175"/>
      <c r="G693" s="26">
        <v>0.0</v>
      </c>
      <c r="H693" s="176"/>
      <c r="I693" s="154">
        <f t="shared" si="1"/>
        <v>0</v>
      </c>
      <c r="J693" s="141"/>
      <c r="K693" s="154">
        <f t="shared" si="2"/>
        <v>0</v>
      </c>
      <c r="L693" s="154">
        <f t="shared" si="5"/>
        <v>0</v>
      </c>
      <c r="M693" s="154">
        <f t="shared" si="4"/>
        <v>0</v>
      </c>
      <c r="N693" s="173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ht="15.75" customHeight="1">
      <c r="A694" s="10"/>
      <c r="B694" s="174"/>
      <c r="C694" s="6"/>
      <c r="D694" s="127"/>
      <c r="E694" s="127"/>
      <c r="F694" s="175"/>
      <c r="G694" s="26">
        <v>0.0</v>
      </c>
      <c r="H694" s="176"/>
      <c r="I694" s="154">
        <f t="shared" si="1"/>
        <v>0</v>
      </c>
      <c r="J694" s="141"/>
      <c r="K694" s="154">
        <f t="shared" si="2"/>
        <v>0</v>
      </c>
      <c r="L694" s="154">
        <f t="shared" si="5"/>
        <v>0</v>
      </c>
      <c r="M694" s="154">
        <f t="shared" si="4"/>
        <v>0</v>
      </c>
      <c r="N694" s="173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ht="15.75" customHeight="1">
      <c r="A695" s="10"/>
      <c r="B695" s="174"/>
      <c r="C695" s="6"/>
      <c r="D695" s="127"/>
      <c r="E695" s="127"/>
      <c r="F695" s="175"/>
      <c r="G695" s="26">
        <v>0.0</v>
      </c>
      <c r="H695" s="176"/>
      <c r="I695" s="154">
        <f t="shared" si="1"/>
        <v>0</v>
      </c>
      <c r="J695" s="141"/>
      <c r="K695" s="154">
        <f t="shared" si="2"/>
        <v>0</v>
      </c>
      <c r="L695" s="154">
        <f t="shared" si="5"/>
        <v>0</v>
      </c>
      <c r="M695" s="154">
        <f t="shared" si="4"/>
        <v>0</v>
      </c>
      <c r="N695" s="173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ht="15.75" customHeight="1">
      <c r="A696" s="10"/>
      <c r="B696" s="174"/>
      <c r="C696" s="6"/>
      <c r="D696" s="127"/>
      <c r="E696" s="127"/>
      <c r="F696" s="175"/>
      <c r="G696" s="26">
        <v>0.0</v>
      </c>
      <c r="H696" s="176"/>
      <c r="I696" s="154">
        <f t="shared" si="1"/>
        <v>0</v>
      </c>
      <c r="J696" s="141"/>
      <c r="K696" s="154">
        <f t="shared" si="2"/>
        <v>0</v>
      </c>
      <c r="L696" s="154">
        <f t="shared" si="5"/>
        <v>0</v>
      </c>
      <c r="M696" s="154">
        <f t="shared" si="4"/>
        <v>0</v>
      </c>
      <c r="N696" s="173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ht="15.75" customHeight="1">
      <c r="A697" s="10"/>
      <c r="B697" s="174"/>
      <c r="C697" s="6"/>
      <c r="D697" s="127"/>
      <c r="E697" s="127"/>
      <c r="F697" s="175"/>
      <c r="G697" s="26">
        <v>0.0</v>
      </c>
      <c r="H697" s="176"/>
      <c r="I697" s="154">
        <f t="shared" si="1"/>
        <v>0</v>
      </c>
      <c r="J697" s="141"/>
      <c r="K697" s="154">
        <f t="shared" si="2"/>
        <v>0</v>
      </c>
      <c r="L697" s="154">
        <f t="shared" si="5"/>
        <v>0</v>
      </c>
      <c r="M697" s="154">
        <f t="shared" si="4"/>
        <v>0</v>
      </c>
      <c r="N697" s="173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ht="15.75" customHeight="1">
      <c r="A698" s="10"/>
      <c r="B698" s="174"/>
      <c r="C698" s="6"/>
      <c r="D698" s="127"/>
      <c r="E698" s="127"/>
      <c r="F698" s="175"/>
      <c r="G698" s="26">
        <v>0.0</v>
      </c>
      <c r="H698" s="176"/>
      <c r="I698" s="154">
        <f t="shared" si="1"/>
        <v>0</v>
      </c>
      <c r="J698" s="141"/>
      <c r="K698" s="154">
        <f t="shared" si="2"/>
        <v>0</v>
      </c>
      <c r="L698" s="154">
        <f t="shared" si="5"/>
        <v>0</v>
      </c>
      <c r="M698" s="154">
        <f t="shared" si="4"/>
        <v>0</v>
      </c>
      <c r="N698" s="173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ht="15.75" customHeight="1">
      <c r="A699" s="10"/>
      <c r="B699" s="174"/>
      <c r="C699" s="6"/>
      <c r="D699" s="127"/>
      <c r="E699" s="127"/>
      <c r="F699" s="175"/>
      <c r="G699" s="26">
        <v>0.0</v>
      </c>
      <c r="H699" s="176"/>
      <c r="I699" s="154">
        <f t="shared" si="1"/>
        <v>0</v>
      </c>
      <c r="J699" s="141"/>
      <c r="K699" s="154">
        <f t="shared" si="2"/>
        <v>0</v>
      </c>
      <c r="L699" s="154">
        <f t="shared" si="5"/>
        <v>0</v>
      </c>
      <c r="M699" s="154">
        <f t="shared" si="4"/>
        <v>0</v>
      </c>
      <c r="N699" s="173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ht="15.75" customHeight="1">
      <c r="A700" s="10"/>
      <c r="B700" s="174"/>
      <c r="C700" s="6"/>
      <c r="D700" s="127"/>
      <c r="E700" s="127"/>
      <c r="F700" s="175"/>
      <c r="G700" s="26">
        <v>0.0</v>
      </c>
      <c r="H700" s="176"/>
      <c r="I700" s="154">
        <f t="shared" si="1"/>
        <v>0</v>
      </c>
      <c r="J700" s="141"/>
      <c r="K700" s="154">
        <f t="shared" si="2"/>
        <v>0</v>
      </c>
      <c r="L700" s="154">
        <f t="shared" si="5"/>
        <v>0</v>
      </c>
      <c r="M700" s="154">
        <f t="shared" si="4"/>
        <v>0</v>
      </c>
      <c r="N700" s="173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ht="15.75" customHeight="1">
      <c r="A701" s="10"/>
      <c r="B701" s="174"/>
      <c r="C701" s="6"/>
      <c r="D701" s="127"/>
      <c r="E701" s="127"/>
      <c r="F701" s="175"/>
      <c r="G701" s="26">
        <v>0.0</v>
      </c>
      <c r="H701" s="176"/>
      <c r="I701" s="154">
        <f t="shared" si="1"/>
        <v>0</v>
      </c>
      <c r="J701" s="141"/>
      <c r="K701" s="154">
        <f t="shared" si="2"/>
        <v>0</v>
      </c>
      <c r="L701" s="154">
        <f t="shared" si="5"/>
        <v>0</v>
      </c>
      <c r="M701" s="154">
        <f t="shared" si="4"/>
        <v>0</v>
      </c>
      <c r="N701" s="173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ht="15.75" customHeight="1">
      <c r="A702" s="10"/>
      <c r="B702" s="174"/>
      <c r="C702" s="6"/>
      <c r="D702" s="127"/>
      <c r="E702" s="127"/>
      <c r="F702" s="175"/>
      <c r="G702" s="26">
        <v>0.0</v>
      </c>
      <c r="H702" s="176"/>
      <c r="I702" s="154">
        <f t="shared" si="1"/>
        <v>0</v>
      </c>
      <c r="J702" s="141"/>
      <c r="K702" s="154">
        <f t="shared" si="2"/>
        <v>0</v>
      </c>
      <c r="L702" s="154">
        <f t="shared" si="5"/>
        <v>0</v>
      </c>
      <c r="M702" s="154">
        <f t="shared" si="4"/>
        <v>0</v>
      </c>
      <c r="N702" s="173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ht="15.75" customHeight="1">
      <c r="A703" s="10"/>
      <c r="B703" s="174"/>
      <c r="C703" s="6"/>
      <c r="D703" s="127"/>
      <c r="E703" s="127"/>
      <c r="F703" s="175"/>
      <c r="G703" s="26">
        <v>0.0</v>
      </c>
      <c r="H703" s="176"/>
      <c r="I703" s="154">
        <f t="shared" si="1"/>
        <v>0</v>
      </c>
      <c r="J703" s="141"/>
      <c r="K703" s="154">
        <f t="shared" si="2"/>
        <v>0</v>
      </c>
      <c r="L703" s="154">
        <f t="shared" si="5"/>
        <v>0</v>
      </c>
      <c r="M703" s="154">
        <f t="shared" si="4"/>
        <v>0</v>
      </c>
      <c r="N703" s="173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ht="15.75" customHeight="1">
      <c r="A704" s="10"/>
      <c r="B704" s="174"/>
      <c r="C704" s="6"/>
      <c r="D704" s="127"/>
      <c r="E704" s="127"/>
      <c r="F704" s="175"/>
      <c r="G704" s="26">
        <v>0.0</v>
      </c>
      <c r="H704" s="176"/>
      <c r="I704" s="154">
        <f t="shared" si="1"/>
        <v>0</v>
      </c>
      <c r="J704" s="141"/>
      <c r="K704" s="154">
        <f t="shared" si="2"/>
        <v>0</v>
      </c>
      <c r="L704" s="154">
        <f t="shared" si="5"/>
        <v>0</v>
      </c>
      <c r="M704" s="154">
        <f t="shared" si="4"/>
        <v>0</v>
      </c>
      <c r="N704" s="173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ht="15.75" customHeight="1">
      <c r="A705" s="10"/>
      <c r="B705" s="174"/>
      <c r="C705" s="6"/>
      <c r="D705" s="127"/>
      <c r="E705" s="127"/>
      <c r="F705" s="175"/>
      <c r="G705" s="26">
        <v>0.0</v>
      </c>
      <c r="H705" s="176"/>
      <c r="I705" s="154">
        <f t="shared" si="1"/>
        <v>0</v>
      </c>
      <c r="J705" s="141"/>
      <c r="K705" s="154">
        <f t="shared" si="2"/>
        <v>0</v>
      </c>
      <c r="L705" s="154">
        <f t="shared" si="5"/>
        <v>0</v>
      </c>
      <c r="M705" s="154">
        <f t="shared" si="4"/>
        <v>0</v>
      </c>
      <c r="N705" s="173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ht="15.75" customHeight="1">
      <c r="A706" s="10"/>
      <c r="B706" s="174"/>
      <c r="C706" s="6"/>
      <c r="D706" s="127"/>
      <c r="E706" s="127"/>
      <c r="F706" s="175"/>
      <c r="G706" s="26">
        <v>0.0</v>
      </c>
      <c r="H706" s="176"/>
      <c r="I706" s="154">
        <f t="shared" si="1"/>
        <v>0</v>
      </c>
      <c r="J706" s="141"/>
      <c r="K706" s="154">
        <f t="shared" si="2"/>
        <v>0</v>
      </c>
      <c r="L706" s="154">
        <f t="shared" si="5"/>
        <v>0</v>
      </c>
      <c r="M706" s="154">
        <f t="shared" si="4"/>
        <v>0</v>
      </c>
      <c r="N706" s="173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ht="15.75" customHeight="1">
      <c r="A707" s="10"/>
      <c r="B707" s="174"/>
      <c r="C707" s="6"/>
      <c r="D707" s="127"/>
      <c r="E707" s="127"/>
      <c r="F707" s="175"/>
      <c r="G707" s="26">
        <v>0.0</v>
      </c>
      <c r="H707" s="176"/>
      <c r="I707" s="154">
        <f t="shared" si="1"/>
        <v>0</v>
      </c>
      <c r="J707" s="141"/>
      <c r="K707" s="154">
        <f t="shared" si="2"/>
        <v>0</v>
      </c>
      <c r="L707" s="154">
        <f t="shared" si="5"/>
        <v>0</v>
      </c>
      <c r="M707" s="154">
        <f t="shared" si="4"/>
        <v>0</v>
      </c>
      <c r="N707" s="173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ht="15.75" customHeight="1">
      <c r="A708" s="10"/>
      <c r="B708" s="174"/>
      <c r="C708" s="6"/>
      <c r="D708" s="127"/>
      <c r="E708" s="127"/>
      <c r="F708" s="175"/>
      <c r="G708" s="26">
        <v>0.0</v>
      </c>
      <c r="H708" s="176"/>
      <c r="I708" s="154">
        <f t="shared" si="1"/>
        <v>0</v>
      </c>
      <c r="J708" s="141"/>
      <c r="K708" s="154">
        <f t="shared" si="2"/>
        <v>0</v>
      </c>
      <c r="L708" s="154">
        <f t="shared" si="5"/>
        <v>0</v>
      </c>
      <c r="M708" s="154">
        <f t="shared" si="4"/>
        <v>0</v>
      </c>
      <c r="N708" s="173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ht="15.75" customHeight="1">
      <c r="A709" s="10"/>
      <c r="B709" s="174"/>
      <c r="C709" s="6"/>
      <c r="D709" s="127"/>
      <c r="E709" s="127"/>
      <c r="F709" s="175"/>
      <c r="G709" s="26">
        <v>0.0</v>
      </c>
      <c r="H709" s="176"/>
      <c r="I709" s="154">
        <f t="shared" si="1"/>
        <v>0</v>
      </c>
      <c r="J709" s="141"/>
      <c r="K709" s="154">
        <f t="shared" si="2"/>
        <v>0</v>
      </c>
      <c r="L709" s="154">
        <f t="shared" si="5"/>
        <v>0</v>
      </c>
      <c r="M709" s="154">
        <f t="shared" si="4"/>
        <v>0</v>
      </c>
      <c r="N709" s="173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ht="15.75" customHeight="1">
      <c r="A710" s="10"/>
      <c r="B710" s="174"/>
      <c r="C710" s="6"/>
      <c r="D710" s="127"/>
      <c r="E710" s="127"/>
      <c r="F710" s="175"/>
      <c r="G710" s="26">
        <v>0.0</v>
      </c>
      <c r="H710" s="176"/>
      <c r="I710" s="154">
        <f t="shared" si="1"/>
        <v>0</v>
      </c>
      <c r="J710" s="141"/>
      <c r="K710" s="154">
        <f t="shared" si="2"/>
        <v>0</v>
      </c>
      <c r="L710" s="154">
        <f t="shared" si="5"/>
        <v>0</v>
      </c>
      <c r="M710" s="154">
        <f t="shared" si="4"/>
        <v>0</v>
      </c>
      <c r="N710" s="173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ht="15.75" customHeight="1">
      <c r="A711" s="10"/>
      <c r="B711" s="174"/>
      <c r="C711" s="6"/>
      <c r="D711" s="127"/>
      <c r="E711" s="127"/>
      <c r="F711" s="175"/>
      <c r="G711" s="26">
        <v>0.0</v>
      </c>
      <c r="H711" s="176"/>
      <c r="I711" s="154">
        <f t="shared" si="1"/>
        <v>0</v>
      </c>
      <c r="J711" s="141"/>
      <c r="K711" s="154">
        <f t="shared" si="2"/>
        <v>0</v>
      </c>
      <c r="L711" s="154">
        <f t="shared" si="5"/>
        <v>0</v>
      </c>
      <c r="M711" s="154">
        <f t="shared" si="4"/>
        <v>0</v>
      </c>
      <c r="N711" s="173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ht="15.75" customHeight="1">
      <c r="A712" s="10"/>
      <c r="B712" s="174"/>
      <c r="C712" s="6"/>
      <c r="D712" s="127"/>
      <c r="E712" s="127"/>
      <c r="F712" s="175"/>
      <c r="G712" s="26">
        <v>0.0</v>
      </c>
      <c r="H712" s="176"/>
      <c r="I712" s="154">
        <f t="shared" si="1"/>
        <v>0</v>
      </c>
      <c r="J712" s="141"/>
      <c r="K712" s="154">
        <f t="shared" si="2"/>
        <v>0</v>
      </c>
      <c r="L712" s="154">
        <f t="shared" si="5"/>
        <v>0</v>
      </c>
      <c r="M712" s="154">
        <f t="shared" si="4"/>
        <v>0</v>
      </c>
      <c r="N712" s="173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ht="15.75" customHeight="1">
      <c r="A713" s="10"/>
      <c r="B713" s="174"/>
      <c r="C713" s="6"/>
      <c r="D713" s="127"/>
      <c r="E713" s="127"/>
      <c r="F713" s="175"/>
      <c r="G713" s="26">
        <v>0.0</v>
      </c>
      <c r="H713" s="176"/>
      <c r="I713" s="154">
        <f t="shared" si="1"/>
        <v>0</v>
      </c>
      <c r="J713" s="141"/>
      <c r="K713" s="154">
        <f t="shared" si="2"/>
        <v>0</v>
      </c>
      <c r="L713" s="154">
        <f t="shared" si="5"/>
        <v>0</v>
      </c>
      <c r="M713" s="154">
        <f t="shared" si="4"/>
        <v>0</v>
      </c>
      <c r="N713" s="173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ht="15.75" customHeight="1">
      <c r="A714" s="10"/>
      <c r="B714" s="174"/>
      <c r="C714" s="6"/>
      <c r="D714" s="127"/>
      <c r="E714" s="127"/>
      <c r="F714" s="175"/>
      <c r="G714" s="26">
        <v>0.0</v>
      </c>
      <c r="H714" s="176"/>
      <c r="I714" s="154">
        <f t="shared" si="1"/>
        <v>0</v>
      </c>
      <c r="J714" s="141"/>
      <c r="K714" s="154">
        <f t="shared" si="2"/>
        <v>0</v>
      </c>
      <c r="L714" s="154">
        <f t="shared" si="5"/>
        <v>0</v>
      </c>
      <c r="M714" s="154">
        <f t="shared" si="4"/>
        <v>0</v>
      </c>
      <c r="N714" s="173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ht="15.75" customHeight="1">
      <c r="A715" s="10"/>
      <c r="B715" s="174"/>
      <c r="C715" s="6"/>
      <c r="D715" s="127"/>
      <c r="E715" s="127"/>
      <c r="F715" s="175"/>
      <c r="G715" s="26">
        <v>0.0</v>
      </c>
      <c r="H715" s="176"/>
      <c r="I715" s="154">
        <f t="shared" si="1"/>
        <v>0</v>
      </c>
      <c r="J715" s="141"/>
      <c r="K715" s="154">
        <f t="shared" si="2"/>
        <v>0</v>
      </c>
      <c r="L715" s="154">
        <f t="shared" si="5"/>
        <v>0</v>
      </c>
      <c r="M715" s="154">
        <f t="shared" si="4"/>
        <v>0</v>
      </c>
      <c r="N715" s="173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ht="15.75" customHeight="1">
      <c r="A716" s="10"/>
      <c r="B716" s="174"/>
      <c r="C716" s="6"/>
      <c r="D716" s="127"/>
      <c r="E716" s="127"/>
      <c r="F716" s="175"/>
      <c r="G716" s="26">
        <v>0.0</v>
      </c>
      <c r="H716" s="176"/>
      <c r="I716" s="154">
        <f t="shared" si="1"/>
        <v>0</v>
      </c>
      <c r="J716" s="141"/>
      <c r="K716" s="154">
        <f t="shared" si="2"/>
        <v>0</v>
      </c>
      <c r="L716" s="154">
        <f t="shared" si="5"/>
        <v>0</v>
      </c>
      <c r="M716" s="154">
        <f t="shared" si="4"/>
        <v>0</v>
      </c>
      <c r="N716" s="173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ht="15.75" customHeight="1">
      <c r="A717" s="10"/>
      <c r="B717" s="174"/>
      <c r="C717" s="6"/>
      <c r="D717" s="127"/>
      <c r="E717" s="127"/>
      <c r="F717" s="175"/>
      <c r="G717" s="26">
        <v>0.0</v>
      </c>
      <c r="H717" s="176"/>
      <c r="I717" s="154">
        <f t="shared" si="1"/>
        <v>0</v>
      </c>
      <c r="J717" s="141"/>
      <c r="K717" s="154">
        <f t="shared" si="2"/>
        <v>0</v>
      </c>
      <c r="L717" s="154">
        <f t="shared" si="5"/>
        <v>0</v>
      </c>
      <c r="M717" s="154">
        <f t="shared" si="4"/>
        <v>0</v>
      </c>
      <c r="N717" s="173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ht="15.75" customHeight="1">
      <c r="A718" s="10"/>
      <c r="B718" s="174"/>
      <c r="C718" s="6"/>
      <c r="D718" s="127"/>
      <c r="E718" s="127"/>
      <c r="F718" s="175"/>
      <c r="G718" s="26">
        <v>0.0</v>
      </c>
      <c r="H718" s="176"/>
      <c r="I718" s="154">
        <f t="shared" si="1"/>
        <v>0</v>
      </c>
      <c r="J718" s="141"/>
      <c r="K718" s="154">
        <f t="shared" si="2"/>
        <v>0</v>
      </c>
      <c r="L718" s="154">
        <f t="shared" si="5"/>
        <v>0</v>
      </c>
      <c r="M718" s="154">
        <f t="shared" si="4"/>
        <v>0</v>
      </c>
      <c r="N718" s="173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ht="15.75" customHeight="1">
      <c r="A719" s="10"/>
      <c r="B719" s="174"/>
      <c r="C719" s="6"/>
      <c r="D719" s="127"/>
      <c r="E719" s="127"/>
      <c r="F719" s="175"/>
      <c r="G719" s="26">
        <v>0.0</v>
      </c>
      <c r="H719" s="176"/>
      <c r="I719" s="154">
        <f t="shared" si="1"/>
        <v>0</v>
      </c>
      <c r="J719" s="141"/>
      <c r="K719" s="154">
        <f t="shared" si="2"/>
        <v>0</v>
      </c>
      <c r="L719" s="154">
        <f t="shared" si="5"/>
        <v>0</v>
      </c>
      <c r="M719" s="154">
        <f t="shared" si="4"/>
        <v>0</v>
      </c>
      <c r="N719" s="173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ht="15.75" customHeight="1">
      <c r="A720" s="10"/>
      <c r="B720" s="174"/>
      <c r="C720" s="6"/>
      <c r="D720" s="127"/>
      <c r="E720" s="127"/>
      <c r="F720" s="175"/>
      <c r="G720" s="26">
        <v>0.0</v>
      </c>
      <c r="H720" s="176"/>
      <c r="I720" s="154">
        <f t="shared" si="1"/>
        <v>0</v>
      </c>
      <c r="J720" s="141"/>
      <c r="K720" s="154">
        <f t="shared" si="2"/>
        <v>0</v>
      </c>
      <c r="L720" s="154">
        <f t="shared" si="5"/>
        <v>0</v>
      </c>
      <c r="M720" s="154">
        <f t="shared" si="4"/>
        <v>0</v>
      </c>
      <c r="N720" s="173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ht="15.75" customHeight="1">
      <c r="A721" s="10"/>
      <c r="B721" s="174"/>
      <c r="C721" s="6"/>
      <c r="D721" s="127"/>
      <c r="E721" s="127"/>
      <c r="F721" s="175"/>
      <c r="G721" s="26">
        <v>0.0</v>
      </c>
      <c r="H721" s="176"/>
      <c r="I721" s="154">
        <f t="shared" si="1"/>
        <v>0</v>
      </c>
      <c r="J721" s="141"/>
      <c r="K721" s="154">
        <f t="shared" si="2"/>
        <v>0</v>
      </c>
      <c r="L721" s="154">
        <f t="shared" si="5"/>
        <v>0</v>
      </c>
      <c r="M721" s="154">
        <f t="shared" si="4"/>
        <v>0</v>
      </c>
      <c r="N721" s="173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ht="15.75" customHeight="1">
      <c r="A722" s="10"/>
      <c r="B722" s="174"/>
      <c r="C722" s="6"/>
      <c r="D722" s="127"/>
      <c r="E722" s="127"/>
      <c r="F722" s="175"/>
      <c r="G722" s="26">
        <v>0.0</v>
      </c>
      <c r="H722" s="176"/>
      <c r="I722" s="154">
        <f t="shared" si="1"/>
        <v>0</v>
      </c>
      <c r="J722" s="141"/>
      <c r="K722" s="154">
        <f t="shared" si="2"/>
        <v>0</v>
      </c>
      <c r="L722" s="154">
        <f t="shared" si="5"/>
        <v>0</v>
      </c>
      <c r="M722" s="154">
        <f t="shared" si="4"/>
        <v>0</v>
      </c>
      <c r="N722" s="173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ht="15.75" customHeight="1">
      <c r="A723" s="10"/>
      <c r="B723" s="174"/>
      <c r="C723" s="6"/>
      <c r="D723" s="127"/>
      <c r="E723" s="127"/>
      <c r="F723" s="175"/>
      <c r="G723" s="26">
        <v>0.0</v>
      </c>
      <c r="H723" s="176"/>
      <c r="I723" s="154">
        <f t="shared" si="1"/>
        <v>0</v>
      </c>
      <c r="J723" s="141"/>
      <c r="K723" s="154">
        <f t="shared" si="2"/>
        <v>0</v>
      </c>
      <c r="L723" s="154">
        <f t="shared" si="5"/>
        <v>0</v>
      </c>
      <c r="M723" s="154">
        <f t="shared" si="4"/>
        <v>0</v>
      </c>
      <c r="N723" s="173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ht="15.75" customHeight="1">
      <c r="A724" s="10"/>
      <c r="B724" s="174"/>
      <c r="C724" s="6"/>
      <c r="D724" s="127"/>
      <c r="E724" s="127"/>
      <c r="F724" s="175"/>
      <c r="G724" s="26">
        <v>0.0</v>
      </c>
      <c r="H724" s="176"/>
      <c r="I724" s="154">
        <f t="shared" si="1"/>
        <v>0</v>
      </c>
      <c r="J724" s="141"/>
      <c r="K724" s="154">
        <f t="shared" si="2"/>
        <v>0</v>
      </c>
      <c r="L724" s="154">
        <f t="shared" si="5"/>
        <v>0</v>
      </c>
      <c r="M724" s="154">
        <f t="shared" si="4"/>
        <v>0</v>
      </c>
      <c r="N724" s="173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ht="15.75" customHeight="1">
      <c r="A725" s="10"/>
      <c r="B725" s="174"/>
      <c r="C725" s="6"/>
      <c r="D725" s="127"/>
      <c r="E725" s="127"/>
      <c r="F725" s="175"/>
      <c r="G725" s="26">
        <v>0.0</v>
      </c>
      <c r="H725" s="176"/>
      <c r="I725" s="154">
        <f t="shared" si="1"/>
        <v>0</v>
      </c>
      <c r="J725" s="141"/>
      <c r="K725" s="154">
        <f t="shared" si="2"/>
        <v>0</v>
      </c>
      <c r="L725" s="154">
        <f t="shared" si="5"/>
        <v>0</v>
      </c>
      <c r="M725" s="154">
        <f t="shared" si="4"/>
        <v>0</v>
      </c>
      <c r="N725" s="173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ht="15.75" customHeight="1">
      <c r="A726" s="10"/>
      <c r="B726" s="174"/>
      <c r="C726" s="6"/>
      <c r="D726" s="127"/>
      <c r="E726" s="127"/>
      <c r="F726" s="175"/>
      <c r="G726" s="26">
        <v>0.0</v>
      </c>
      <c r="H726" s="176"/>
      <c r="I726" s="154">
        <f t="shared" si="1"/>
        <v>0</v>
      </c>
      <c r="J726" s="141"/>
      <c r="K726" s="154">
        <f t="shared" si="2"/>
        <v>0</v>
      </c>
      <c r="L726" s="154">
        <f t="shared" si="5"/>
        <v>0</v>
      </c>
      <c r="M726" s="154">
        <f t="shared" si="4"/>
        <v>0</v>
      </c>
      <c r="N726" s="173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ht="15.75" customHeight="1">
      <c r="A727" s="10"/>
      <c r="B727" s="174"/>
      <c r="C727" s="6"/>
      <c r="D727" s="127"/>
      <c r="E727" s="127"/>
      <c r="F727" s="175"/>
      <c r="G727" s="26">
        <v>0.0</v>
      </c>
      <c r="H727" s="176"/>
      <c r="I727" s="154">
        <f t="shared" si="1"/>
        <v>0</v>
      </c>
      <c r="J727" s="141"/>
      <c r="K727" s="154">
        <f t="shared" si="2"/>
        <v>0</v>
      </c>
      <c r="L727" s="154">
        <f t="shared" si="5"/>
        <v>0</v>
      </c>
      <c r="M727" s="154">
        <f t="shared" si="4"/>
        <v>0</v>
      </c>
      <c r="N727" s="173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ht="15.75" customHeight="1">
      <c r="A728" s="10"/>
      <c r="B728" s="174"/>
      <c r="C728" s="6"/>
      <c r="D728" s="127"/>
      <c r="E728" s="127"/>
      <c r="F728" s="175"/>
      <c r="G728" s="26">
        <v>0.0</v>
      </c>
      <c r="H728" s="176"/>
      <c r="I728" s="154">
        <f t="shared" si="1"/>
        <v>0</v>
      </c>
      <c r="J728" s="141"/>
      <c r="K728" s="154">
        <f t="shared" si="2"/>
        <v>0</v>
      </c>
      <c r="L728" s="154">
        <f t="shared" si="5"/>
        <v>0</v>
      </c>
      <c r="M728" s="154">
        <f t="shared" si="4"/>
        <v>0</v>
      </c>
      <c r="N728" s="173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ht="15.75" customHeight="1">
      <c r="A729" s="10"/>
      <c r="B729" s="174"/>
      <c r="C729" s="6"/>
      <c r="D729" s="127"/>
      <c r="E729" s="127"/>
      <c r="F729" s="175"/>
      <c r="G729" s="26">
        <v>0.0</v>
      </c>
      <c r="H729" s="176"/>
      <c r="I729" s="154">
        <f t="shared" si="1"/>
        <v>0</v>
      </c>
      <c r="J729" s="141"/>
      <c r="K729" s="154">
        <f t="shared" si="2"/>
        <v>0</v>
      </c>
      <c r="L729" s="154">
        <f t="shared" si="5"/>
        <v>0</v>
      </c>
      <c r="M729" s="154">
        <f t="shared" si="4"/>
        <v>0</v>
      </c>
      <c r="N729" s="173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ht="15.75" customHeight="1">
      <c r="A730" s="10"/>
      <c r="B730" s="174"/>
      <c r="C730" s="6"/>
      <c r="D730" s="127"/>
      <c r="E730" s="127"/>
      <c r="F730" s="175"/>
      <c r="G730" s="26">
        <v>0.0</v>
      </c>
      <c r="H730" s="176"/>
      <c r="I730" s="154">
        <f t="shared" si="1"/>
        <v>0</v>
      </c>
      <c r="J730" s="141"/>
      <c r="K730" s="154">
        <f t="shared" si="2"/>
        <v>0</v>
      </c>
      <c r="L730" s="154">
        <f t="shared" si="5"/>
        <v>0</v>
      </c>
      <c r="M730" s="154">
        <f t="shared" si="4"/>
        <v>0</v>
      </c>
      <c r="N730" s="173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ht="15.75" customHeight="1">
      <c r="A731" s="10"/>
      <c r="B731" s="174"/>
      <c r="C731" s="6"/>
      <c r="D731" s="127"/>
      <c r="E731" s="127"/>
      <c r="F731" s="175"/>
      <c r="G731" s="26">
        <v>0.0</v>
      </c>
      <c r="H731" s="176"/>
      <c r="I731" s="154">
        <f t="shared" si="1"/>
        <v>0</v>
      </c>
      <c r="J731" s="141"/>
      <c r="K731" s="154">
        <f t="shared" si="2"/>
        <v>0</v>
      </c>
      <c r="L731" s="154">
        <f t="shared" si="5"/>
        <v>0</v>
      </c>
      <c r="M731" s="154">
        <f t="shared" si="4"/>
        <v>0</v>
      </c>
      <c r="N731" s="173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ht="15.75" customHeight="1">
      <c r="A732" s="10"/>
      <c r="B732" s="174"/>
      <c r="C732" s="6"/>
      <c r="D732" s="127"/>
      <c r="E732" s="127"/>
      <c r="F732" s="175"/>
      <c r="G732" s="26">
        <v>0.0</v>
      </c>
      <c r="H732" s="176"/>
      <c r="I732" s="154">
        <f t="shared" si="1"/>
        <v>0</v>
      </c>
      <c r="J732" s="141"/>
      <c r="K732" s="154">
        <f t="shared" si="2"/>
        <v>0</v>
      </c>
      <c r="L732" s="154">
        <f t="shared" si="5"/>
        <v>0</v>
      </c>
      <c r="M732" s="154">
        <f t="shared" si="4"/>
        <v>0</v>
      </c>
      <c r="N732" s="173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ht="15.75" customHeight="1">
      <c r="A733" s="10"/>
      <c r="B733" s="174"/>
      <c r="C733" s="6"/>
      <c r="D733" s="127"/>
      <c r="E733" s="127"/>
      <c r="F733" s="175"/>
      <c r="G733" s="26">
        <v>0.0</v>
      </c>
      <c r="H733" s="176"/>
      <c r="I733" s="154">
        <f t="shared" si="1"/>
        <v>0</v>
      </c>
      <c r="J733" s="141"/>
      <c r="K733" s="154">
        <f t="shared" si="2"/>
        <v>0</v>
      </c>
      <c r="L733" s="154">
        <f t="shared" si="5"/>
        <v>0</v>
      </c>
      <c r="M733" s="154">
        <f t="shared" si="4"/>
        <v>0</v>
      </c>
      <c r="N733" s="173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ht="15.75" customHeight="1">
      <c r="A734" s="10"/>
      <c r="B734" s="174"/>
      <c r="C734" s="6"/>
      <c r="D734" s="127"/>
      <c r="E734" s="127"/>
      <c r="F734" s="175"/>
      <c r="G734" s="26">
        <v>0.0</v>
      </c>
      <c r="H734" s="176"/>
      <c r="I734" s="154">
        <f t="shared" si="1"/>
        <v>0</v>
      </c>
      <c r="J734" s="141"/>
      <c r="K734" s="154">
        <f t="shared" si="2"/>
        <v>0</v>
      </c>
      <c r="L734" s="154">
        <f t="shared" si="5"/>
        <v>0</v>
      </c>
      <c r="M734" s="154">
        <f t="shared" si="4"/>
        <v>0</v>
      </c>
      <c r="N734" s="173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ht="15.75" customHeight="1">
      <c r="A735" s="10"/>
      <c r="B735" s="174"/>
      <c r="C735" s="6"/>
      <c r="D735" s="127"/>
      <c r="E735" s="127"/>
      <c r="F735" s="175"/>
      <c r="G735" s="26">
        <v>0.0</v>
      </c>
      <c r="H735" s="176"/>
      <c r="I735" s="154">
        <f t="shared" si="1"/>
        <v>0</v>
      </c>
      <c r="J735" s="141"/>
      <c r="K735" s="154">
        <f t="shared" si="2"/>
        <v>0</v>
      </c>
      <c r="L735" s="154">
        <f t="shared" si="5"/>
        <v>0</v>
      </c>
      <c r="M735" s="154">
        <f t="shared" si="4"/>
        <v>0</v>
      </c>
      <c r="N735" s="173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ht="15.75" customHeight="1">
      <c r="A736" s="10"/>
      <c r="B736" s="174"/>
      <c r="C736" s="6"/>
      <c r="D736" s="127"/>
      <c r="E736" s="127"/>
      <c r="F736" s="175"/>
      <c r="G736" s="26">
        <v>0.0</v>
      </c>
      <c r="H736" s="176"/>
      <c r="I736" s="154">
        <f t="shared" si="1"/>
        <v>0</v>
      </c>
      <c r="J736" s="141"/>
      <c r="K736" s="154">
        <f t="shared" si="2"/>
        <v>0</v>
      </c>
      <c r="L736" s="154">
        <f t="shared" si="5"/>
        <v>0</v>
      </c>
      <c r="M736" s="154">
        <f t="shared" si="4"/>
        <v>0</v>
      </c>
      <c r="N736" s="173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ht="15.75" customHeight="1">
      <c r="A737" s="10"/>
      <c r="B737" s="174"/>
      <c r="C737" s="6"/>
      <c r="D737" s="127"/>
      <c r="E737" s="127"/>
      <c r="F737" s="175"/>
      <c r="G737" s="26">
        <v>0.0</v>
      </c>
      <c r="H737" s="176"/>
      <c r="I737" s="154">
        <f t="shared" si="1"/>
        <v>0</v>
      </c>
      <c r="J737" s="141"/>
      <c r="K737" s="154">
        <f t="shared" si="2"/>
        <v>0</v>
      </c>
      <c r="L737" s="154">
        <f t="shared" si="5"/>
        <v>0</v>
      </c>
      <c r="M737" s="154">
        <f t="shared" si="4"/>
        <v>0</v>
      </c>
      <c r="N737" s="173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ht="15.75" customHeight="1">
      <c r="A738" s="10"/>
      <c r="B738" s="174"/>
      <c r="C738" s="6"/>
      <c r="D738" s="127"/>
      <c r="E738" s="127"/>
      <c r="F738" s="175"/>
      <c r="G738" s="26">
        <v>0.0</v>
      </c>
      <c r="H738" s="176"/>
      <c r="I738" s="154">
        <f t="shared" si="1"/>
        <v>0</v>
      </c>
      <c r="J738" s="141"/>
      <c r="K738" s="154">
        <f t="shared" si="2"/>
        <v>0</v>
      </c>
      <c r="L738" s="154">
        <f t="shared" si="5"/>
        <v>0</v>
      </c>
      <c r="M738" s="154">
        <f t="shared" si="4"/>
        <v>0</v>
      </c>
      <c r="N738" s="173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ht="15.75" customHeight="1">
      <c r="A739" s="10"/>
      <c r="B739" s="174"/>
      <c r="C739" s="6"/>
      <c r="D739" s="127"/>
      <c r="E739" s="127"/>
      <c r="F739" s="175"/>
      <c r="G739" s="26">
        <v>0.0</v>
      </c>
      <c r="H739" s="176"/>
      <c r="I739" s="154">
        <f t="shared" si="1"/>
        <v>0</v>
      </c>
      <c r="J739" s="141"/>
      <c r="K739" s="154">
        <f t="shared" si="2"/>
        <v>0</v>
      </c>
      <c r="L739" s="154">
        <f t="shared" si="5"/>
        <v>0</v>
      </c>
      <c r="M739" s="154">
        <f t="shared" si="4"/>
        <v>0</v>
      </c>
      <c r="N739" s="173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ht="15.75" customHeight="1">
      <c r="A740" s="10"/>
      <c r="B740" s="174"/>
      <c r="C740" s="6"/>
      <c r="D740" s="127"/>
      <c r="E740" s="127"/>
      <c r="F740" s="175"/>
      <c r="G740" s="26">
        <v>0.0</v>
      </c>
      <c r="H740" s="176"/>
      <c r="I740" s="154">
        <f t="shared" si="1"/>
        <v>0</v>
      </c>
      <c r="J740" s="141"/>
      <c r="K740" s="154">
        <f t="shared" si="2"/>
        <v>0</v>
      </c>
      <c r="L740" s="154">
        <f t="shared" si="5"/>
        <v>0</v>
      </c>
      <c r="M740" s="154">
        <f t="shared" si="4"/>
        <v>0</v>
      </c>
      <c r="N740" s="173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ht="15.75" customHeight="1">
      <c r="A741" s="10"/>
      <c r="B741" s="174"/>
      <c r="C741" s="6"/>
      <c r="D741" s="127"/>
      <c r="E741" s="127"/>
      <c r="F741" s="175"/>
      <c r="G741" s="26">
        <v>0.0</v>
      </c>
      <c r="H741" s="176"/>
      <c r="I741" s="154">
        <f t="shared" si="1"/>
        <v>0</v>
      </c>
      <c r="J741" s="141"/>
      <c r="K741" s="154">
        <f t="shared" si="2"/>
        <v>0</v>
      </c>
      <c r="L741" s="154">
        <f t="shared" si="5"/>
        <v>0</v>
      </c>
      <c r="M741" s="154">
        <f t="shared" si="4"/>
        <v>0</v>
      </c>
      <c r="N741" s="173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ht="15.75" customHeight="1">
      <c r="A742" s="10"/>
      <c r="B742" s="174"/>
      <c r="C742" s="6"/>
      <c r="D742" s="127"/>
      <c r="E742" s="127"/>
      <c r="F742" s="175"/>
      <c r="G742" s="26">
        <v>0.0</v>
      </c>
      <c r="H742" s="176"/>
      <c r="I742" s="154">
        <f t="shared" si="1"/>
        <v>0</v>
      </c>
      <c r="J742" s="141"/>
      <c r="K742" s="154">
        <f t="shared" si="2"/>
        <v>0</v>
      </c>
      <c r="L742" s="154">
        <f t="shared" si="5"/>
        <v>0</v>
      </c>
      <c r="M742" s="154">
        <f t="shared" si="4"/>
        <v>0</v>
      </c>
      <c r="N742" s="173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ht="15.75" customHeight="1">
      <c r="A743" s="10"/>
      <c r="B743" s="174"/>
      <c r="C743" s="6"/>
      <c r="D743" s="127"/>
      <c r="E743" s="127"/>
      <c r="F743" s="175"/>
      <c r="G743" s="26">
        <v>0.0</v>
      </c>
      <c r="H743" s="176"/>
      <c r="I743" s="154">
        <f t="shared" si="1"/>
        <v>0</v>
      </c>
      <c r="J743" s="141"/>
      <c r="K743" s="154">
        <f t="shared" si="2"/>
        <v>0</v>
      </c>
      <c r="L743" s="154">
        <f t="shared" si="5"/>
        <v>0</v>
      </c>
      <c r="M743" s="154">
        <f t="shared" si="4"/>
        <v>0</v>
      </c>
      <c r="N743" s="173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ht="15.75" customHeight="1">
      <c r="A744" s="10"/>
      <c r="B744" s="174"/>
      <c r="C744" s="6"/>
      <c r="D744" s="127"/>
      <c r="E744" s="127"/>
      <c r="F744" s="175"/>
      <c r="G744" s="26">
        <v>0.0</v>
      </c>
      <c r="H744" s="176"/>
      <c r="I744" s="154">
        <f t="shared" si="1"/>
        <v>0</v>
      </c>
      <c r="J744" s="141"/>
      <c r="K744" s="154">
        <f t="shared" si="2"/>
        <v>0</v>
      </c>
      <c r="L744" s="154">
        <f t="shared" si="5"/>
        <v>0</v>
      </c>
      <c r="M744" s="154">
        <f t="shared" si="4"/>
        <v>0</v>
      </c>
      <c r="N744" s="173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ht="15.75" customHeight="1">
      <c r="A745" s="10"/>
      <c r="B745" s="174"/>
      <c r="C745" s="6"/>
      <c r="D745" s="127"/>
      <c r="E745" s="127"/>
      <c r="F745" s="175"/>
      <c r="G745" s="26">
        <v>0.0</v>
      </c>
      <c r="H745" s="176"/>
      <c r="I745" s="154">
        <f t="shared" si="1"/>
        <v>0</v>
      </c>
      <c r="J745" s="141"/>
      <c r="K745" s="154">
        <f t="shared" si="2"/>
        <v>0</v>
      </c>
      <c r="L745" s="154">
        <f t="shared" si="5"/>
        <v>0</v>
      </c>
      <c r="M745" s="154">
        <f t="shared" si="4"/>
        <v>0</v>
      </c>
      <c r="N745" s="173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ht="15.75" customHeight="1">
      <c r="A746" s="10"/>
      <c r="B746" s="174"/>
      <c r="C746" s="6"/>
      <c r="D746" s="127"/>
      <c r="E746" s="127"/>
      <c r="F746" s="175"/>
      <c r="G746" s="26">
        <v>0.0</v>
      </c>
      <c r="H746" s="176"/>
      <c r="I746" s="154">
        <f t="shared" si="1"/>
        <v>0</v>
      </c>
      <c r="J746" s="141"/>
      <c r="K746" s="154">
        <f t="shared" si="2"/>
        <v>0</v>
      </c>
      <c r="L746" s="154">
        <f t="shared" si="5"/>
        <v>0</v>
      </c>
      <c r="M746" s="154">
        <f t="shared" si="4"/>
        <v>0</v>
      </c>
      <c r="N746" s="173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ht="15.75" customHeight="1">
      <c r="A747" s="10"/>
      <c r="B747" s="174"/>
      <c r="C747" s="6"/>
      <c r="D747" s="127"/>
      <c r="E747" s="127"/>
      <c r="F747" s="175"/>
      <c r="G747" s="26">
        <v>0.0</v>
      </c>
      <c r="H747" s="176"/>
      <c r="I747" s="154">
        <f t="shared" si="1"/>
        <v>0</v>
      </c>
      <c r="J747" s="141"/>
      <c r="K747" s="154">
        <f t="shared" si="2"/>
        <v>0</v>
      </c>
      <c r="L747" s="154">
        <f t="shared" si="5"/>
        <v>0</v>
      </c>
      <c r="M747" s="154">
        <f t="shared" si="4"/>
        <v>0</v>
      </c>
      <c r="N747" s="173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ht="15.75" customHeight="1">
      <c r="A748" s="10"/>
      <c r="B748" s="174"/>
      <c r="C748" s="6"/>
      <c r="D748" s="127"/>
      <c r="E748" s="127"/>
      <c r="F748" s="175"/>
      <c r="G748" s="26">
        <v>0.0</v>
      </c>
      <c r="H748" s="176"/>
      <c r="I748" s="154">
        <f t="shared" si="1"/>
        <v>0</v>
      </c>
      <c r="J748" s="141"/>
      <c r="K748" s="154">
        <f t="shared" si="2"/>
        <v>0</v>
      </c>
      <c r="L748" s="154">
        <f t="shared" si="5"/>
        <v>0</v>
      </c>
      <c r="M748" s="154">
        <f t="shared" si="4"/>
        <v>0</v>
      </c>
      <c r="N748" s="173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ht="15.75" customHeight="1">
      <c r="A749" s="10"/>
      <c r="B749" s="174"/>
      <c r="C749" s="6"/>
      <c r="D749" s="127"/>
      <c r="E749" s="127"/>
      <c r="F749" s="175"/>
      <c r="G749" s="26">
        <v>0.0</v>
      </c>
      <c r="H749" s="176"/>
      <c r="I749" s="154">
        <f t="shared" si="1"/>
        <v>0</v>
      </c>
      <c r="J749" s="141"/>
      <c r="K749" s="154">
        <f t="shared" si="2"/>
        <v>0</v>
      </c>
      <c r="L749" s="154">
        <f t="shared" si="5"/>
        <v>0</v>
      </c>
      <c r="M749" s="154">
        <f t="shared" si="4"/>
        <v>0</v>
      </c>
      <c r="N749" s="173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ht="15.75" customHeight="1">
      <c r="A750" s="10"/>
      <c r="B750" s="174"/>
      <c r="C750" s="6"/>
      <c r="D750" s="127"/>
      <c r="E750" s="127"/>
      <c r="F750" s="175"/>
      <c r="G750" s="26">
        <v>0.0</v>
      </c>
      <c r="H750" s="176"/>
      <c r="I750" s="154">
        <f t="shared" si="1"/>
        <v>0</v>
      </c>
      <c r="J750" s="141"/>
      <c r="K750" s="154">
        <f t="shared" si="2"/>
        <v>0</v>
      </c>
      <c r="L750" s="154">
        <f t="shared" si="5"/>
        <v>0</v>
      </c>
      <c r="M750" s="154">
        <f t="shared" si="4"/>
        <v>0</v>
      </c>
      <c r="N750" s="173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ht="15.75" customHeight="1">
      <c r="A751" s="10"/>
      <c r="B751" s="174"/>
      <c r="C751" s="6"/>
      <c r="D751" s="127"/>
      <c r="E751" s="127"/>
      <c r="F751" s="175"/>
      <c r="G751" s="26">
        <v>0.0</v>
      </c>
      <c r="H751" s="176"/>
      <c r="I751" s="154">
        <f t="shared" si="1"/>
        <v>0</v>
      </c>
      <c r="J751" s="141"/>
      <c r="K751" s="154">
        <f t="shared" si="2"/>
        <v>0</v>
      </c>
      <c r="L751" s="154">
        <f t="shared" si="5"/>
        <v>0</v>
      </c>
      <c r="M751" s="154">
        <f t="shared" si="4"/>
        <v>0</v>
      </c>
      <c r="N751" s="173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ht="15.75" customHeight="1">
      <c r="A752" s="10"/>
      <c r="B752" s="174"/>
      <c r="C752" s="6"/>
      <c r="D752" s="127"/>
      <c r="E752" s="127"/>
      <c r="F752" s="175"/>
      <c r="G752" s="26">
        <v>0.0</v>
      </c>
      <c r="H752" s="176"/>
      <c r="I752" s="154">
        <f t="shared" si="1"/>
        <v>0</v>
      </c>
      <c r="J752" s="141"/>
      <c r="K752" s="154">
        <f t="shared" si="2"/>
        <v>0</v>
      </c>
      <c r="L752" s="154">
        <f t="shared" si="5"/>
        <v>0</v>
      </c>
      <c r="M752" s="154">
        <f t="shared" si="4"/>
        <v>0</v>
      </c>
      <c r="N752" s="173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ht="15.75" customHeight="1">
      <c r="A753" s="10"/>
      <c r="B753" s="174"/>
      <c r="C753" s="6"/>
      <c r="D753" s="127"/>
      <c r="E753" s="127"/>
      <c r="F753" s="175"/>
      <c r="G753" s="26">
        <v>0.0</v>
      </c>
      <c r="H753" s="176"/>
      <c r="I753" s="154">
        <f t="shared" si="1"/>
        <v>0</v>
      </c>
      <c r="J753" s="141"/>
      <c r="K753" s="154">
        <f t="shared" si="2"/>
        <v>0</v>
      </c>
      <c r="L753" s="154">
        <f t="shared" si="5"/>
        <v>0</v>
      </c>
      <c r="M753" s="154">
        <f t="shared" si="4"/>
        <v>0</v>
      </c>
      <c r="N753" s="173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ht="15.75" customHeight="1">
      <c r="A754" s="10"/>
      <c r="B754" s="174"/>
      <c r="C754" s="6"/>
      <c r="D754" s="127"/>
      <c r="E754" s="127"/>
      <c r="F754" s="175"/>
      <c r="G754" s="26">
        <v>0.0</v>
      </c>
      <c r="H754" s="176"/>
      <c r="I754" s="154">
        <f t="shared" si="1"/>
        <v>0</v>
      </c>
      <c r="J754" s="141"/>
      <c r="K754" s="154">
        <f t="shared" si="2"/>
        <v>0</v>
      </c>
      <c r="L754" s="154">
        <f t="shared" si="5"/>
        <v>0</v>
      </c>
      <c r="M754" s="154">
        <f t="shared" si="4"/>
        <v>0</v>
      </c>
      <c r="N754" s="173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ht="15.75" customHeight="1">
      <c r="A755" s="10"/>
      <c r="B755" s="174"/>
      <c r="C755" s="6"/>
      <c r="D755" s="127"/>
      <c r="E755" s="127"/>
      <c r="F755" s="175"/>
      <c r="G755" s="26">
        <v>0.0</v>
      </c>
      <c r="H755" s="176"/>
      <c r="I755" s="154">
        <f t="shared" si="1"/>
        <v>0</v>
      </c>
      <c r="J755" s="141"/>
      <c r="K755" s="154">
        <f t="shared" si="2"/>
        <v>0</v>
      </c>
      <c r="L755" s="154">
        <f t="shared" si="5"/>
        <v>0</v>
      </c>
      <c r="M755" s="154">
        <f t="shared" si="4"/>
        <v>0</v>
      </c>
      <c r="N755" s="173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ht="15.75" customHeight="1">
      <c r="A756" s="10"/>
      <c r="B756" s="174"/>
      <c r="C756" s="6"/>
      <c r="D756" s="127"/>
      <c r="E756" s="127"/>
      <c r="F756" s="175"/>
      <c r="G756" s="26">
        <v>0.0</v>
      </c>
      <c r="H756" s="176"/>
      <c r="I756" s="154">
        <f t="shared" si="1"/>
        <v>0</v>
      </c>
      <c r="J756" s="141"/>
      <c r="K756" s="154">
        <f t="shared" si="2"/>
        <v>0</v>
      </c>
      <c r="L756" s="154">
        <f t="shared" si="5"/>
        <v>0</v>
      </c>
      <c r="M756" s="154">
        <f t="shared" si="4"/>
        <v>0</v>
      </c>
      <c r="N756" s="173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ht="15.75" customHeight="1">
      <c r="A757" s="10"/>
      <c r="B757" s="174"/>
      <c r="C757" s="6"/>
      <c r="D757" s="127"/>
      <c r="E757" s="127"/>
      <c r="F757" s="175"/>
      <c r="G757" s="26">
        <v>0.0</v>
      </c>
      <c r="H757" s="176"/>
      <c r="I757" s="154">
        <f t="shared" si="1"/>
        <v>0</v>
      </c>
      <c r="J757" s="141"/>
      <c r="K757" s="154">
        <f t="shared" si="2"/>
        <v>0</v>
      </c>
      <c r="L757" s="154">
        <f t="shared" si="5"/>
        <v>0</v>
      </c>
      <c r="M757" s="154">
        <f t="shared" si="4"/>
        <v>0</v>
      </c>
      <c r="N757" s="173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ht="15.75" customHeight="1">
      <c r="A758" s="10"/>
      <c r="B758" s="174"/>
      <c r="C758" s="6"/>
      <c r="D758" s="127"/>
      <c r="E758" s="127"/>
      <c r="F758" s="175"/>
      <c r="G758" s="26">
        <v>0.0</v>
      </c>
      <c r="H758" s="176"/>
      <c r="I758" s="154">
        <f t="shared" si="1"/>
        <v>0</v>
      </c>
      <c r="J758" s="141"/>
      <c r="K758" s="154">
        <f t="shared" si="2"/>
        <v>0</v>
      </c>
      <c r="L758" s="154">
        <f t="shared" si="5"/>
        <v>0</v>
      </c>
      <c r="M758" s="154">
        <f t="shared" si="4"/>
        <v>0</v>
      </c>
      <c r="N758" s="173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ht="15.75" customHeight="1">
      <c r="A759" s="10"/>
      <c r="B759" s="174"/>
      <c r="C759" s="6"/>
      <c r="D759" s="127"/>
      <c r="E759" s="127"/>
      <c r="F759" s="175"/>
      <c r="G759" s="26">
        <v>0.0</v>
      </c>
      <c r="H759" s="176"/>
      <c r="I759" s="154">
        <f t="shared" si="1"/>
        <v>0</v>
      </c>
      <c r="J759" s="141"/>
      <c r="K759" s="154">
        <f t="shared" si="2"/>
        <v>0</v>
      </c>
      <c r="L759" s="154">
        <f t="shared" si="5"/>
        <v>0</v>
      </c>
      <c r="M759" s="154">
        <f t="shared" si="4"/>
        <v>0</v>
      </c>
      <c r="N759" s="173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ht="15.75" customHeight="1">
      <c r="A760" s="10"/>
      <c r="B760" s="174"/>
      <c r="C760" s="6"/>
      <c r="D760" s="127"/>
      <c r="E760" s="127"/>
      <c r="F760" s="175"/>
      <c r="G760" s="26">
        <v>0.0</v>
      </c>
      <c r="H760" s="176"/>
      <c r="I760" s="154">
        <f t="shared" si="1"/>
        <v>0</v>
      </c>
      <c r="J760" s="141"/>
      <c r="K760" s="154">
        <f t="shared" si="2"/>
        <v>0</v>
      </c>
      <c r="L760" s="154">
        <f t="shared" si="5"/>
        <v>0</v>
      </c>
      <c r="M760" s="154">
        <f t="shared" si="4"/>
        <v>0</v>
      </c>
      <c r="N760" s="173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ht="15.75" customHeight="1">
      <c r="A761" s="10"/>
      <c r="B761" s="174"/>
      <c r="C761" s="6"/>
      <c r="D761" s="127"/>
      <c r="E761" s="127"/>
      <c r="F761" s="175"/>
      <c r="G761" s="26">
        <v>0.0</v>
      </c>
      <c r="H761" s="176"/>
      <c r="I761" s="154">
        <f t="shared" si="1"/>
        <v>0</v>
      </c>
      <c r="J761" s="141"/>
      <c r="K761" s="154">
        <f t="shared" si="2"/>
        <v>0</v>
      </c>
      <c r="L761" s="154">
        <f t="shared" si="5"/>
        <v>0</v>
      </c>
      <c r="M761" s="154">
        <f t="shared" si="4"/>
        <v>0</v>
      </c>
      <c r="N761" s="173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ht="15.75" customHeight="1">
      <c r="A762" s="10"/>
      <c r="B762" s="174"/>
      <c r="C762" s="6"/>
      <c r="D762" s="127"/>
      <c r="E762" s="127"/>
      <c r="F762" s="175"/>
      <c r="G762" s="26">
        <v>0.0</v>
      </c>
      <c r="H762" s="176"/>
      <c r="I762" s="154">
        <f t="shared" si="1"/>
        <v>0</v>
      </c>
      <c r="J762" s="141"/>
      <c r="K762" s="154">
        <f t="shared" si="2"/>
        <v>0</v>
      </c>
      <c r="L762" s="154">
        <f t="shared" si="5"/>
        <v>0</v>
      </c>
      <c r="M762" s="154">
        <f t="shared" si="4"/>
        <v>0</v>
      </c>
      <c r="N762" s="173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ht="15.75" customHeight="1">
      <c r="A763" s="10"/>
      <c r="B763" s="174"/>
      <c r="C763" s="6"/>
      <c r="D763" s="127"/>
      <c r="E763" s="127"/>
      <c r="F763" s="175"/>
      <c r="G763" s="26">
        <v>0.0</v>
      </c>
      <c r="H763" s="176"/>
      <c r="I763" s="154">
        <f t="shared" si="1"/>
        <v>0</v>
      </c>
      <c r="J763" s="141"/>
      <c r="K763" s="154">
        <f t="shared" si="2"/>
        <v>0</v>
      </c>
      <c r="L763" s="154">
        <f t="shared" si="5"/>
        <v>0</v>
      </c>
      <c r="M763" s="154">
        <f t="shared" si="4"/>
        <v>0</v>
      </c>
      <c r="N763" s="173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ht="15.75" customHeight="1">
      <c r="A764" s="10"/>
      <c r="B764" s="174"/>
      <c r="C764" s="6"/>
      <c r="D764" s="127"/>
      <c r="E764" s="127"/>
      <c r="F764" s="175"/>
      <c r="G764" s="26">
        <v>0.0</v>
      </c>
      <c r="H764" s="176"/>
      <c r="I764" s="154">
        <f t="shared" si="1"/>
        <v>0</v>
      </c>
      <c r="J764" s="141"/>
      <c r="K764" s="154">
        <f t="shared" si="2"/>
        <v>0</v>
      </c>
      <c r="L764" s="154">
        <f t="shared" si="5"/>
        <v>0</v>
      </c>
      <c r="M764" s="154">
        <f t="shared" si="4"/>
        <v>0</v>
      </c>
      <c r="N764" s="173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ht="15.75" customHeight="1">
      <c r="A765" s="10"/>
      <c r="B765" s="174"/>
      <c r="C765" s="6"/>
      <c r="D765" s="127"/>
      <c r="E765" s="127"/>
      <c r="F765" s="175"/>
      <c r="G765" s="26">
        <v>0.0</v>
      </c>
      <c r="H765" s="176"/>
      <c r="I765" s="154">
        <f t="shared" si="1"/>
        <v>0</v>
      </c>
      <c r="J765" s="141"/>
      <c r="K765" s="154">
        <f t="shared" si="2"/>
        <v>0</v>
      </c>
      <c r="L765" s="154">
        <f t="shared" si="5"/>
        <v>0</v>
      </c>
      <c r="M765" s="154">
        <f t="shared" si="4"/>
        <v>0</v>
      </c>
      <c r="N765" s="173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ht="15.75" customHeight="1">
      <c r="A766" s="10"/>
      <c r="B766" s="174"/>
      <c r="C766" s="6"/>
      <c r="D766" s="127"/>
      <c r="E766" s="127"/>
      <c r="F766" s="175"/>
      <c r="G766" s="26">
        <v>0.0</v>
      </c>
      <c r="H766" s="176"/>
      <c r="I766" s="154">
        <f t="shared" si="1"/>
        <v>0</v>
      </c>
      <c r="J766" s="141"/>
      <c r="K766" s="154">
        <f t="shared" si="2"/>
        <v>0</v>
      </c>
      <c r="L766" s="154">
        <f t="shared" si="5"/>
        <v>0</v>
      </c>
      <c r="M766" s="154">
        <f t="shared" si="4"/>
        <v>0</v>
      </c>
      <c r="N766" s="173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ht="15.75" customHeight="1">
      <c r="A767" s="10"/>
      <c r="B767" s="174"/>
      <c r="C767" s="6"/>
      <c r="D767" s="127"/>
      <c r="E767" s="127"/>
      <c r="F767" s="175"/>
      <c r="G767" s="26">
        <v>0.0</v>
      </c>
      <c r="H767" s="176"/>
      <c r="I767" s="154">
        <f t="shared" si="1"/>
        <v>0</v>
      </c>
      <c r="J767" s="141"/>
      <c r="K767" s="154">
        <f t="shared" si="2"/>
        <v>0</v>
      </c>
      <c r="L767" s="154">
        <f t="shared" si="5"/>
        <v>0</v>
      </c>
      <c r="M767" s="154">
        <f t="shared" si="4"/>
        <v>0</v>
      </c>
      <c r="N767" s="173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ht="15.75" customHeight="1">
      <c r="A768" s="10"/>
      <c r="B768" s="174"/>
      <c r="C768" s="6"/>
      <c r="D768" s="127"/>
      <c r="E768" s="127"/>
      <c r="F768" s="175"/>
      <c r="G768" s="26">
        <v>0.0</v>
      </c>
      <c r="H768" s="176"/>
      <c r="I768" s="154">
        <f t="shared" si="1"/>
        <v>0</v>
      </c>
      <c r="J768" s="141"/>
      <c r="K768" s="154">
        <f t="shared" si="2"/>
        <v>0</v>
      </c>
      <c r="L768" s="154">
        <f t="shared" si="5"/>
        <v>0</v>
      </c>
      <c r="M768" s="154">
        <f t="shared" si="4"/>
        <v>0</v>
      </c>
      <c r="N768" s="173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ht="15.75" customHeight="1">
      <c r="A769" s="10"/>
      <c r="B769" s="174"/>
      <c r="C769" s="6"/>
      <c r="D769" s="127"/>
      <c r="E769" s="127"/>
      <c r="F769" s="175"/>
      <c r="G769" s="26">
        <v>0.0</v>
      </c>
      <c r="H769" s="176"/>
      <c r="I769" s="154">
        <f t="shared" si="1"/>
        <v>0</v>
      </c>
      <c r="J769" s="141"/>
      <c r="K769" s="154">
        <f t="shared" si="2"/>
        <v>0</v>
      </c>
      <c r="L769" s="154">
        <f t="shared" si="5"/>
        <v>0</v>
      </c>
      <c r="M769" s="154">
        <f t="shared" si="4"/>
        <v>0</v>
      </c>
      <c r="N769" s="173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ht="15.75" customHeight="1">
      <c r="A770" s="10"/>
      <c r="B770" s="174"/>
      <c r="C770" s="6"/>
      <c r="D770" s="127"/>
      <c r="E770" s="127"/>
      <c r="F770" s="175"/>
      <c r="G770" s="26">
        <v>0.0</v>
      </c>
      <c r="H770" s="176"/>
      <c r="I770" s="154">
        <f t="shared" si="1"/>
        <v>0</v>
      </c>
      <c r="J770" s="141"/>
      <c r="K770" s="154">
        <f t="shared" si="2"/>
        <v>0</v>
      </c>
      <c r="L770" s="154">
        <f t="shared" si="5"/>
        <v>0</v>
      </c>
      <c r="M770" s="154">
        <f t="shared" si="4"/>
        <v>0</v>
      </c>
      <c r="N770" s="173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ht="15.75" customHeight="1">
      <c r="A771" s="10"/>
      <c r="B771" s="174"/>
      <c r="C771" s="6"/>
      <c r="D771" s="127"/>
      <c r="E771" s="127"/>
      <c r="F771" s="175"/>
      <c r="G771" s="26">
        <v>0.0</v>
      </c>
      <c r="H771" s="176"/>
      <c r="I771" s="154">
        <f t="shared" si="1"/>
        <v>0</v>
      </c>
      <c r="J771" s="141"/>
      <c r="K771" s="154">
        <f t="shared" si="2"/>
        <v>0</v>
      </c>
      <c r="L771" s="154">
        <f t="shared" si="5"/>
        <v>0</v>
      </c>
      <c r="M771" s="154">
        <f t="shared" si="4"/>
        <v>0</v>
      </c>
      <c r="N771" s="173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ht="15.75" customHeight="1">
      <c r="A772" s="10"/>
      <c r="B772" s="174"/>
      <c r="C772" s="6"/>
      <c r="D772" s="127"/>
      <c r="E772" s="127"/>
      <c r="F772" s="175"/>
      <c r="G772" s="26">
        <v>0.0</v>
      </c>
      <c r="H772" s="176"/>
      <c r="I772" s="154">
        <f t="shared" si="1"/>
        <v>0</v>
      </c>
      <c r="J772" s="141"/>
      <c r="K772" s="154">
        <f t="shared" si="2"/>
        <v>0</v>
      </c>
      <c r="L772" s="154">
        <f t="shared" si="5"/>
        <v>0</v>
      </c>
      <c r="M772" s="154">
        <f t="shared" si="4"/>
        <v>0</v>
      </c>
      <c r="N772" s="173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ht="15.75" customHeight="1">
      <c r="A773" s="10"/>
      <c r="B773" s="174"/>
      <c r="C773" s="6"/>
      <c r="D773" s="127"/>
      <c r="E773" s="127"/>
      <c r="F773" s="175"/>
      <c r="G773" s="26">
        <v>0.0</v>
      </c>
      <c r="H773" s="176"/>
      <c r="I773" s="154">
        <f t="shared" si="1"/>
        <v>0</v>
      </c>
      <c r="J773" s="141"/>
      <c r="K773" s="154">
        <f t="shared" si="2"/>
        <v>0</v>
      </c>
      <c r="L773" s="154">
        <f t="shared" si="5"/>
        <v>0</v>
      </c>
      <c r="M773" s="154">
        <f t="shared" si="4"/>
        <v>0</v>
      </c>
      <c r="N773" s="173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ht="15.75" customHeight="1">
      <c r="A774" s="10"/>
      <c r="B774" s="174"/>
      <c r="C774" s="6"/>
      <c r="D774" s="127"/>
      <c r="E774" s="127"/>
      <c r="F774" s="175"/>
      <c r="G774" s="26">
        <v>0.0</v>
      </c>
      <c r="H774" s="176"/>
      <c r="I774" s="154">
        <f t="shared" si="1"/>
        <v>0</v>
      </c>
      <c r="J774" s="141"/>
      <c r="K774" s="154">
        <f t="shared" si="2"/>
        <v>0</v>
      </c>
      <c r="L774" s="154">
        <f t="shared" si="5"/>
        <v>0</v>
      </c>
      <c r="M774" s="154">
        <f t="shared" si="4"/>
        <v>0</v>
      </c>
      <c r="N774" s="173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ht="15.75" customHeight="1">
      <c r="A775" s="10"/>
      <c r="B775" s="174"/>
      <c r="C775" s="6"/>
      <c r="D775" s="127"/>
      <c r="E775" s="127"/>
      <c r="F775" s="175"/>
      <c r="G775" s="26">
        <v>0.0</v>
      </c>
      <c r="H775" s="176"/>
      <c r="I775" s="154">
        <f t="shared" si="1"/>
        <v>0</v>
      </c>
      <c r="J775" s="141"/>
      <c r="K775" s="154">
        <f t="shared" si="2"/>
        <v>0</v>
      </c>
      <c r="L775" s="154">
        <f t="shared" si="5"/>
        <v>0</v>
      </c>
      <c r="M775" s="154">
        <f t="shared" si="4"/>
        <v>0</v>
      </c>
      <c r="N775" s="173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ht="15.75" customHeight="1">
      <c r="A776" s="10"/>
      <c r="B776" s="174"/>
      <c r="C776" s="6"/>
      <c r="D776" s="127"/>
      <c r="E776" s="127"/>
      <c r="F776" s="175"/>
      <c r="G776" s="26">
        <v>0.0</v>
      </c>
      <c r="H776" s="176"/>
      <c r="I776" s="154">
        <f t="shared" si="1"/>
        <v>0</v>
      </c>
      <c r="J776" s="141"/>
      <c r="K776" s="154">
        <f t="shared" si="2"/>
        <v>0</v>
      </c>
      <c r="L776" s="154">
        <f t="shared" si="5"/>
        <v>0</v>
      </c>
      <c r="M776" s="154">
        <f t="shared" si="4"/>
        <v>0</v>
      </c>
      <c r="N776" s="173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ht="15.75" customHeight="1">
      <c r="A777" s="10"/>
      <c r="B777" s="174"/>
      <c r="C777" s="6"/>
      <c r="D777" s="127"/>
      <c r="E777" s="127"/>
      <c r="F777" s="175"/>
      <c r="G777" s="26">
        <v>0.0</v>
      </c>
      <c r="H777" s="176"/>
      <c r="I777" s="154">
        <f t="shared" si="1"/>
        <v>0</v>
      </c>
      <c r="J777" s="141"/>
      <c r="K777" s="154">
        <f t="shared" si="2"/>
        <v>0</v>
      </c>
      <c r="L777" s="154">
        <f t="shared" si="5"/>
        <v>0</v>
      </c>
      <c r="M777" s="154">
        <f t="shared" si="4"/>
        <v>0</v>
      </c>
      <c r="N777" s="173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ht="15.75" customHeight="1">
      <c r="A778" s="10"/>
      <c r="B778" s="174"/>
      <c r="C778" s="6"/>
      <c r="D778" s="127"/>
      <c r="E778" s="127"/>
      <c r="F778" s="175"/>
      <c r="G778" s="26">
        <v>0.0</v>
      </c>
      <c r="H778" s="176"/>
      <c r="I778" s="154">
        <f t="shared" si="1"/>
        <v>0</v>
      </c>
      <c r="J778" s="141"/>
      <c r="K778" s="154">
        <f t="shared" si="2"/>
        <v>0</v>
      </c>
      <c r="L778" s="154">
        <f t="shared" si="5"/>
        <v>0</v>
      </c>
      <c r="M778" s="154">
        <f t="shared" si="4"/>
        <v>0</v>
      </c>
      <c r="N778" s="173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ht="15.75" customHeight="1">
      <c r="A779" s="10"/>
      <c r="B779" s="174"/>
      <c r="C779" s="6"/>
      <c r="D779" s="127"/>
      <c r="E779" s="127"/>
      <c r="F779" s="175"/>
      <c r="G779" s="26">
        <v>0.0</v>
      </c>
      <c r="H779" s="176"/>
      <c r="I779" s="154">
        <f t="shared" si="1"/>
        <v>0</v>
      </c>
      <c r="J779" s="141"/>
      <c r="K779" s="154">
        <f t="shared" si="2"/>
        <v>0</v>
      </c>
      <c r="L779" s="154">
        <f t="shared" si="5"/>
        <v>0</v>
      </c>
      <c r="M779" s="154">
        <f t="shared" si="4"/>
        <v>0</v>
      </c>
      <c r="N779" s="173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ht="15.75" customHeight="1">
      <c r="A780" s="10"/>
      <c r="B780" s="174"/>
      <c r="C780" s="6"/>
      <c r="D780" s="127"/>
      <c r="E780" s="127"/>
      <c r="F780" s="175"/>
      <c r="G780" s="26">
        <v>0.0</v>
      </c>
      <c r="H780" s="176"/>
      <c r="I780" s="154">
        <f t="shared" si="1"/>
        <v>0</v>
      </c>
      <c r="J780" s="141"/>
      <c r="K780" s="154">
        <f t="shared" si="2"/>
        <v>0</v>
      </c>
      <c r="L780" s="154">
        <f t="shared" si="5"/>
        <v>0</v>
      </c>
      <c r="M780" s="154">
        <f t="shared" si="4"/>
        <v>0</v>
      </c>
      <c r="N780" s="173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ht="15.75" customHeight="1">
      <c r="A781" s="10"/>
      <c r="B781" s="174"/>
      <c r="C781" s="6"/>
      <c r="D781" s="127"/>
      <c r="E781" s="127"/>
      <c r="F781" s="175"/>
      <c r="G781" s="26">
        <v>0.0</v>
      </c>
      <c r="H781" s="176"/>
      <c r="I781" s="154">
        <f t="shared" si="1"/>
        <v>0</v>
      </c>
      <c r="J781" s="141"/>
      <c r="K781" s="154">
        <f t="shared" si="2"/>
        <v>0</v>
      </c>
      <c r="L781" s="154">
        <f t="shared" si="5"/>
        <v>0</v>
      </c>
      <c r="M781" s="154">
        <f t="shared" si="4"/>
        <v>0</v>
      </c>
      <c r="N781" s="173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ht="15.75" customHeight="1">
      <c r="A782" s="10"/>
      <c r="B782" s="174"/>
      <c r="C782" s="6"/>
      <c r="D782" s="127"/>
      <c r="E782" s="127"/>
      <c r="F782" s="175"/>
      <c r="G782" s="26">
        <v>0.0</v>
      </c>
      <c r="H782" s="176"/>
      <c r="I782" s="154">
        <f t="shared" si="1"/>
        <v>0</v>
      </c>
      <c r="J782" s="141"/>
      <c r="K782" s="154">
        <f t="shared" si="2"/>
        <v>0</v>
      </c>
      <c r="L782" s="154">
        <f t="shared" si="5"/>
        <v>0</v>
      </c>
      <c r="M782" s="154">
        <f t="shared" si="4"/>
        <v>0</v>
      </c>
      <c r="N782" s="173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ht="15.75" customHeight="1">
      <c r="A783" s="10"/>
      <c r="B783" s="174"/>
      <c r="C783" s="6"/>
      <c r="D783" s="127"/>
      <c r="E783" s="127"/>
      <c r="F783" s="175"/>
      <c r="G783" s="26">
        <v>0.0</v>
      </c>
      <c r="H783" s="176"/>
      <c r="I783" s="154">
        <f t="shared" si="1"/>
        <v>0</v>
      </c>
      <c r="J783" s="141"/>
      <c r="K783" s="154">
        <f t="shared" si="2"/>
        <v>0</v>
      </c>
      <c r="L783" s="154">
        <f t="shared" si="5"/>
        <v>0</v>
      </c>
      <c r="M783" s="154">
        <f t="shared" si="4"/>
        <v>0</v>
      </c>
      <c r="N783" s="173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ht="15.75" customHeight="1">
      <c r="A784" s="10"/>
      <c r="B784" s="174"/>
      <c r="C784" s="6"/>
      <c r="D784" s="127"/>
      <c r="E784" s="127"/>
      <c r="F784" s="175"/>
      <c r="G784" s="26">
        <v>0.0</v>
      </c>
      <c r="H784" s="176"/>
      <c r="I784" s="154">
        <f t="shared" si="1"/>
        <v>0</v>
      </c>
      <c r="J784" s="141"/>
      <c r="K784" s="154">
        <f t="shared" si="2"/>
        <v>0</v>
      </c>
      <c r="L784" s="154">
        <f t="shared" si="5"/>
        <v>0</v>
      </c>
      <c r="M784" s="154">
        <f t="shared" si="4"/>
        <v>0</v>
      </c>
      <c r="N784" s="173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ht="15.75" customHeight="1">
      <c r="A785" s="10"/>
      <c r="B785" s="174"/>
      <c r="C785" s="6"/>
      <c r="D785" s="127"/>
      <c r="E785" s="127"/>
      <c r="F785" s="175"/>
      <c r="G785" s="26">
        <v>0.0</v>
      </c>
      <c r="H785" s="176"/>
      <c r="I785" s="154">
        <f t="shared" si="1"/>
        <v>0</v>
      </c>
      <c r="J785" s="141"/>
      <c r="K785" s="154">
        <f t="shared" si="2"/>
        <v>0</v>
      </c>
      <c r="L785" s="154">
        <f t="shared" si="5"/>
        <v>0</v>
      </c>
      <c r="M785" s="154">
        <f t="shared" si="4"/>
        <v>0</v>
      </c>
      <c r="N785" s="173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ht="15.75" customHeight="1">
      <c r="A786" s="10"/>
      <c r="B786" s="174"/>
      <c r="C786" s="6"/>
      <c r="D786" s="127"/>
      <c r="E786" s="127"/>
      <c r="F786" s="175"/>
      <c r="G786" s="26">
        <v>0.0</v>
      </c>
      <c r="H786" s="176"/>
      <c r="I786" s="154">
        <f t="shared" si="1"/>
        <v>0</v>
      </c>
      <c r="J786" s="141"/>
      <c r="K786" s="154">
        <f t="shared" si="2"/>
        <v>0</v>
      </c>
      <c r="L786" s="154">
        <f t="shared" si="5"/>
        <v>0</v>
      </c>
      <c r="M786" s="154">
        <f t="shared" si="4"/>
        <v>0</v>
      </c>
      <c r="N786" s="173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ht="15.75" customHeight="1">
      <c r="A787" s="10"/>
      <c r="B787" s="174"/>
      <c r="C787" s="6"/>
      <c r="D787" s="127"/>
      <c r="E787" s="127"/>
      <c r="F787" s="175"/>
      <c r="G787" s="26">
        <v>0.0</v>
      </c>
      <c r="H787" s="176"/>
      <c r="I787" s="154">
        <f t="shared" si="1"/>
        <v>0</v>
      </c>
      <c r="J787" s="141"/>
      <c r="K787" s="154">
        <f t="shared" si="2"/>
        <v>0</v>
      </c>
      <c r="L787" s="154">
        <f t="shared" si="5"/>
        <v>0</v>
      </c>
      <c r="M787" s="154">
        <f t="shared" si="4"/>
        <v>0</v>
      </c>
      <c r="N787" s="173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ht="15.75" customHeight="1">
      <c r="A788" s="10"/>
      <c r="B788" s="174"/>
      <c r="C788" s="6"/>
      <c r="D788" s="127"/>
      <c r="E788" s="127"/>
      <c r="F788" s="175"/>
      <c r="G788" s="26">
        <v>0.0</v>
      </c>
      <c r="H788" s="176"/>
      <c r="I788" s="154">
        <f t="shared" si="1"/>
        <v>0</v>
      </c>
      <c r="J788" s="141"/>
      <c r="K788" s="154">
        <f t="shared" si="2"/>
        <v>0</v>
      </c>
      <c r="L788" s="154">
        <f t="shared" si="5"/>
        <v>0</v>
      </c>
      <c r="M788" s="154">
        <f t="shared" si="4"/>
        <v>0</v>
      </c>
      <c r="N788" s="173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ht="15.75" customHeight="1">
      <c r="A789" s="10"/>
      <c r="B789" s="174"/>
      <c r="C789" s="6"/>
      <c r="D789" s="127"/>
      <c r="E789" s="127"/>
      <c r="F789" s="175"/>
      <c r="G789" s="26">
        <v>0.0</v>
      </c>
      <c r="H789" s="176"/>
      <c r="I789" s="154">
        <f t="shared" si="1"/>
        <v>0</v>
      </c>
      <c r="J789" s="141"/>
      <c r="K789" s="154">
        <f t="shared" si="2"/>
        <v>0</v>
      </c>
      <c r="L789" s="154">
        <f t="shared" si="5"/>
        <v>0</v>
      </c>
      <c r="M789" s="154">
        <f t="shared" si="4"/>
        <v>0</v>
      </c>
      <c r="N789" s="173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ht="15.75" customHeight="1">
      <c r="A790" s="10"/>
      <c r="B790" s="174"/>
      <c r="C790" s="6"/>
      <c r="D790" s="127"/>
      <c r="E790" s="127"/>
      <c r="F790" s="175"/>
      <c r="G790" s="26">
        <v>0.0</v>
      </c>
      <c r="H790" s="176"/>
      <c r="I790" s="154">
        <f t="shared" si="1"/>
        <v>0</v>
      </c>
      <c r="J790" s="141"/>
      <c r="K790" s="154">
        <f t="shared" si="2"/>
        <v>0</v>
      </c>
      <c r="L790" s="154">
        <f t="shared" si="5"/>
        <v>0</v>
      </c>
      <c r="M790" s="154">
        <f t="shared" si="4"/>
        <v>0</v>
      </c>
      <c r="N790" s="173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ht="15.75" customHeight="1">
      <c r="A791" s="10"/>
      <c r="B791" s="174"/>
      <c r="C791" s="6"/>
      <c r="D791" s="127"/>
      <c r="E791" s="127"/>
      <c r="F791" s="175"/>
      <c r="G791" s="26">
        <v>0.0</v>
      </c>
      <c r="H791" s="176"/>
      <c r="I791" s="154">
        <f t="shared" si="1"/>
        <v>0</v>
      </c>
      <c r="J791" s="141"/>
      <c r="K791" s="154">
        <f t="shared" si="2"/>
        <v>0</v>
      </c>
      <c r="L791" s="154">
        <f t="shared" si="5"/>
        <v>0</v>
      </c>
      <c r="M791" s="154">
        <f t="shared" si="4"/>
        <v>0</v>
      </c>
      <c r="N791" s="173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ht="15.75" customHeight="1">
      <c r="A792" s="10"/>
      <c r="B792" s="174"/>
      <c r="C792" s="6"/>
      <c r="D792" s="127"/>
      <c r="E792" s="127"/>
      <c r="F792" s="175"/>
      <c r="G792" s="26">
        <v>0.0</v>
      </c>
      <c r="H792" s="176"/>
      <c r="I792" s="154">
        <f t="shared" si="1"/>
        <v>0</v>
      </c>
      <c r="J792" s="141"/>
      <c r="K792" s="154">
        <f t="shared" si="2"/>
        <v>0</v>
      </c>
      <c r="L792" s="154">
        <f t="shared" si="5"/>
        <v>0</v>
      </c>
      <c r="M792" s="154">
        <f t="shared" si="4"/>
        <v>0</v>
      </c>
      <c r="N792" s="173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ht="15.75" customHeight="1">
      <c r="A793" s="10"/>
      <c r="B793" s="174"/>
      <c r="C793" s="6"/>
      <c r="D793" s="127"/>
      <c r="E793" s="127"/>
      <c r="F793" s="175"/>
      <c r="G793" s="26">
        <v>0.0</v>
      </c>
      <c r="H793" s="176"/>
      <c r="I793" s="154">
        <f t="shared" si="1"/>
        <v>0</v>
      </c>
      <c r="J793" s="141"/>
      <c r="K793" s="154">
        <f t="shared" si="2"/>
        <v>0</v>
      </c>
      <c r="L793" s="154">
        <f t="shared" si="5"/>
        <v>0</v>
      </c>
      <c r="M793" s="154">
        <f t="shared" si="4"/>
        <v>0</v>
      </c>
      <c r="N793" s="173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ht="15.75" customHeight="1">
      <c r="A794" s="10"/>
      <c r="B794" s="174"/>
      <c r="C794" s="6"/>
      <c r="D794" s="127"/>
      <c r="E794" s="127"/>
      <c r="F794" s="175"/>
      <c r="G794" s="26">
        <v>0.0</v>
      </c>
      <c r="H794" s="176"/>
      <c r="I794" s="154">
        <f t="shared" si="1"/>
        <v>0</v>
      </c>
      <c r="J794" s="141"/>
      <c r="K794" s="154">
        <f t="shared" si="2"/>
        <v>0</v>
      </c>
      <c r="L794" s="154">
        <f t="shared" si="5"/>
        <v>0</v>
      </c>
      <c r="M794" s="154">
        <f t="shared" si="4"/>
        <v>0</v>
      </c>
      <c r="N794" s="173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ht="15.75" customHeight="1">
      <c r="A795" s="10"/>
      <c r="B795" s="174"/>
      <c r="C795" s="6"/>
      <c r="D795" s="127"/>
      <c r="E795" s="127"/>
      <c r="F795" s="175"/>
      <c r="G795" s="26">
        <v>0.0</v>
      </c>
      <c r="H795" s="176"/>
      <c r="I795" s="154">
        <f t="shared" si="1"/>
        <v>0</v>
      </c>
      <c r="J795" s="141"/>
      <c r="K795" s="154">
        <f t="shared" si="2"/>
        <v>0</v>
      </c>
      <c r="L795" s="154">
        <f t="shared" si="5"/>
        <v>0</v>
      </c>
      <c r="M795" s="154">
        <f t="shared" si="4"/>
        <v>0</v>
      </c>
      <c r="N795" s="173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ht="15.75" customHeight="1">
      <c r="A796" s="10"/>
      <c r="B796" s="174"/>
      <c r="C796" s="6"/>
      <c r="D796" s="127"/>
      <c r="E796" s="127"/>
      <c r="F796" s="175"/>
      <c r="G796" s="26">
        <v>0.0</v>
      </c>
      <c r="H796" s="176"/>
      <c r="I796" s="154">
        <f t="shared" si="1"/>
        <v>0</v>
      </c>
      <c r="J796" s="141"/>
      <c r="K796" s="154">
        <f t="shared" si="2"/>
        <v>0</v>
      </c>
      <c r="L796" s="154">
        <f t="shared" si="5"/>
        <v>0</v>
      </c>
      <c r="M796" s="154">
        <f t="shared" si="4"/>
        <v>0</v>
      </c>
      <c r="N796" s="173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ht="15.75" customHeight="1">
      <c r="A797" s="10"/>
      <c r="B797" s="174"/>
      <c r="C797" s="6"/>
      <c r="D797" s="127"/>
      <c r="E797" s="127"/>
      <c r="F797" s="175"/>
      <c r="G797" s="26">
        <v>0.0</v>
      </c>
      <c r="H797" s="176"/>
      <c r="I797" s="154">
        <f t="shared" si="1"/>
        <v>0</v>
      </c>
      <c r="J797" s="141"/>
      <c r="K797" s="154">
        <f t="shared" si="2"/>
        <v>0</v>
      </c>
      <c r="L797" s="154">
        <f t="shared" si="5"/>
        <v>0</v>
      </c>
      <c r="M797" s="154">
        <f t="shared" si="4"/>
        <v>0</v>
      </c>
      <c r="N797" s="173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ht="15.75" customHeight="1">
      <c r="A798" s="10"/>
      <c r="B798" s="174"/>
      <c r="C798" s="6"/>
      <c r="D798" s="127"/>
      <c r="E798" s="127"/>
      <c r="F798" s="175"/>
      <c r="G798" s="26">
        <v>0.0</v>
      </c>
      <c r="H798" s="176"/>
      <c r="I798" s="154">
        <f t="shared" si="1"/>
        <v>0</v>
      </c>
      <c r="J798" s="141"/>
      <c r="K798" s="154">
        <f t="shared" si="2"/>
        <v>0</v>
      </c>
      <c r="L798" s="154">
        <f t="shared" si="5"/>
        <v>0</v>
      </c>
      <c r="M798" s="154">
        <f t="shared" si="4"/>
        <v>0</v>
      </c>
      <c r="N798" s="173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ht="15.75" customHeight="1">
      <c r="A799" s="10"/>
      <c r="B799" s="174"/>
      <c r="C799" s="6"/>
      <c r="D799" s="127"/>
      <c r="E799" s="127"/>
      <c r="F799" s="175"/>
      <c r="G799" s="26">
        <v>0.0</v>
      </c>
      <c r="H799" s="176"/>
      <c r="I799" s="154">
        <f t="shared" si="1"/>
        <v>0</v>
      </c>
      <c r="J799" s="141"/>
      <c r="K799" s="154">
        <f t="shared" si="2"/>
        <v>0</v>
      </c>
      <c r="L799" s="154">
        <f t="shared" si="5"/>
        <v>0</v>
      </c>
      <c r="M799" s="154">
        <f t="shared" si="4"/>
        <v>0</v>
      </c>
      <c r="N799" s="173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ht="15.75" customHeight="1">
      <c r="A800" s="10"/>
      <c r="B800" s="174"/>
      <c r="C800" s="6"/>
      <c r="D800" s="127"/>
      <c r="E800" s="127"/>
      <c r="F800" s="175"/>
      <c r="G800" s="26">
        <v>0.0</v>
      </c>
      <c r="H800" s="176"/>
      <c r="I800" s="154">
        <f t="shared" si="1"/>
        <v>0</v>
      </c>
      <c r="J800" s="141"/>
      <c r="K800" s="154">
        <f t="shared" si="2"/>
        <v>0</v>
      </c>
      <c r="L800" s="154">
        <f t="shared" si="5"/>
        <v>0</v>
      </c>
      <c r="M800" s="154">
        <f t="shared" si="4"/>
        <v>0</v>
      </c>
      <c r="N800" s="173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ht="15.75" customHeight="1">
      <c r="A801" s="10"/>
      <c r="B801" s="174"/>
      <c r="C801" s="6"/>
      <c r="D801" s="127"/>
      <c r="E801" s="127"/>
      <c r="F801" s="175"/>
      <c r="G801" s="26">
        <v>0.0</v>
      </c>
      <c r="H801" s="176"/>
      <c r="I801" s="154">
        <f t="shared" si="1"/>
        <v>0</v>
      </c>
      <c r="J801" s="141"/>
      <c r="K801" s="154">
        <f t="shared" si="2"/>
        <v>0</v>
      </c>
      <c r="L801" s="154">
        <f t="shared" si="5"/>
        <v>0</v>
      </c>
      <c r="M801" s="154">
        <f t="shared" si="4"/>
        <v>0</v>
      </c>
      <c r="N801" s="173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ht="15.75" customHeight="1">
      <c r="A802" s="10"/>
      <c r="B802" s="174"/>
      <c r="C802" s="6"/>
      <c r="D802" s="127"/>
      <c r="E802" s="127"/>
      <c r="F802" s="175"/>
      <c r="G802" s="26">
        <v>0.0</v>
      </c>
      <c r="H802" s="176"/>
      <c r="I802" s="154">
        <f t="shared" si="1"/>
        <v>0</v>
      </c>
      <c r="J802" s="141"/>
      <c r="K802" s="154">
        <f t="shared" si="2"/>
        <v>0</v>
      </c>
      <c r="L802" s="154">
        <f t="shared" si="5"/>
        <v>0</v>
      </c>
      <c r="M802" s="154">
        <f t="shared" si="4"/>
        <v>0</v>
      </c>
      <c r="N802" s="173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ht="15.75" customHeight="1">
      <c r="A803" s="10"/>
      <c r="B803" s="174"/>
      <c r="C803" s="6"/>
      <c r="D803" s="127"/>
      <c r="E803" s="127"/>
      <c r="F803" s="175"/>
      <c r="G803" s="26">
        <v>0.0</v>
      </c>
      <c r="H803" s="176"/>
      <c r="I803" s="154">
        <f t="shared" si="1"/>
        <v>0</v>
      </c>
      <c r="J803" s="141"/>
      <c r="K803" s="154">
        <f t="shared" si="2"/>
        <v>0</v>
      </c>
      <c r="L803" s="154">
        <f t="shared" si="5"/>
        <v>0</v>
      </c>
      <c r="M803" s="154">
        <f t="shared" si="4"/>
        <v>0</v>
      </c>
      <c r="N803" s="173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ht="15.75" customHeight="1">
      <c r="A804" s="10"/>
      <c r="B804" s="174"/>
      <c r="C804" s="6"/>
      <c r="D804" s="127"/>
      <c r="E804" s="127"/>
      <c r="F804" s="175"/>
      <c r="G804" s="26">
        <v>0.0</v>
      </c>
      <c r="H804" s="176"/>
      <c r="I804" s="154">
        <f t="shared" si="1"/>
        <v>0</v>
      </c>
      <c r="J804" s="141"/>
      <c r="K804" s="154">
        <f t="shared" si="2"/>
        <v>0</v>
      </c>
      <c r="L804" s="154">
        <f t="shared" si="5"/>
        <v>0</v>
      </c>
      <c r="M804" s="154">
        <f t="shared" si="4"/>
        <v>0</v>
      </c>
      <c r="N804" s="173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ht="15.75" customHeight="1">
      <c r="A805" s="10"/>
      <c r="B805" s="174"/>
      <c r="C805" s="6"/>
      <c r="D805" s="127"/>
      <c r="E805" s="127"/>
      <c r="F805" s="175"/>
      <c r="G805" s="26">
        <v>0.0</v>
      </c>
      <c r="H805" s="176"/>
      <c r="I805" s="154">
        <f t="shared" si="1"/>
        <v>0</v>
      </c>
      <c r="J805" s="141"/>
      <c r="K805" s="154">
        <f t="shared" si="2"/>
        <v>0</v>
      </c>
      <c r="L805" s="154">
        <f t="shared" si="5"/>
        <v>0</v>
      </c>
      <c r="M805" s="154">
        <f t="shared" si="4"/>
        <v>0</v>
      </c>
      <c r="N805" s="173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ht="15.75" customHeight="1">
      <c r="A806" s="10"/>
      <c r="B806" s="174"/>
      <c r="C806" s="6"/>
      <c r="D806" s="127"/>
      <c r="E806" s="127"/>
      <c r="F806" s="175"/>
      <c r="G806" s="26">
        <v>0.0</v>
      </c>
      <c r="H806" s="176"/>
      <c r="I806" s="154">
        <f t="shared" si="1"/>
        <v>0</v>
      </c>
      <c r="J806" s="141"/>
      <c r="K806" s="154">
        <f t="shared" si="2"/>
        <v>0</v>
      </c>
      <c r="L806" s="154">
        <f t="shared" si="5"/>
        <v>0</v>
      </c>
      <c r="M806" s="154">
        <f t="shared" si="4"/>
        <v>0</v>
      </c>
      <c r="N806" s="173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ht="15.75" customHeight="1">
      <c r="A807" s="10"/>
      <c r="B807" s="174"/>
      <c r="C807" s="6"/>
      <c r="D807" s="127"/>
      <c r="E807" s="127"/>
      <c r="F807" s="175"/>
      <c r="G807" s="26">
        <v>0.0</v>
      </c>
      <c r="H807" s="176"/>
      <c r="I807" s="154">
        <f t="shared" si="1"/>
        <v>0</v>
      </c>
      <c r="J807" s="141"/>
      <c r="K807" s="154">
        <f t="shared" si="2"/>
        <v>0</v>
      </c>
      <c r="L807" s="154">
        <f t="shared" si="5"/>
        <v>0</v>
      </c>
      <c r="M807" s="154">
        <f t="shared" si="4"/>
        <v>0</v>
      </c>
      <c r="N807" s="173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ht="15.75" customHeight="1">
      <c r="A808" s="10"/>
      <c r="B808" s="174"/>
      <c r="C808" s="6"/>
      <c r="D808" s="127"/>
      <c r="E808" s="127"/>
      <c r="F808" s="175"/>
      <c r="G808" s="26">
        <v>0.0</v>
      </c>
      <c r="H808" s="176"/>
      <c r="I808" s="154">
        <f t="shared" si="1"/>
        <v>0</v>
      </c>
      <c r="J808" s="141"/>
      <c r="K808" s="154">
        <f t="shared" si="2"/>
        <v>0</v>
      </c>
      <c r="L808" s="154">
        <f t="shared" si="5"/>
        <v>0</v>
      </c>
      <c r="M808" s="154">
        <f t="shared" si="4"/>
        <v>0</v>
      </c>
      <c r="N808" s="173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ht="15.75" customHeight="1">
      <c r="A809" s="10"/>
      <c r="B809" s="174"/>
      <c r="C809" s="6"/>
      <c r="D809" s="127"/>
      <c r="E809" s="127"/>
      <c r="F809" s="175"/>
      <c r="G809" s="26">
        <v>0.0</v>
      </c>
      <c r="H809" s="176"/>
      <c r="I809" s="154">
        <f t="shared" si="1"/>
        <v>0</v>
      </c>
      <c r="J809" s="141"/>
      <c r="K809" s="154">
        <f t="shared" si="2"/>
        <v>0</v>
      </c>
      <c r="L809" s="154">
        <f t="shared" si="5"/>
        <v>0</v>
      </c>
      <c r="M809" s="154">
        <f t="shared" si="4"/>
        <v>0</v>
      </c>
      <c r="N809" s="173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ht="15.75" customHeight="1">
      <c r="A810" s="10"/>
      <c r="B810" s="174"/>
      <c r="C810" s="6"/>
      <c r="D810" s="127"/>
      <c r="E810" s="127"/>
      <c r="F810" s="175"/>
      <c r="G810" s="26">
        <v>0.0</v>
      </c>
      <c r="H810" s="176"/>
      <c r="I810" s="154">
        <f t="shared" si="1"/>
        <v>0</v>
      </c>
      <c r="J810" s="141"/>
      <c r="K810" s="154">
        <f t="shared" si="2"/>
        <v>0</v>
      </c>
      <c r="L810" s="154">
        <f t="shared" si="5"/>
        <v>0</v>
      </c>
      <c r="M810" s="154">
        <f t="shared" si="4"/>
        <v>0</v>
      </c>
      <c r="N810" s="173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ht="15.75" customHeight="1">
      <c r="A811" s="10"/>
      <c r="B811" s="174"/>
      <c r="C811" s="6"/>
      <c r="D811" s="127"/>
      <c r="E811" s="127"/>
      <c r="F811" s="175"/>
      <c r="G811" s="26">
        <v>0.0</v>
      </c>
      <c r="H811" s="176"/>
      <c r="I811" s="154">
        <f t="shared" si="1"/>
        <v>0</v>
      </c>
      <c r="J811" s="141"/>
      <c r="K811" s="154">
        <f t="shared" si="2"/>
        <v>0</v>
      </c>
      <c r="L811" s="154">
        <f t="shared" si="5"/>
        <v>0</v>
      </c>
      <c r="M811" s="154">
        <f t="shared" si="4"/>
        <v>0</v>
      </c>
      <c r="N811" s="173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ht="15.75" customHeight="1">
      <c r="A812" s="10"/>
      <c r="B812" s="174"/>
      <c r="C812" s="6"/>
      <c r="D812" s="127"/>
      <c r="E812" s="127"/>
      <c r="F812" s="175"/>
      <c r="G812" s="26">
        <v>0.0</v>
      </c>
      <c r="H812" s="176"/>
      <c r="I812" s="154">
        <f t="shared" si="1"/>
        <v>0</v>
      </c>
      <c r="J812" s="141"/>
      <c r="K812" s="154">
        <f t="shared" si="2"/>
        <v>0</v>
      </c>
      <c r="L812" s="154">
        <f t="shared" si="5"/>
        <v>0</v>
      </c>
      <c r="M812" s="154">
        <f t="shared" si="4"/>
        <v>0</v>
      </c>
      <c r="N812" s="173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ht="15.75" customHeight="1">
      <c r="A813" s="10"/>
      <c r="B813" s="174"/>
      <c r="C813" s="6"/>
      <c r="D813" s="127"/>
      <c r="E813" s="127"/>
      <c r="F813" s="175"/>
      <c r="G813" s="26">
        <v>0.0</v>
      </c>
      <c r="H813" s="176"/>
      <c r="I813" s="154">
        <f t="shared" si="1"/>
        <v>0</v>
      </c>
      <c r="J813" s="141"/>
      <c r="K813" s="154">
        <f t="shared" si="2"/>
        <v>0</v>
      </c>
      <c r="L813" s="154">
        <f t="shared" si="5"/>
        <v>0</v>
      </c>
      <c r="M813" s="154">
        <f t="shared" si="4"/>
        <v>0</v>
      </c>
      <c r="N813" s="173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ht="15.75" customHeight="1">
      <c r="A814" s="10"/>
      <c r="B814" s="174"/>
      <c r="C814" s="6"/>
      <c r="D814" s="127"/>
      <c r="E814" s="127"/>
      <c r="F814" s="175"/>
      <c r="G814" s="26">
        <v>0.0</v>
      </c>
      <c r="H814" s="176"/>
      <c r="I814" s="154">
        <f t="shared" si="1"/>
        <v>0</v>
      </c>
      <c r="J814" s="141"/>
      <c r="K814" s="154">
        <f t="shared" si="2"/>
        <v>0</v>
      </c>
      <c r="L814" s="154">
        <f t="shared" si="5"/>
        <v>0</v>
      </c>
      <c r="M814" s="154">
        <f t="shared" si="4"/>
        <v>0</v>
      </c>
      <c r="N814" s="173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ht="15.75" customHeight="1">
      <c r="A815" s="10"/>
      <c r="B815" s="174"/>
      <c r="C815" s="6"/>
      <c r="D815" s="127"/>
      <c r="E815" s="127"/>
      <c r="F815" s="175"/>
      <c r="G815" s="26">
        <v>0.0</v>
      </c>
      <c r="H815" s="176"/>
      <c r="I815" s="154">
        <f t="shared" si="1"/>
        <v>0</v>
      </c>
      <c r="J815" s="141"/>
      <c r="K815" s="154">
        <f t="shared" si="2"/>
        <v>0</v>
      </c>
      <c r="L815" s="154">
        <f t="shared" si="5"/>
        <v>0</v>
      </c>
      <c r="M815" s="154">
        <f t="shared" si="4"/>
        <v>0</v>
      </c>
      <c r="N815" s="173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ht="15.75" customHeight="1">
      <c r="A816" s="10"/>
      <c r="B816" s="174"/>
      <c r="C816" s="6"/>
      <c r="D816" s="127"/>
      <c r="E816" s="127"/>
      <c r="F816" s="175"/>
      <c r="G816" s="26">
        <v>0.0</v>
      </c>
      <c r="H816" s="176"/>
      <c r="I816" s="154">
        <f t="shared" si="1"/>
        <v>0</v>
      </c>
      <c r="J816" s="141"/>
      <c r="K816" s="154">
        <f t="shared" si="2"/>
        <v>0</v>
      </c>
      <c r="L816" s="154">
        <f t="shared" si="5"/>
        <v>0</v>
      </c>
      <c r="M816" s="154">
        <f t="shared" si="4"/>
        <v>0</v>
      </c>
      <c r="N816" s="173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ht="15.75" customHeight="1">
      <c r="A817" s="10"/>
      <c r="B817" s="174"/>
      <c r="C817" s="6"/>
      <c r="D817" s="127"/>
      <c r="E817" s="127"/>
      <c r="F817" s="175"/>
      <c r="G817" s="26">
        <v>0.0</v>
      </c>
      <c r="H817" s="176"/>
      <c r="I817" s="154">
        <f t="shared" si="1"/>
        <v>0</v>
      </c>
      <c r="J817" s="141"/>
      <c r="K817" s="154">
        <f t="shared" si="2"/>
        <v>0</v>
      </c>
      <c r="L817" s="154">
        <f t="shared" si="5"/>
        <v>0</v>
      </c>
      <c r="M817" s="154">
        <f t="shared" si="4"/>
        <v>0</v>
      </c>
      <c r="N817" s="173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ht="15.75" customHeight="1">
      <c r="A818" s="10"/>
      <c r="B818" s="174"/>
      <c r="C818" s="6"/>
      <c r="D818" s="127"/>
      <c r="E818" s="127"/>
      <c r="F818" s="175"/>
      <c r="G818" s="26">
        <v>0.0</v>
      </c>
      <c r="H818" s="176"/>
      <c r="I818" s="154">
        <f t="shared" si="1"/>
        <v>0</v>
      </c>
      <c r="J818" s="141"/>
      <c r="K818" s="154">
        <f t="shared" si="2"/>
        <v>0</v>
      </c>
      <c r="L818" s="154">
        <f t="shared" si="5"/>
        <v>0</v>
      </c>
      <c r="M818" s="154">
        <f t="shared" si="4"/>
        <v>0</v>
      </c>
      <c r="N818" s="173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ht="15.75" customHeight="1">
      <c r="A819" s="10"/>
      <c r="B819" s="174"/>
      <c r="C819" s="6"/>
      <c r="D819" s="127"/>
      <c r="E819" s="127"/>
      <c r="F819" s="175"/>
      <c r="G819" s="26">
        <v>0.0</v>
      </c>
      <c r="H819" s="176"/>
      <c r="I819" s="154">
        <f t="shared" si="1"/>
        <v>0</v>
      </c>
      <c r="J819" s="141"/>
      <c r="K819" s="154">
        <f t="shared" si="2"/>
        <v>0</v>
      </c>
      <c r="L819" s="154">
        <f t="shared" si="5"/>
        <v>0</v>
      </c>
      <c r="M819" s="154">
        <f t="shared" si="4"/>
        <v>0</v>
      </c>
      <c r="N819" s="173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ht="15.75" customHeight="1">
      <c r="A820" s="10"/>
      <c r="B820" s="174"/>
      <c r="C820" s="6"/>
      <c r="D820" s="127"/>
      <c r="E820" s="127"/>
      <c r="F820" s="175"/>
      <c r="G820" s="26">
        <v>0.0</v>
      </c>
      <c r="H820" s="176"/>
      <c r="I820" s="154">
        <f t="shared" si="1"/>
        <v>0</v>
      </c>
      <c r="J820" s="141"/>
      <c r="K820" s="154">
        <f t="shared" si="2"/>
        <v>0</v>
      </c>
      <c r="L820" s="154">
        <f t="shared" si="5"/>
        <v>0</v>
      </c>
      <c r="M820" s="154">
        <f t="shared" si="4"/>
        <v>0</v>
      </c>
      <c r="N820" s="173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ht="15.75" customHeight="1">
      <c r="A821" s="10"/>
      <c r="B821" s="174"/>
      <c r="C821" s="6"/>
      <c r="D821" s="127"/>
      <c r="E821" s="127"/>
      <c r="F821" s="175"/>
      <c r="G821" s="26">
        <v>0.0</v>
      </c>
      <c r="H821" s="176"/>
      <c r="I821" s="154">
        <f t="shared" si="1"/>
        <v>0</v>
      </c>
      <c r="J821" s="141"/>
      <c r="K821" s="154">
        <f t="shared" si="2"/>
        <v>0</v>
      </c>
      <c r="L821" s="154">
        <f t="shared" si="5"/>
        <v>0</v>
      </c>
      <c r="M821" s="154">
        <f t="shared" si="4"/>
        <v>0</v>
      </c>
      <c r="N821" s="173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ht="15.75" customHeight="1">
      <c r="A822" s="10"/>
      <c r="B822" s="174"/>
      <c r="C822" s="6"/>
      <c r="D822" s="127"/>
      <c r="E822" s="127"/>
      <c r="F822" s="175"/>
      <c r="G822" s="26">
        <v>0.0</v>
      </c>
      <c r="H822" s="176"/>
      <c r="I822" s="154">
        <f t="shared" si="1"/>
        <v>0</v>
      </c>
      <c r="J822" s="141"/>
      <c r="K822" s="154">
        <f t="shared" si="2"/>
        <v>0</v>
      </c>
      <c r="L822" s="154">
        <f t="shared" si="5"/>
        <v>0</v>
      </c>
      <c r="M822" s="154">
        <f t="shared" si="4"/>
        <v>0</v>
      </c>
      <c r="N822" s="173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ht="15.75" customHeight="1">
      <c r="A823" s="10"/>
      <c r="B823" s="174"/>
      <c r="C823" s="6"/>
      <c r="D823" s="127"/>
      <c r="E823" s="127"/>
      <c r="F823" s="175"/>
      <c r="G823" s="26">
        <v>0.0</v>
      </c>
      <c r="H823" s="176"/>
      <c r="I823" s="154">
        <f t="shared" si="1"/>
        <v>0</v>
      </c>
      <c r="J823" s="141"/>
      <c r="K823" s="154">
        <f t="shared" si="2"/>
        <v>0</v>
      </c>
      <c r="L823" s="154">
        <f t="shared" si="5"/>
        <v>0</v>
      </c>
      <c r="M823" s="154">
        <f t="shared" si="4"/>
        <v>0</v>
      </c>
      <c r="N823" s="173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ht="15.75" customHeight="1">
      <c r="A824" s="10"/>
      <c r="B824" s="174"/>
      <c r="C824" s="6"/>
      <c r="D824" s="127"/>
      <c r="E824" s="127"/>
      <c r="F824" s="175"/>
      <c r="G824" s="26">
        <v>0.0</v>
      </c>
      <c r="H824" s="176"/>
      <c r="I824" s="154">
        <f t="shared" si="1"/>
        <v>0</v>
      </c>
      <c r="J824" s="141"/>
      <c r="K824" s="154">
        <f t="shared" si="2"/>
        <v>0</v>
      </c>
      <c r="L824" s="154">
        <f t="shared" si="5"/>
        <v>0</v>
      </c>
      <c r="M824" s="154">
        <f t="shared" si="4"/>
        <v>0</v>
      </c>
      <c r="N824" s="173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ht="15.75" customHeight="1">
      <c r="A825" s="10"/>
      <c r="B825" s="174"/>
      <c r="C825" s="6"/>
      <c r="D825" s="127"/>
      <c r="E825" s="127"/>
      <c r="F825" s="175"/>
      <c r="G825" s="26">
        <v>0.0</v>
      </c>
      <c r="H825" s="176"/>
      <c r="I825" s="154">
        <f t="shared" si="1"/>
        <v>0</v>
      </c>
      <c r="J825" s="141"/>
      <c r="K825" s="154">
        <f t="shared" si="2"/>
        <v>0</v>
      </c>
      <c r="L825" s="154">
        <f t="shared" si="5"/>
        <v>0</v>
      </c>
      <c r="M825" s="154">
        <f t="shared" si="4"/>
        <v>0</v>
      </c>
      <c r="N825" s="173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ht="15.75" customHeight="1">
      <c r="A826" s="10"/>
      <c r="B826" s="174"/>
      <c r="C826" s="6"/>
      <c r="D826" s="127"/>
      <c r="E826" s="127"/>
      <c r="F826" s="175"/>
      <c r="G826" s="26">
        <v>0.0</v>
      </c>
      <c r="H826" s="176"/>
      <c r="I826" s="154">
        <f t="shared" si="1"/>
        <v>0</v>
      </c>
      <c r="J826" s="141"/>
      <c r="K826" s="154">
        <f t="shared" si="2"/>
        <v>0</v>
      </c>
      <c r="L826" s="154">
        <f t="shared" si="5"/>
        <v>0</v>
      </c>
      <c r="M826" s="154">
        <f t="shared" si="4"/>
        <v>0</v>
      </c>
      <c r="N826" s="173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ht="15.75" customHeight="1">
      <c r="A827" s="10"/>
      <c r="B827" s="174"/>
      <c r="C827" s="6"/>
      <c r="D827" s="127"/>
      <c r="E827" s="127"/>
      <c r="F827" s="175"/>
      <c r="G827" s="26">
        <v>0.0</v>
      </c>
      <c r="H827" s="176"/>
      <c r="I827" s="154">
        <f t="shared" si="1"/>
        <v>0</v>
      </c>
      <c r="J827" s="141"/>
      <c r="K827" s="154">
        <f t="shared" si="2"/>
        <v>0</v>
      </c>
      <c r="L827" s="154">
        <f t="shared" si="5"/>
        <v>0</v>
      </c>
      <c r="M827" s="154">
        <f t="shared" si="4"/>
        <v>0</v>
      </c>
      <c r="N827" s="173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ht="15.75" customHeight="1">
      <c r="A828" s="10"/>
      <c r="B828" s="174"/>
      <c r="C828" s="6"/>
      <c r="D828" s="127"/>
      <c r="E828" s="127"/>
      <c r="F828" s="175"/>
      <c r="G828" s="26">
        <v>0.0</v>
      </c>
      <c r="H828" s="176"/>
      <c r="I828" s="154">
        <f t="shared" si="1"/>
        <v>0</v>
      </c>
      <c r="J828" s="141"/>
      <c r="K828" s="154">
        <f t="shared" si="2"/>
        <v>0</v>
      </c>
      <c r="L828" s="154">
        <f t="shared" si="5"/>
        <v>0</v>
      </c>
      <c r="M828" s="154">
        <f t="shared" si="4"/>
        <v>0</v>
      </c>
      <c r="N828" s="173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ht="15.75" customHeight="1">
      <c r="A829" s="10"/>
      <c r="B829" s="174"/>
      <c r="C829" s="6"/>
      <c r="D829" s="127"/>
      <c r="E829" s="127"/>
      <c r="F829" s="175"/>
      <c r="G829" s="26">
        <v>0.0</v>
      </c>
      <c r="H829" s="176"/>
      <c r="I829" s="154">
        <f t="shared" si="1"/>
        <v>0</v>
      </c>
      <c r="J829" s="141"/>
      <c r="K829" s="154">
        <f t="shared" si="2"/>
        <v>0</v>
      </c>
      <c r="L829" s="154">
        <f t="shared" si="5"/>
        <v>0</v>
      </c>
      <c r="M829" s="154">
        <f t="shared" si="4"/>
        <v>0</v>
      </c>
      <c r="N829" s="173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ht="15.75" customHeight="1">
      <c r="A830" s="10"/>
      <c r="B830" s="174"/>
      <c r="C830" s="6"/>
      <c r="D830" s="127"/>
      <c r="E830" s="127"/>
      <c r="F830" s="175"/>
      <c r="G830" s="26">
        <v>0.0</v>
      </c>
      <c r="H830" s="176"/>
      <c r="I830" s="154">
        <f t="shared" si="1"/>
        <v>0</v>
      </c>
      <c r="J830" s="141"/>
      <c r="K830" s="154">
        <f t="shared" si="2"/>
        <v>0</v>
      </c>
      <c r="L830" s="154">
        <f t="shared" si="5"/>
        <v>0</v>
      </c>
      <c r="M830" s="154">
        <f t="shared" si="4"/>
        <v>0</v>
      </c>
      <c r="N830" s="173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ht="15.75" customHeight="1">
      <c r="A831" s="10"/>
      <c r="B831" s="174"/>
      <c r="C831" s="6"/>
      <c r="D831" s="127"/>
      <c r="E831" s="127"/>
      <c r="F831" s="175"/>
      <c r="G831" s="26">
        <v>0.0</v>
      </c>
      <c r="H831" s="176"/>
      <c r="I831" s="154">
        <f t="shared" si="1"/>
        <v>0</v>
      </c>
      <c r="J831" s="141"/>
      <c r="K831" s="154">
        <f t="shared" si="2"/>
        <v>0</v>
      </c>
      <c r="L831" s="154">
        <f t="shared" si="5"/>
        <v>0</v>
      </c>
      <c r="M831" s="154">
        <f t="shared" si="4"/>
        <v>0</v>
      </c>
      <c r="N831" s="173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ht="15.75" customHeight="1">
      <c r="A832" s="10"/>
      <c r="B832" s="174"/>
      <c r="C832" s="6"/>
      <c r="D832" s="127"/>
      <c r="E832" s="127"/>
      <c r="F832" s="175"/>
      <c r="G832" s="26">
        <v>0.0</v>
      </c>
      <c r="H832" s="176"/>
      <c r="I832" s="154">
        <f t="shared" si="1"/>
        <v>0</v>
      </c>
      <c r="J832" s="141"/>
      <c r="K832" s="154">
        <f t="shared" si="2"/>
        <v>0</v>
      </c>
      <c r="L832" s="154">
        <f t="shared" si="5"/>
        <v>0</v>
      </c>
      <c r="M832" s="154">
        <f t="shared" si="4"/>
        <v>0</v>
      </c>
      <c r="N832" s="173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ht="15.75" customHeight="1">
      <c r="A833" s="10"/>
      <c r="B833" s="174"/>
      <c r="C833" s="6"/>
      <c r="D833" s="127"/>
      <c r="E833" s="127"/>
      <c r="F833" s="175"/>
      <c r="G833" s="26">
        <v>0.0</v>
      </c>
      <c r="H833" s="176"/>
      <c r="I833" s="154">
        <f t="shared" si="1"/>
        <v>0</v>
      </c>
      <c r="J833" s="141"/>
      <c r="K833" s="154">
        <f t="shared" si="2"/>
        <v>0</v>
      </c>
      <c r="L833" s="154">
        <f t="shared" si="5"/>
        <v>0</v>
      </c>
      <c r="M833" s="154">
        <f t="shared" si="4"/>
        <v>0</v>
      </c>
      <c r="N833" s="173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ht="15.75" customHeight="1">
      <c r="A834" s="10"/>
      <c r="B834" s="174"/>
      <c r="C834" s="6"/>
      <c r="D834" s="127"/>
      <c r="E834" s="127"/>
      <c r="F834" s="175"/>
      <c r="G834" s="26">
        <v>0.0</v>
      </c>
      <c r="H834" s="176"/>
      <c r="I834" s="154">
        <f t="shared" si="1"/>
        <v>0</v>
      </c>
      <c r="J834" s="141"/>
      <c r="K834" s="154">
        <f t="shared" si="2"/>
        <v>0</v>
      </c>
      <c r="L834" s="154">
        <f t="shared" si="5"/>
        <v>0</v>
      </c>
      <c r="M834" s="154">
        <f t="shared" si="4"/>
        <v>0</v>
      </c>
      <c r="N834" s="173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ht="15.75" customHeight="1">
      <c r="A835" s="10"/>
      <c r="B835" s="174"/>
      <c r="C835" s="6"/>
      <c r="D835" s="127"/>
      <c r="E835" s="127"/>
      <c r="F835" s="175"/>
      <c r="G835" s="26">
        <v>0.0</v>
      </c>
      <c r="H835" s="176"/>
      <c r="I835" s="154">
        <f t="shared" si="1"/>
        <v>0</v>
      </c>
      <c r="J835" s="141"/>
      <c r="K835" s="154">
        <f t="shared" si="2"/>
        <v>0</v>
      </c>
      <c r="L835" s="154">
        <f t="shared" si="5"/>
        <v>0</v>
      </c>
      <c r="M835" s="154">
        <f t="shared" si="4"/>
        <v>0</v>
      </c>
      <c r="N835" s="173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ht="15.75" customHeight="1">
      <c r="A836" s="10"/>
      <c r="B836" s="174"/>
      <c r="C836" s="6"/>
      <c r="D836" s="127"/>
      <c r="E836" s="127"/>
      <c r="F836" s="175"/>
      <c r="G836" s="26">
        <v>0.0</v>
      </c>
      <c r="H836" s="176"/>
      <c r="I836" s="154">
        <f t="shared" si="1"/>
        <v>0</v>
      </c>
      <c r="J836" s="141"/>
      <c r="K836" s="154">
        <f t="shared" si="2"/>
        <v>0</v>
      </c>
      <c r="L836" s="154">
        <f t="shared" si="5"/>
        <v>0</v>
      </c>
      <c r="M836" s="154">
        <f t="shared" si="4"/>
        <v>0</v>
      </c>
      <c r="N836" s="173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ht="15.75" customHeight="1">
      <c r="A837" s="10"/>
      <c r="B837" s="174"/>
      <c r="C837" s="6"/>
      <c r="D837" s="127"/>
      <c r="E837" s="127"/>
      <c r="F837" s="175"/>
      <c r="G837" s="26">
        <v>0.0</v>
      </c>
      <c r="H837" s="176"/>
      <c r="I837" s="154">
        <f t="shared" si="1"/>
        <v>0</v>
      </c>
      <c r="J837" s="141"/>
      <c r="K837" s="154">
        <f t="shared" si="2"/>
        <v>0</v>
      </c>
      <c r="L837" s="154">
        <f t="shared" si="5"/>
        <v>0</v>
      </c>
      <c r="M837" s="154">
        <f t="shared" si="4"/>
        <v>0</v>
      </c>
      <c r="N837" s="173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ht="15.75" customHeight="1">
      <c r="A838" s="10"/>
      <c r="B838" s="174"/>
      <c r="C838" s="6"/>
      <c r="D838" s="127"/>
      <c r="E838" s="127"/>
      <c r="F838" s="175"/>
      <c r="G838" s="26">
        <v>0.0</v>
      </c>
      <c r="H838" s="176"/>
      <c r="I838" s="154">
        <f t="shared" si="1"/>
        <v>0</v>
      </c>
      <c r="J838" s="141"/>
      <c r="K838" s="154">
        <f t="shared" si="2"/>
        <v>0</v>
      </c>
      <c r="L838" s="154">
        <f t="shared" si="5"/>
        <v>0</v>
      </c>
      <c r="M838" s="154">
        <f t="shared" si="4"/>
        <v>0</v>
      </c>
      <c r="N838" s="173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ht="15.75" customHeight="1">
      <c r="A839" s="10"/>
      <c r="B839" s="174"/>
      <c r="C839" s="6"/>
      <c r="D839" s="127"/>
      <c r="E839" s="127"/>
      <c r="F839" s="175"/>
      <c r="G839" s="26">
        <v>0.0</v>
      </c>
      <c r="H839" s="176"/>
      <c r="I839" s="154">
        <f t="shared" si="1"/>
        <v>0</v>
      </c>
      <c r="J839" s="141"/>
      <c r="K839" s="154">
        <f t="shared" si="2"/>
        <v>0</v>
      </c>
      <c r="L839" s="154">
        <f t="shared" si="5"/>
        <v>0</v>
      </c>
      <c r="M839" s="154">
        <f t="shared" si="4"/>
        <v>0</v>
      </c>
      <c r="N839" s="173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ht="15.75" customHeight="1">
      <c r="A840" s="10"/>
      <c r="B840" s="174"/>
      <c r="C840" s="6"/>
      <c r="D840" s="127"/>
      <c r="E840" s="127"/>
      <c r="F840" s="175"/>
      <c r="G840" s="26">
        <v>0.0</v>
      </c>
      <c r="H840" s="176"/>
      <c r="I840" s="154">
        <f t="shared" si="1"/>
        <v>0</v>
      </c>
      <c r="J840" s="141"/>
      <c r="K840" s="154">
        <f t="shared" si="2"/>
        <v>0</v>
      </c>
      <c r="L840" s="154">
        <f t="shared" si="5"/>
        <v>0</v>
      </c>
      <c r="M840" s="154">
        <f t="shared" si="4"/>
        <v>0</v>
      </c>
      <c r="N840" s="173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ht="15.75" customHeight="1">
      <c r="A841" s="10"/>
      <c r="B841" s="174"/>
      <c r="C841" s="6"/>
      <c r="D841" s="127"/>
      <c r="E841" s="127"/>
      <c r="F841" s="175"/>
      <c r="G841" s="26">
        <v>0.0</v>
      </c>
      <c r="H841" s="176"/>
      <c r="I841" s="154">
        <f t="shared" si="1"/>
        <v>0</v>
      </c>
      <c r="J841" s="141"/>
      <c r="K841" s="154">
        <f t="shared" si="2"/>
        <v>0</v>
      </c>
      <c r="L841" s="154">
        <f t="shared" si="5"/>
        <v>0</v>
      </c>
      <c r="M841" s="154">
        <f t="shared" si="4"/>
        <v>0</v>
      </c>
      <c r="N841" s="173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ht="15.75" customHeight="1">
      <c r="A842" s="10"/>
      <c r="B842" s="174"/>
      <c r="C842" s="6"/>
      <c r="D842" s="127"/>
      <c r="E842" s="127"/>
      <c r="F842" s="175"/>
      <c r="G842" s="26">
        <v>0.0</v>
      </c>
      <c r="H842" s="176"/>
      <c r="I842" s="154">
        <f t="shared" si="1"/>
        <v>0</v>
      </c>
      <c r="J842" s="141"/>
      <c r="K842" s="154">
        <f t="shared" si="2"/>
        <v>0</v>
      </c>
      <c r="L842" s="154">
        <f t="shared" si="5"/>
        <v>0</v>
      </c>
      <c r="M842" s="154">
        <f t="shared" si="4"/>
        <v>0</v>
      </c>
      <c r="N842" s="173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ht="15.75" customHeight="1">
      <c r="A843" s="10"/>
      <c r="B843" s="174"/>
      <c r="C843" s="6"/>
      <c r="D843" s="127"/>
      <c r="E843" s="127"/>
      <c r="F843" s="175"/>
      <c r="G843" s="26">
        <v>0.0</v>
      </c>
      <c r="H843" s="176"/>
      <c r="I843" s="154">
        <f t="shared" si="1"/>
        <v>0</v>
      </c>
      <c r="J843" s="141"/>
      <c r="K843" s="154">
        <f t="shared" si="2"/>
        <v>0</v>
      </c>
      <c r="L843" s="154">
        <f t="shared" si="5"/>
        <v>0</v>
      </c>
      <c r="M843" s="154">
        <f t="shared" si="4"/>
        <v>0</v>
      </c>
      <c r="N843" s="173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ht="15.75" customHeight="1">
      <c r="A844" s="10"/>
      <c r="B844" s="174"/>
      <c r="C844" s="6"/>
      <c r="D844" s="127"/>
      <c r="E844" s="127"/>
      <c r="F844" s="175"/>
      <c r="G844" s="26">
        <v>0.0</v>
      </c>
      <c r="H844" s="176"/>
      <c r="I844" s="154">
        <f t="shared" si="1"/>
        <v>0</v>
      </c>
      <c r="J844" s="141"/>
      <c r="K844" s="154">
        <f t="shared" si="2"/>
        <v>0</v>
      </c>
      <c r="L844" s="154">
        <f t="shared" si="5"/>
        <v>0</v>
      </c>
      <c r="M844" s="154">
        <f t="shared" si="4"/>
        <v>0</v>
      </c>
      <c r="N844" s="173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ht="15.75" customHeight="1">
      <c r="A845" s="10"/>
      <c r="B845" s="174"/>
      <c r="C845" s="6"/>
      <c r="D845" s="127"/>
      <c r="E845" s="127"/>
      <c r="F845" s="175"/>
      <c r="G845" s="26">
        <v>0.0</v>
      </c>
      <c r="H845" s="176"/>
      <c r="I845" s="154">
        <f t="shared" si="1"/>
        <v>0</v>
      </c>
      <c r="J845" s="141"/>
      <c r="K845" s="154">
        <f t="shared" si="2"/>
        <v>0</v>
      </c>
      <c r="L845" s="154">
        <f t="shared" si="5"/>
        <v>0</v>
      </c>
      <c r="M845" s="154">
        <f t="shared" si="4"/>
        <v>0</v>
      </c>
      <c r="N845" s="173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ht="15.75" customHeight="1">
      <c r="A846" s="10"/>
      <c r="B846" s="174"/>
      <c r="C846" s="6"/>
      <c r="D846" s="127"/>
      <c r="E846" s="127"/>
      <c r="F846" s="175"/>
      <c r="G846" s="26">
        <v>0.0</v>
      </c>
      <c r="H846" s="176"/>
      <c r="I846" s="154">
        <f t="shared" si="1"/>
        <v>0</v>
      </c>
      <c r="J846" s="141"/>
      <c r="K846" s="154">
        <f t="shared" si="2"/>
        <v>0</v>
      </c>
      <c r="L846" s="154">
        <f t="shared" si="5"/>
        <v>0</v>
      </c>
      <c r="M846" s="154">
        <f t="shared" si="4"/>
        <v>0</v>
      </c>
      <c r="N846" s="173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ht="15.75" customHeight="1">
      <c r="A847" s="10"/>
      <c r="B847" s="174"/>
      <c r="C847" s="6"/>
      <c r="D847" s="127"/>
      <c r="E847" s="127"/>
      <c r="F847" s="175"/>
      <c r="G847" s="26">
        <v>0.0</v>
      </c>
      <c r="H847" s="176"/>
      <c r="I847" s="154">
        <f t="shared" si="1"/>
        <v>0</v>
      </c>
      <c r="J847" s="141"/>
      <c r="K847" s="154">
        <f t="shared" si="2"/>
        <v>0</v>
      </c>
      <c r="L847" s="154">
        <f t="shared" si="5"/>
        <v>0</v>
      </c>
      <c r="M847" s="154">
        <f t="shared" si="4"/>
        <v>0</v>
      </c>
      <c r="N847" s="173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ht="15.75" customHeight="1">
      <c r="A848" s="10"/>
      <c r="B848" s="174"/>
      <c r="C848" s="6"/>
      <c r="D848" s="127"/>
      <c r="E848" s="127"/>
      <c r="F848" s="175"/>
      <c r="G848" s="26">
        <v>0.0</v>
      </c>
      <c r="H848" s="176"/>
      <c r="I848" s="154">
        <f t="shared" si="1"/>
        <v>0</v>
      </c>
      <c r="J848" s="141"/>
      <c r="K848" s="154">
        <f t="shared" si="2"/>
        <v>0</v>
      </c>
      <c r="L848" s="154">
        <f t="shared" si="5"/>
        <v>0</v>
      </c>
      <c r="M848" s="154">
        <f t="shared" si="4"/>
        <v>0</v>
      </c>
      <c r="N848" s="173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ht="15.75" customHeight="1">
      <c r="A849" s="10"/>
      <c r="B849" s="174"/>
      <c r="C849" s="6"/>
      <c r="D849" s="127"/>
      <c r="E849" s="127"/>
      <c r="F849" s="175"/>
      <c r="G849" s="26">
        <v>0.0</v>
      </c>
      <c r="H849" s="176"/>
      <c r="I849" s="154">
        <f t="shared" si="1"/>
        <v>0</v>
      </c>
      <c r="J849" s="141"/>
      <c r="K849" s="154">
        <f t="shared" si="2"/>
        <v>0</v>
      </c>
      <c r="L849" s="154">
        <f t="shared" si="5"/>
        <v>0</v>
      </c>
      <c r="M849" s="154">
        <f t="shared" si="4"/>
        <v>0</v>
      </c>
      <c r="N849" s="173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ht="15.75" customHeight="1">
      <c r="A850" s="10"/>
      <c r="B850" s="174"/>
      <c r="C850" s="6"/>
      <c r="D850" s="127"/>
      <c r="E850" s="127"/>
      <c r="F850" s="175"/>
      <c r="G850" s="26">
        <v>0.0</v>
      </c>
      <c r="H850" s="176"/>
      <c r="I850" s="154">
        <f t="shared" si="1"/>
        <v>0</v>
      </c>
      <c r="J850" s="141"/>
      <c r="K850" s="154">
        <f t="shared" si="2"/>
        <v>0</v>
      </c>
      <c r="L850" s="154">
        <f t="shared" si="5"/>
        <v>0</v>
      </c>
      <c r="M850" s="154">
        <f t="shared" si="4"/>
        <v>0</v>
      </c>
      <c r="N850" s="173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ht="15.75" customHeight="1">
      <c r="A851" s="10"/>
      <c r="B851" s="174"/>
      <c r="C851" s="6"/>
      <c r="D851" s="127"/>
      <c r="E851" s="127"/>
      <c r="F851" s="175"/>
      <c r="G851" s="26">
        <v>0.0</v>
      </c>
      <c r="H851" s="176"/>
      <c r="I851" s="154">
        <f t="shared" si="1"/>
        <v>0</v>
      </c>
      <c r="J851" s="141"/>
      <c r="K851" s="154">
        <f t="shared" si="2"/>
        <v>0</v>
      </c>
      <c r="L851" s="154">
        <f t="shared" si="5"/>
        <v>0</v>
      </c>
      <c r="M851" s="154">
        <f t="shared" si="4"/>
        <v>0</v>
      </c>
      <c r="N851" s="173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ht="15.75" customHeight="1">
      <c r="A852" s="10"/>
      <c r="B852" s="174"/>
      <c r="C852" s="6"/>
      <c r="D852" s="127"/>
      <c r="E852" s="127"/>
      <c r="F852" s="175"/>
      <c r="G852" s="26">
        <v>0.0</v>
      </c>
      <c r="H852" s="176"/>
      <c r="I852" s="154">
        <f t="shared" si="1"/>
        <v>0</v>
      </c>
      <c r="J852" s="141"/>
      <c r="K852" s="154">
        <f t="shared" si="2"/>
        <v>0</v>
      </c>
      <c r="L852" s="154">
        <f t="shared" si="5"/>
        <v>0</v>
      </c>
      <c r="M852" s="154">
        <f t="shared" si="4"/>
        <v>0</v>
      </c>
      <c r="N852" s="173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ht="15.75" customHeight="1">
      <c r="A853" s="10"/>
      <c r="B853" s="174"/>
      <c r="C853" s="6"/>
      <c r="D853" s="127"/>
      <c r="E853" s="127"/>
      <c r="F853" s="175"/>
      <c r="G853" s="26">
        <v>0.0</v>
      </c>
      <c r="H853" s="176"/>
      <c r="I853" s="154">
        <f t="shared" si="1"/>
        <v>0</v>
      </c>
      <c r="J853" s="141"/>
      <c r="K853" s="154">
        <f t="shared" si="2"/>
        <v>0</v>
      </c>
      <c r="L853" s="154">
        <f t="shared" si="5"/>
        <v>0</v>
      </c>
      <c r="M853" s="154">
        <f t="shared" si="4"/>
        <v>0</v>
      </c>
      <c r="N853" s="173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ht="15.75" customHeight="1">
      <c r="A854" s="10"/>
      <c r="B854" s="174"/>
      <c r="C854" s="6"/>
      <c r="D854" s="127"/>
      <c r="E854" s="127"/>
      <c r="F854" s="175"/>
      <c r="G854" s="26">
        <v>0.0</v>
      </c>
      <c r="H854" s="176"/>
      <c r="I854" s="154">
        <f t="shared" si="1"/>
        <v>0</v>
      </c>
      <c r="J854" s="141"/>
      <c r="K854" s="154">
        <f t="shared" si="2"/>
        <v>0</v>
      </c>
      <c r="L854" s="154">
        <f t="shared" si="5"/>
        <v>0</v>
      </c>
      <c r="M854" s="154">
        <f t="shared" si="4"/>
        <v>0</v>
      </c>
      <c r="N854" s="173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ht="15.75" customHeight="1">
      <c r="A855" s="10"/>
      <c r="B855" s="174"/>
      <c r="C855" s="6"/>
      <c r="D855" s="127"/>
      <c r="E855" s="127"/>
      <c r="F855" s="175"/>
      <c r="G855" s="26">
        <v>0.0</v>
      </c>
      <c r="H855" s="176"/>
      <c r="I855" s="154">
        <f t="shared" si="1"/>
        <v>0</v>
      </c>
      <c r="J855" s="141"/>
      <c r="K855" s="154">
        <f t="shared" si="2"/>
        <v>0</v>
      </c>
      <c r="L855" s="154">
        <f t="shared" si="5"/>
        <v>0</v>
      </c>
      <c r="M855" s="154">
        <f t="shared" si="4"/>
        <v>0</v>
      </c>
      <c r="N855" s="173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ht="15.75" customHeight="1">
      <c r="A856" s="10"/>
      <c r="B856" s="174"/>
      <c r="C856" s="6"/>
      <c r="D856" s="127"/>
      <c r="E856" s="127"/>
      <c r="F856" s="175"/>
      <c r="G856" s="26">
        <v>0.0</v>
      </c>
      <c r="H856" s="176"/>
      <c r="I856" s="154">
        <f t="shared" si="1"/>
        <v>0</v>
      </c>
      <c r="J856" s="141"/>
      <c r="K856" s="154">
        <f t="shared" si="2"/>
        <v>0</v>
      </c>
      <c r="L856" s="154">
        <f t="shared" si="5"/>
        <v>0</v>
      </c>
      <c r="M856" s="154">
        <f t="shared" si="4"/>
        <v>0</v>
      </c>
      <c r="N856" s="173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ht="15.75" customHeight="1">
      <c r="A857" s="10"/>
      <c r="B857" s="174"/>
      <c r="C857" s="6"/>
      <c r="D857" s="127"/>
      <c r="E857" s="127"/>
      <c r="F857" s="175"/>
      <c r="G857" s="26">
        <v>0.0</v>
      </c>
      <c r="H857" s="176"/>
      <c r="I857" s="154">
        <f t="shared" si="1"/>
        <v>0</v>
      </c>
      <c r="J857" s="141"/>
      <c r="K857" s="154">
        <f t="shared" si="2"/>
        <v>0</v>
      </c>
      <c r="L857" s="154">
        <f t="shared" si="5"/>
        <v>0</v>
      </c>
      <c r="M857" s="154">
        <f t="shared" si="4"/>
        <v>0</v>
      </c>
      <c r="N857" s="173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ht="15.75" customHeight="1">
      <c r="A858" s="10"/>
      <c r="B858" s="174"/>
      <c r="C858" s="6"/>
      <c r="D858" s="127"/>
      <c r="E858" s="127"/>
      <c r="F858" s="175"/>
      <c r="G858" s="26">
        <v>0.0</v>
      </c>
      <c r="H858" s="176"/>
      <c r="I858" s="154">
        <f t="shared" si="1"/>
        <v>0</v>
      </c>
      <c r="J858" s="141"/>
      <c r="K858" s="154">
        <f t="shared" si="2"/>
        <v>0</v>
      </c>
      <c r="L858" s="154">
        <f t="shared" si="5"/>
        <v>0</v>
      </c>
      <c r="M858" s="154">
        <f t="shared" si="4"/>
        <v>0</v>
      </c>
      <c r="N858" s="173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ht="15.75" customHeight="1">
      <c r="A859" s="10"/>
      <c r="B859" s="174"/>
      <c r="C859" s="6"/>
      <c r="D859" s="127"/>
      <c r="E859" s="127"/>
      <c r="F859" s="175"/>
      <c r="G859" s="26">
        <v>0.0</v>
      </c>
      <c r="H859" s="176"/>
      <c r="I859" s="154">
        <f t="shared" si="1"/>
        <v>0</v>
      </c>
      <c r="J859" s="141"/>
      <c r="K859" s="154">
        <f t="shared" si="2"/>
        <v>0</v>
      </c>
      <c r="L859" s="154">
        <f t="shared" si="5"/>
        <v>0</v>
      </c>
      <c r="M859" s="154">
        <f t="shared" si="4"/>
        <v>0</v>
      </c>
      <c r="N859" s="173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ht="15.75" customHeight="1">
      <c r="A860" s="10"/>
      <c r="B860" s="174"/>
      <c r="C860" s="6"/>
      <c r="D860" s="127"/>
      <c r="E860" s="127"/>
      <c r="F860" s="175"/>
      <c r="G860" s="26">
        <v>0.0</v>
      </c>
      <c r="H860" s="176"/>
      <c r="I860" s="154">
        <f t="shared" si="1"/>
        <v>0</v>
      </c>
      <c r="J860" s="141"/>
      <c r="K860" s="154">
        <f t="shared" si="2"/>
        <v>0</v>
      </c>
      <c r="L860" s="154">
        <f t="shared" si="5"/>
        <v>0</v>
      </c>
      <c r="M860" s="154">
        <f t="shared" si="4"/>
        <v>0</v>
      </c>
      <c r="N860" s="173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ht="15.75" customHeight="1">
      <c r="A861" s="10"/>
      <c r="B861" s="174"/>
      <c r="C861" s="6"/>
      <c r="D861" s="127"/>
      <c r="E861" s="127"/>
      <c r="F861" s="175"/>
      <c r="G861" s="26">
        <v>0.0</v>
      </c>
      <c r="H861" s="176"/>
      <c r="I861" s="154">
        <f t="shared" si="1"/>
        <v>0</v>
      </c>
      <c r="J861" s="141"/>
      <c r="K861" s="154">
        <f t="shared" si="2"/>
        <v>0</v>
      </c>
      <c r="L861" s="154">
        <f t="shared" si="5"/>
        <v>0</v>
      </c>
      <c r="M861" s="154">
        <f t="shared" si="4"/>
        <v>0</v>
      </c>
      <c r="N861" s="173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ht="15.75" customHeight="1">
      <c r="A862" s="10"/>
      <c r="B862" s="174"/>
      <c r="C862" s="6"/>
      <c r="D862" s="127"/>
      <c r="E862" s="127"/>
      <c r="F862" s="175"/>
      <c r="G862" s="26">
        <v>0.0</v>
      </c>
      <c r="H862" s="176"/>
      <c r="I862" s="154">
        <f t="shared" si="1"/>
        <v>0</v>
      </c>
      <c r="J862" s="141"/>
      <c r="K862" s="154">
        <f t="shared" si="2"/>
        <v>0</v>
      </c>
      <c r="L862" s="154">
        <f t="shared" si="5"/>
        <v>0</v>
      </c>
      <c r="M862" s="154">
        <f t="shared" si="4"/>
        <v>0</v>
      </c>
      <c r="N862" s="173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ht="15.75" customHeight="1">
      <c r="A863" s="10"/>
      <c r="B863" s="174"/>
      <c r="C863" s="6"/>
      <c r="D863" s="127"/>
      <c r="E863" s="127"/>
      <c r="F863" s="175"/>
      <c r="G863" s="26">
        <v>0.0</v>
      </c>
      <c r="H863" s="176"/>
      <c r="I863" s="154">
        <f t="shared" si="1"/>
        <v>0</v>
      </c>
      <c r="J863" s="141"/>
      <c r="K863" s="154">
        <f t="shared" si="2"/>
        <v>0</v>
      </c>
      <c r="L863" s="154">
        <f t="shared" si="5"/>
        <v>0</v>
      </c>
      <c r="M863" s="154">
        <f t="shared" si="4"/>
        <v>0</v>
      </c>
      <c r="N863" s="173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ht="15.75" customHeight="1">
      <c r="A864" s="10"/>
      <c r="B864" s="174"/>
      <c r="C864" s="6"/>
      <c r="D864" s="127"/>
      <c r="E864" s="127"/>
      <c r="F864" s="175"/>
      <c r="G864" s="26">
        <v>0.0</v>
      </c>
      <c r="H864" s="176"/>
      <c r="I864" s="154">
        <f t="shared" si="1"/>
        <v>0</v>
      </c>
      <c r="J864" s="141"/>
      <c r="K864" s="154">
        <f t="shared" si="2"/>
        <v>0</v>
      </c>
      <c r="L864" s="154">
        <f t="shared" si="5"/>
        <v>0</v>
      </c>
      <c r="M864" s="154">
        <f t="shared" si="4"/>
        <v>0</v>
      </c>
      <c r="N864" s="173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ht="15.75" customHeight="1">
      <c r="A865" s="10"/>
      <c r="B865" s="174"/>
      <c r="C865" s="6"/>
      <c r="D865" s="127"/>
      <c r="E865" s="127"/>
      <c r="F865" s="175"/>
      <c r="G865" s="26">
        <v>0.0</v>
      </c>
      <c r="H865" s="176"/>
      <c r="I865" s="154">
        <f t="shared" si="1"/>
        <v>0</v>
      </c>
      <c r="J865" s="141"/>
      <c r="K865" s="154">
        <f t="shared" si="2"/>
        <v>0</v>
      </c>
      <c r="L865" s="154">
        <f t="shared" si="5"/>
        <v>0</v>
      </c>
      <c r="M865" s="154">
        <f t="shared" si="4"/>
        <v>0</v>
      </c>
      <c r="N865" s="173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ht="15.75" customHeight="1">
      <c r="A866" s="10"/>
      <c r="B866" s="174"/>
      <c r="C866" s="6"/>
      <c r="D866" s="127"/>
      <c r="E866" s="127"/>
      <c r="F866" s="175"/>
      <c r="G866" s="26">
        <v>0.0</v>
      </c>
      <c r="H866" s="176"/>
      <c r="I866" s="154">
        <f t="shared" si="1"/>
        <v>0</v>
      </c>
      <c r="J866" s="141"/>
      <c r="K866" s="154">
        <f t="shared" si="2"/>
        <v>0</v>
      </c>
      <c r="L866" s="154">
        <f t="shared" si="5"/>
        <v>0</v>
      </c>
      <c r="M866" s="154">
        <f t="shared" si="4"/>
        <v>0</v>
      </c>
      <c r="N866" s="173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ht="15.75" customHeight="1">
      <c r="A867" s="10"/>
      <c r="B867" s="174"/>
      <c r="C867" s="6"/>
      <c r="D867" s="127"/>
      <c r="E867" s="127"/>
      <c r="F867" s="175"/>
      <c r="G867" s="26">
        <v>0.0</v>
      </c>
      <c r="H867" s="176"/>
      <c r="I867" s="154">
        <f t="shared" si="1"/>
        <v>0</v>
      </c>
      <c r="J867" s="141"/>
      <c r="K867" s="154">
        <f t="shared" si="2"/>
        <v>0</v>
      </c>
      <c r="L867" s="154">
        <f t="shared" si="5"/>
        <v>0</v>
      </c>
      <c r="M867" s="154">
        <f t="shared" si="4"/>
        <v>0</v>
      </c>
      <c r="N867" s="173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ht="15.75" customHeight="1">
      <c r="A868" s="10"/>
      <c r="B868" s="174"/>
      <c r="C868" s="6"/>
      <c r="D868" s="127"/>
      <c r="E868" s="127"/>
      <c r="F868" s="175"/>
      <c r="G868" s="26">
        <v>0.0</v>
      </c>
      <c r="H868" s="176"/>
      <c r="I868" s="154">
        <f t="shared" si="1"/>
        <v>0</v>
      </c>
      <c r="J868" s="141"/>
      <c r="K868" s="154">
        <f t="shared" si="2"/>
        <v>0</v>
      </c>
      <c r="L868" s="154">
        <f t="shared" si="5"/>
        <v>0</v>
      </c>
      <c r="M868" s="154">
        <f t="shared" si="4"/>
        <v>0</v>
      </c>
      <c r="N868" s="173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ht="15.75" customHeight="1">
      <c r="A869" s="10"/>
      <c r="B869" s="174"/>
      <c r="C869" s="6"/>
      <c r="D869" s="127"/>
      <c r="E869" s="127"/>
      <c r="F869" s="175"/>
      <c r="G869" s="26">
        <v>0.0</v>
      </c>
      <c r="H869" s="176"/>
      <c r="I869" s="154">
        <f t="shared" si="1"/>
        <v>0</v>
      </c>
      <c r="J869" s="141"/>
      <c r="K869" s="154">
        <f t="shared" si="2"/>
        <v>0</v>
      </c>
      <c r="L869" s="154">
        <f t="shared" si="5"/>
        <v>0</v>
      </c>
      <c r="M869" s="154">
        <f t="shared" si="4"/>
        <v>0</v>
      </c>
      <c r="N869" s="173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ht="15.75" customHeight="1">
      <c r="A870" s="10"/>
      <c r="B870" s="174"/>
      <c r="C870" s="6"/>
      <c r="D870" s="127"/>
      <c r="E870" s="127"/>
      <c r="F870" s="175"/>
      <c r="G870" s="26">
        <v>0.0</v>
      </c>
      <c r="H870" s="176"/>
      <c r="I870" s="154">
        <f t="shared" si="1"/>
        <v>0</v>
      </c>
      <c r="J870" s="141"/>
      <c r="K870" s="154">
        <f t="shared" si="2"/>
        <v>0</v>
      </c>
      <c r="L870" s="154">
        <f t="shared" si="5"/>
        <v>0</v>
      </c>
      <c r="M870" s="154">
        <f t="shared" si="4"/>
        <v>0</v>
      </c>
      <c r="N870" s="173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ht="15.75" customHeight="1">
      <c r="A871" s="10"/>
      <c r="B871" s="174"/>
      <c r="C871" s="6"/>
      <c r="D871" s="127"/>
      <c r="E871" s="127"/>
      <c r="F871" s="175"/>
      <c r="G871" s="26">
        <v>0.0</v>
      </c>
      <c r="H871" s="176"/>
      <c r="I871" s="154">
        <f t="shared" si="1"/>
        <v>0</v>
      </c>
      <c r="J871" s="141"/>
      <c r="K871" s="154">
        <f t="shared" si="2"/>
        <v>0</v>
      </c>
      <c r="L871" s="154">
        <f t="shared" si="5"/>
        <v>0</v>
      </c>
      <c r="M871" s="154">
        <f t="shared" si="4"/>
        <v>0</v>
      </c>
      <c r="N871" s="173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ht="15.75" customHeight="1">
      <c r="A872" s="10"/>
      <c r="B872" s="174"/>
      <c r="C872" s="6"/>
      <c r="D872" s="127"/>
      <c r="E872" s="127"/>
      <c r="F872" s="175"/>
      <c r="G872" s="26">
        <v>0.0</v>
      </c>
      <c r="H872" s="176"/>
      <c r="I872" s="154">
        <f t="shared" si="1"/>
        <v>0</v>
      </c>
      <c r="J872" s="141"/>
      <c r="K872" s="154">
        <f t="shared" si="2"/>
        <v>0</v>
      </c>
      <c r="L872" s="154">
        <f t="shared" si="5"/>
        <v>0</v>
      </c>
      <c r="M872" s="154">
        <f t="shared" si="4"/>
        <v>0</v>
      </c>
      <c r="N872" s="173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ht="15.75" customHeight="1">
      <c r="A873" s="10"/>
      <c r="B873" s="174"/>
      <c r="C873" s="6"/>
      <c r="D873" s="127"/>
      <c r="E873" s="127"/>
      <c r="F873" s="175"/>
      <c r="G873" s="26">
        <v>0.0</v>
      </c>
      <c r="H873" s="176"/>
      <c r="I873" s="154">
        <f t="shared" si="1"/>
        <v>0</v>
      </c>
      <c r="J873" s="141"/>
      <c r="K873" s="154">
        <f t="shared" si="2"/>
        <v>0</v>
      </c>
      <c r="L873" s="154">
        <f t="shared" si="5"/>
        <v>0</v>
      </c>
      <c r="M873" s="154">
        <f t="shared" si="4"/>
        <v>0</v>
      </c>
      <c r="N873" s="173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ht="15.75" customHeight="1">
      <c r="A874" s="10"/>
      <c r="B874" s="174"/>
      <c r="C874" s="6"/>
      <c r="D874" s="127"/>
      <c r="E874" s="127"/>
      <c r="F874" s="175"/>
      <c r="G874" s="26">
        <v>0.0</v>
      </c>
      <c r="H874" s="176"/>
      <c r="I874" s="154">
        <f t="shared" si="1"/>
        <v>0</v>
      </c>
      <c r="J874" s="141"/>
      <c r="K874" s="154">
        <f t="shared" si="2"/>
        <v>0</v>
      </c>
      <c r="L874" s="154">
        <f t="shared" si="5"/>
        <v>0</v>
      </c>
      <c r="M874" s="154">
        <f t="shared" si="4"/>
        <v>0</v>
      </c>
      <c r="N874" s="173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ht="15.75" customHeight="1">
      <c r="A875" s="10"/>
      <c r="B875" s="174"/>
      <c r="C875" s="6"/>
      <c r="D875" s="127"/>
      <c r="E875" s="127"/>
      <c r="F875" s="175"/>
      <c r="G875" s="26">
        <v>0.0</v>
      </c>
      <c r="H875" s="176"/>
      <c r="I875" s="154">
        <f t="shared" si="1"/>
        <v>0</v>
      </c>
      <c r="J875" s="141"/>
      <c r="K875" s="154">
        <f t="shared" si="2"/>
        <v>0</v>
      </c>
      <c r="L875" s="154">
        <f t="shared" si="5"/>
        <v>0</v>
      </c>
      <c r="M875" s="154">
        <f t="shared" si="4"/>
        <v>0</v>
      </c>
      <c r="N875" s="173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ht="15.75" customHeight="1">
      <c r="A876" s="10"/>
      <c r="B876" s="174"/>
      <c r="C876" s="6"/>
      <c r="D876" s="127"/>
      <c r="E876" s="127"/>
      <c r="F876" s="175"/>
      <c r="G876" s="26">
        <v>0.0</v>
      </c>
      <c r="H876" s="176"/>
      <c r="I876" s="154">
        <f t="shared" si="1"/>
        <v>0</v>
      </c>
      <c r="J876" s="141"/>
      <c r="K876" s="154">
        <f t="shared" si="2"/>
        <v>0</v>
      </c>
      <c r="L876" s="154">
        <f t="shared" si="5"/>
        <v>0</v>
      </c>
      <c r="M876" s="154">
        <f t="shared" si="4"/>
        <v>0</v>
      </c>
      <c r="N876" s="173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ht="15.75" customHeight="1">
      <c r="A877" s="10"/>
      <c r="B877" s="174"/>
      <c r="C877" s="6"/>
      <c r="D877" s="127"/>
      <c r="E877" s="127"/>
      <c r="F877" s="175"/>
      <c r="G877" s="26">
        <v>0.0</v>
      </c>
      <c r="H877" s="176"/>
      <c r="I877" s="154">
        <f t="shared" si="1"/>
        <v>0</v>
      </c>
      <c r="J877" s="141"/>
      <c r="K877" s="154">
        <f t="shared" si="2"/>
        <v>0</v>
      </c>
      <c r="L877" s="154">
        <f t="shared" si="5"/>
        <v>0</v>
      </c>
      <c r="M877" s="154">
        <f t="shared" si="4"/>
        <v>0</v>
      </c>
      <c r="N877" s="173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ht="15.75" customHeight="1">
      <c r="A878" s="10"/>
      <c r="B878" s="174"/>
      <c r="C878" s="6"/>
      <c r="D878" s="127"/>
      <c r="E878" s="127"/>
      <c r="F878" s="175"/>
      <c r="G878" s="26">
        <v>0.0</v>
      </c>
      <c r="H878" s="176"/>
      <c r="I878" s="154">
        <f t="shared" si="1"/>
        <v>0</v>
      </c>
      <c r="J878" s="141"/>
      <c r="K878" s="154">
        <f t="shared" si="2"/>
        <v>0</v>
      </c>
      <c r="L878" s="154">
        <f t="shared" si="5"/>
        <v>0</v>
      </c>
      <c r="M878" s="154">
        <f t="shared" si="4"/>
        <v>0</v>
      </c>
      <c r="N878" s="173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ht="15.75" customHeight="1">
      <c r="A879" s="10"/>
      <c r="B879" s="174"/>
      <c r="C879" s="6"/>
      <c r="D879" s="127"/>
      <c r="E879" s="127"/>
      <c r="F879" s="175"/>
      <c r="G879" s="26">
        <v>0.0</v>
      </c>
      <c r="H879" s="176"/>
      <c r="I879" s="154">
        <f t="shared" si="1"/>
        <v>0</v>
      </c>
      <c r="J879" s="141"/>
      <c r="K879" s="154">
        <f t="shared" si="2"/>
        <v>0</v>
      </c>
      <c r="L879" s="154">
        <f t="shared" si="5"/>
        <v>0</v>
      </c>
      <c r="M879" s="154">
        <f t="shared" si="4"/>
        <v>0</v>
      </c>
      <c r="N879" s="173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ht="15.75" customHeight="1">
      <c r="A880" s="10"/>
      <c r="B880" s="174"/>
      <c r="C880" s="6"/>
      <c r="D880" s="127"/>
      <c r="E880" s="127"/>
      <c r="F880" s="175"/>
      <c r="G880" s="26">
        <v>0.0</v>
      </c>
      <c r="H880" s="176"/>
      <c r="I880" s="154">
        <f t="shared" si="1"/>
        <v>0</v>
      </c>
      <c r="J880" s="141"/>
      <c r="K880" s="154">
        <f t="shared" si="2"/>
        <v>0</v>
      </c>
      <c r="L880" s="154">
        <f t="shared" si="5"/>
        <v>0</v>
      </c>
      <c r="M880" s="154">
        <f t="shared" si="4"/>
        <v>0</v>
      </c>
      <c r="N880" s="173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ht="15.75" customHeight="1">
      <c r="A881" s="10"/>
      <c r="B881" s="174"/>
      <c r="C881" s="6"/>
      <c r="D881" s="127"/>
      <c r="E881" s="127"/>
      <c r="F881" s="175"/>
      <c r="G881" s="26">
        <v>0.0</v>
      </c>
      <c r="H881" s="176"/>
      <c r="I881" s="154">
        <f t="shared" si="1"/>
        <v>0</v>
      </c>
      <c r="J881" s="141"/>
      <c r="K881" s="154">
        <f t="shared" si="2"/>
        <v>0</v>
      </c>
      <c r="L881" s="154">
        <f t="shared" si="5"/>
        <v>0</v>
      </c>
      <c r="M881" s="154">
        <f t="shared" si="4"/>
        <v>0</v>
      </c>
      <c r="N881" s="173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ht="15.75" customHeight="1">
      <c r="A882" s="10"/>
      <c r="B882" s="174"/>
      <c r="C882" s="6"/>
      <c r="D882" s="127"/>
      <c r="E882" s="127"/>
      <c r="F882" s="175"/>
      <c r="G882" s="26">
        <v>0.0</v>
      </c>
      <c r="H882" s="176"/>
      <c r="I882" s="154">
        <f t="shared" si="1"/>
        <v>0</v>
      </c>
      <c r="J882" s="141"/>
      <c r="K882" s="154">
        <f t="shared" si="2"/>
        <v>0</v>
      </c>
      <c r="L882" s="154">
        <f t="shared" si="5"/>
        <v>0</v>
      </c>
      <c r="M882" s="154">
        <f t="shared" si="4"/>
        <v>0</v>
      </c>
      <c r="N882" s="173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ht="15.75" customHeight="1">
      <c r="A883" s="10"/>
      <c r="B883" s="174"/>
      <c r="C883" s="6"/>
      <c r="D883" s="127"/>
      <c r="E883" s="127"/>
      <c r="F883" s="175"/>
      <c r="G883" s="26">
        <v>0.0</v>
      </c>
      <c r="H883" s="176"/>
      <c r="I883" s="154">
        <f t="shared" si="1"/>
        <v>0</v>
      </c>
      <c r="J883" s="141"/>
      <c r="K883" s="154">
        <f t="shared" si="2"/>
        <v>0</v>
      </c>
      <c r="L883" s="154">
        <f t="shared" si="5"/>
        <v>0</v>
      </c>
      <c r="M883" s="154">
        <f t="shared" si="4"/>
        <v>0</v>
      </c>
      <c r="N883" s="173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ht="15.75" customHeight="1">
      <c r="A884" s="10"/>
      <c r="B884" s="174"/>
      <c r="C884" s="6"/>
      <c r="D884" s="127"/>
      <c r="E884" s="127"/>
      <c r="F884" s="175"/>
      <c r="G884" s="26">
        <v>0.0</v>
      </c>
      <c r="H884" s="176"/>
      <c r="I884" s="154">
        <f t="shared" si="1"/>
        <v>0</v>
      </c>
      <c r="J884" s="141"/>
      <c r="K884" s="154">
        <f t="shared" si="2"/>
        <v>0</v>
      </c>
      <c r="L884" s="154">
        <f t="shared" si="5"/>
        <v>0</v>
      </c>
      <c r="M884" s="154">
        <f t="shared" si="4"/>
        <v>0</v>
      </c>
      <c r="N884" s="173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ht="15.75" customHeight="1">
      <c r="A885" s="10"/>
      <c r="B885" s="174"/>
      <c r="C885" s="6"/>
      <c r="D885" s="127"/>
      <c r="E885" s="127"/>
      <c r="F885" s="175"/>
      <c r="G885" s="26">
        <v>0.0</v>
      </c>
      <c r="H885" s="176"/>
      <c r="I885" s="154">
        <f t="shared" si="1"/>
        <v>0</v>
      </c>
      <c r="J885" s="141"/>
      <c r="K885" s="154">
        <f t="shared" si="2"/>
        <v>0</v>
      </c>
      <c r="L885" s="154">
        <f t="shared" si="5"/>
        <v>0</v>
      </c>
      <c r="M885" s="154">
        <f t="shared" si="4"/>
        <v>0</v>
      </c>
      <c r="N885" s="173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ht="15.75" customHeight="1">
      <c r="A886" s="10"/>
      <c r="B886" s="174"/>
      <c r="C886" s="6"/>
      <c r="D886" s="127"/>
      <c r="E886" s="127"/>
      <c r="F886" s="175"/>
      <c r="G886" s="26">
        <v>0.0</v>
      </c>
      <c r="H886" s="176"/>
      <c r="I886" s="154">
        <f t="shared" si="1"/>
        <v>0</v>
      </c>
      <c r="J886" s="141"/>
      <c r="K886" s="154">
        <f t="shared" si="2"/>
        <v>0</v>
      </c>
      <c r="L886" s="154">
        <f t="shared" si="5"/>
        <v>0</v>
      </c>
      <c r="M886" s="154">
        <f t="shared" si="4"/>
        <v>0</v>
      </c>
      <c r="N886" s="173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ht="15.75" customHeight="1">
      <c r="A887" s="10"/>
      <c r="B887" s="174"/>
      <c r="C887" s="6"/>
      <c r="D887" s="127"/>
      <c r="E887" s="127"/>
      <c r="F887" s="175"/>
      <c r="G887" s="26">
        <v>0.0</v>
      </c>
      <c r="H887" s="176"/>
      <c r="I887" s="154">
        <f t="shared" si="1"/>
        <v>0</v>
      </c>
      <c r="J887" s="141"/>
      <c r="K887" s="154">
        <f t="shared" si="2"/>
        <v>0</v>
      </c>
      <c r="L887" s="154">
        <f t="shared" si="5"/>
        <v>0</v>
      </c>
      <c r="M887" s="154">
        <f t="shared" si="4"/>
        <v>0</v>
      </c>
      <c r="N887" s="173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ht="15.75" customHeight="1">
      <c r="A888" s="10"/>
      <c r="B888" s="174"/>
      <c r="C888" s="6"/>
      <c r="D888" s="127"/>
      <c r="E888" s="127"/>
      <c r="F888" s="175"/>
      <c r="G888" s="26">
        <v>0.0</v>
      </c>
      <c r="H888" s="176"/>
      <c r="I888" s="154">
        <f t="shared" si="1"/>
        <v>0</v>
      </c>
      <c r="J888" s="141"/>
      <c r="K888" s="154">
        <f t="shared" si="2"/>
        <v>0</v>
      </c>
      <c r="L888" s="154">
        <f t="shared" si="5"/>
        <v>0</v>
      </c>
      <c r="M888" s="154">
        <f t="shared" si="4"/>
        <v>0</v>
      </c>
      <c r="N888" s="173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ht="15.75" customHeight="1">
      <c r="A889" s="10"/>
      <c r="B889" s="174"/>
      <c r="C889" s="6"/>
      <c r="D889" s="127"/>
      <c r="E889" s="127"/>
      <c r="F889" s="175"/>
      <c r="G889" s="26">
        <v>0.0</v>
      </c>
      <c r="H889" s="176"/>
      <c r="I889" s="154">
        <f t="shared" si="1"/>
        <v>0</v>
      </c>
      <c r="J889" s="141"/>
      <c r="K889" s="154">
        <f t="shared" si="2"/>
        <v>0</v>
      </c>
      <c r="L889" s="154">
        <f t="shared" si="5"/>
        <v>0</v>
      </c>
      <c r="M889" s="154">
        <f t="shared" si="4"/>
        <v>0</v>
      </c>
      <c r="N889" s="173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ht="15.75" customHeight="1">
      <c r="A890" s="10"/>
      <c r="B890" s="174"/>
      <c r="C890" s="6"/>
      <c r="D890" s="127"/>
      <c r="E890" s="127"/>
      <c r="F890" s="175"/>
      <c r="G890" s="26">
        <v>0.0</v>
      </c>
      <c r="H890" s="176"/>
      <c r="I890" s="154">
        <f t="shared" si="1"/>
        <v>0</v>
      </c>
      <c r="J890" s="141"/>
      <c r="K890" s="154">
        <f t="shared" si="2"/>
        <v>0</v>
      </c>
      <c r="L890" s="154">
        <f t="shared" si="5"/>
        <v>0</v>
      </c>
      <c r="M890" s="154">
        <f t="shared" si="4"/>
        <v>0</v>
      </c>
      <c r="N890" s="173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ht="15.75" customHeight="1">
      <c r="A891" s="10"/>
      <c r="B891" s="174"/>
      <c r="C891" s="6"/>
      <c r="D891" s="127"/>
      <c r="E891" s="127"/>
      <c r="F891" s="175"/>
      <c r="G891" s="26">
        <v>0.0</v>
      </c>
      <c r="H891" s="176"/>
      <c r="I891" s="154">
        <f t="shared" si="1"/>
        <v>0</v>
      </c>
      <c r="J891" s="141"/>
      <c r="K891" s="154">
        <f t="shared" si="2"/>
        <v>0</v>
      </c>
      <c r="L891" s="154">
        <f t="shared" si="5"/>
        <v>0</v>
      </c>
      <c r="M891" s="154">
        <f t="shared" si="4"/>
        <v>0</v>
      </c>
      <c r="N891" s="173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ht="15.75" customHeight="1">
      <c r="A892" s="10"/>
      <c r="B892" s="174"/>
      <c r="C892" s="6"/>
      <c r="D892" s="127"/>
      <c r="E892" s="127"/>
      <c r="F892" s="175"/>
      <c r="G892" s="26">
        <v>0.0</v>
      </c>
      <c r="H892" s="176"/>
      <c r="I892" s="154">
        <f t="shared" si="1"/>
        <v>0</v>
      </c>
      <c r="J892" s="141"/>
      <c r="K892" s="154">
        <f t="shared" si="2"/>
        <v>0</v>
      </c>
      <c r="L892" s="154">
        <f t="shared" si="5"/>
        <v>0</v>
      </c>
      <c r="M892" s="154">
        <f t="shared" si="4"/>
        <v>0</v>
      </c>
      <c r="N892" s="173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ht="15.75" customHeight="1">
      <c r="A893" s="10"/>
      <c r="B893" s="174"/>
      <c r="C893" s="6"/>
      <c r="D893" s="127"/>
      <c r="E893" s="127"/>
      <c r="F893" s="175"/>
      <c r="G893" s="26">
        <v>0.0</v>
      </c>
      <c r="H893" s="176"/>
      <c r="I893" s="154">
        <f t="shared" si="1"/>
        <v>0</v>
      </c>
      <c r="J893" s="141"/>
      <c r="K893" s="154">
        <f t="shared" si="2"/>
        <v>0</v>
      </c>
      <c r="L893" s="154">
        <f t="shared" si="5"/>
        <v>0</v>
      </c>
      <c r="M893" s="154">
        <f t="shared" si="4"/>
        <v>0</v>
      </c>
      <c r="N893" s="173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ht="15.75" customHeight="1">
      <c r="A894" s="10"/>
      <c r="B894" s="174"/>
      <c r="C894" s="6"/>
      <c r="D894" s="127"/>
      <c r="E894" s="127"/>
      <c r="F894" s="175"/>
      <c r="G894" s="26">
        <v>0.0</v>
      </c>
      <c r="H894" s="176"/>
      <c r="I894" s="154">
        <f t="shared" si="1"/>
        <v>0</v>
      </c>
      <c r="J894" s="141"/>
      <c r="K894" s="154">
        <f t="shared" si="2"/>
        <v>0</v>
      </c>
      <c r="L894" s="154">
        <f t="shared" si="5"/>
        <v>0</v>
      </c>
      <c r="M894" s="154">
        <f t="shared" si="4"/>
        <v>0</v>
      </c>
      <c r="N894" s="173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ht="15.75" customHeight="1">
      <c r="A895" s="10"/>
      <c r="B895" s="174"/>
      <c r="C895" s="6"/>
      <c r="D895" s="127"/>
      <c r="E895" s="127"/>
      <c r="F895" s="175"/>
      <c r="G895" s="26">
        <v>0.0</v>
      </c>
      <c r="H895" s="176"/>
      <c r="I895" s="154">
        <f t="shared" si="1"/>
        <v>0</v>
      </c>
      <c r="J895" s="141"/>
      <c r="K895" s="154">
        <f t="shared" si="2"/>
        <v>0</v>
      </c>
      <c r="L895" s="154">
        <f t="shared" si="5"/>
        <v>0</v>
      </c>
      <c r="M895" s="154">
        <f t="shared" si="4"/>
        <v>0</v>
      </c>
      <c r="N895" s="173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ht="15.75" customHeight="1">
      <c r="A896" s="10"/>
      <c r="B896" s="174"/>
      <c r="C896" s="6"/>
      <c r="D896" s="127"/>
      <c r="E896" s="127"/>
      <c r="F896" s="175"/>
      <c r="G896" s="26">
        <v>0.0</v>
      </c>
      <c r="H896" s="176"/>
      <c r="I896" s="154">
        <f t="shared" si="1"/>
        <v>0</v>
      </c>
      <c r="J896" s="141"/>
      <c r="K896" s="154">
        <f t="shared" si="2"/>
        <v>0</v>
      </c>
      <c r="L896" s="154">
        <f t="shared" si="5"/>
        <v>0</v>
      </c>
      <c r="M896" s="154">
        <f t="shared" si="4"/>
        <v>0</v>
      </c>
      <c r="N896" s="173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ht="15.75" customHeight="1">
      <c r="A897" s="10"/>
      <c r="B897" s="174"/>
      <c r="C897" s="6"/>
      <c r="D897" s="127"/>
      <c r="E897" s="127"/>
      <c r="F897" s="175"/>
      <c r="G897" s="26">
        <v>0.0</v>
      </c>
      <c r="H897" s="176"/>
      <c r="I897" s="154">
        <f t="shared" si="1"/>
        <v>0</v>
      </c>
      <c r="J897" s="141"/>
      <c r="K897" s="154">
        <f t="shared" si="2"/>
        <v>0</v>
      </c>
      <c r="L897" s="154">
        <f t="shared" si="5"/>
        <v>0</v>
      </c>
      <c r="M897" s="154">
        <f t="shared" si="4"/>
        <v>0</v>
      </c>
      <c r="N897" s="173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ht="15.75" customHeight="1">
      <c r="A898" s="10"/>
      <c r="B898" s="174"/>
      <c r="C898" s="6"/>
      <c r="D898" s="127"/>
      <c r="E898" s="127"/>
      <c r="F898" s="175"/>
      <c r="G898" s="26">
        <v>0.0</v>
      </c>
      <c r="H898" s="176"/>
      <c r="I898" s="154">
        <f t="shared" si="1"/>
        <v>0</v>
      </c>
      <c r="J898" s="141"/>
      <c r="K898" s="154">
        <f t="shared" si="2"/>
        <v>0</v>
      </c>
      <c r="L898" s="154">
        <f t="shared" si="5"/>
        <v>0</v>
      </c>
      <c r="M898" s="154">
        <f t="shared" si="4"/>
        <v>0</v>
      </c>
      <c r="N898" s="173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ht="15.75" customHeight="1">
      <c r="A899" s="10"/>
      <c r="B899" s="174"/>
      <c r="C899" s="6"/>
      <c r="D899" s="127"/>
      <c r="E899" s="127"/>
      <c r="F899" s="175"/>
      <c r="G899" s="26">
        <v>0.0</v>
      </c>
      <c r="H899" s="176"/>
      <c r="I899" s="154">
        <f t="shared" si="1"/>
        <v>0</v>
      </c>
      <c r="J899" s="141"/>
      <c r="K899" s="154">
        <f t="shared" si="2"/>
        <v>0</v>
      </c>
      <c r="L899" s="154">
        <f t="shared" si="5"/>
        <v>0</v>
      </c>
      <c r="M899" s="154">
        <f t="shared" si="4"/>
        <v>0</v>
      </c>
      <c r="N899" s="173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ht="15.75" customHeight="1">
      <c r="A900" s="10"/>
      <c r="B900" s="174"/>
      <c r="C900" s="6"/>
      <c r="D900" s="127"/>
      <c r="E900" s="127"/>
      <c r="F900" s="175"/>
      <c r="G900" s="26">
        <v>0.0</v>
      </c>
      <c r="H900" s="176"/>
      <c r="I900" s="154">
        <f t="shared" si="1"/>
        <v>0</v>
      </c>
      <c r="J900" s="141"/>
      <c r="K900" s="154">
        <f t="shared" si="2"/>
        <v>0</v>
      </c>
      <c r="L900" s="154">
        <f t="shared" si="5"/>
        <v>0</v>
      </c>
      <c r="M900" s="154">
        <f t="shared" si="4"/>
        <v>0</v>
      </c>
      <c r="N900" s="173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ht="15.75" customHeight="1">
      <c r="A901" s="10"/>
      <c r="B901" s="174"/>
      <c r="C901" s="6"/>
      <c r="D901" s="127"/>
      <c r="E901" s="127"/>
      <c r="F901" s="175"/>
      <c r="G901" s="26">
        <v>0.0</v>
      </c>
      <c r="H901" s="176"/>
      <c r="I901" s="154">
        <f t="shared" si="1"/>
        <v>0</v>
      </c>
      <c r="J901" s="141"/>
      <c r="K901" s="154">
        <f t="shared" si="2"/>
        <v>0</v>
      </c>
      <c r="L901" s="154">
        <f t="shared" si="5"/>
        <v>0</v>
      </c>
      <c r="M901" s="154">
        <f t="shared" si="4"/>
        <v>0</v>
      </c>
      <c r="N901" s="173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ht="15.75" customHeight="1">
      <c r="A902" s="10"/>
      <c r="B902" s="174"/>
      <c r="C902" s="6"/>
      <c r="D902" s="127"/>
      <c r="E902" s="127"/>
      <c r="F902" s="175"/>
      <c r="G902" s="26">
        <v>0.0</v>
      </c>
      <c r="H902" s="176"/>
      <c r="I902" s="154">
        <f t="shared" si="1"/>
        <v>0</v>
      </c>
      <c r="J902" s="141"/>
      <c r="K902" s="154">
        <f t="shared" si="2"/>
        <v>0</v>
      </c>
      <c r="L902" s="154">
        <f t="shared" si="5"/>
        <v>0</v>
      </c>
      <c r="M902" s="154">
        <f t="shared" si="4"/>
        <v>0</v>
      </c>
      <c r="N902" s="173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ht="15.75" customHeight="1">
      <c r="A903" s="10"/>
      <c r="B903" s="174"/>
      <c r="C903" s="6"/>
      <c r="D903" s="127"/>
      <c r="E903" s="127"/>
      <c r="F903" s="175"/>
      <c r="G903" s="26">
        <v>0.0</v>
      </c>
      <c r="H903" s="176"/>
      <c r="I903" s="154">
        <f t="shared" si="1"/>
        <v>0</v>
      </c>
      <c r="J903" s="141"/>
      <c r="K903" s="154">
        <f t="shared" si="2"/>
        <v>0</v>
      </c>
      <c r="L903" s="154">
        <f t="shared" si="5"/>
        <v>0</v>
      </c>
      <c r="M903" s="154">
        <f t="shared" si="4"/>
        <v>0</v>
      </c>
      <c r="N903" s="173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ht="15.75" customHeight="1">
      <c r="A904" s="10"/>
      <c r="B904" s="174"/>
      <c r="C904" s="6"/>
      <c r="D904" s="127"/>
      <c r="E904" s="127"/>
      <c r="F904" s="175"/>
      <c r="G904" s="26">
        <v>0.0</v>
      </c>
      <c r="H904" s="176"/>
      <c r="I904" s="154">
        <f t="shared" si="1"/>
        <v>0</v>
      </c>
      <c r="J904" s="141"/>
      <c r="K904" s="154">
        <f t="shared" si="2"/>
        <v>0</v>
      </c>
      <c r="L904" s="154">
        <f t="shared" si="5"/>
        <v>0</v>
      </c>
      <c r="M904" s="154">
        <f t="shared" si="4"/>
        <v>0</v>
      </c>
      <c r="N904" s="173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ht="15.75" customHeight="1">
      <c r="A905" s="10"/>
      <c r="B905" s="174"/>
      <c r="C905" s="6"/>
      <c r="D905" s="127"/>
      <c r="E905" s="127"/>
      <c r="F905" s="175"/>
      <c r="G905" s="26">
        <v>0.0</v>
      </c>
      <c r="H905" s="176"/>
      <c r="I905" s="154">
        <f t="shared" si="1"/>
        <v>0</v>
      </c>
      <c r="J905" s="141"/>
      <c r="K905" s="154">
        <f t="shared" si="2"/>
        <v>0</v>
      </c>
      <c r="L905" s="154">
        <f t="shared" si="5"/>
        <v>0</v>
      </c>
      <c r="M905" s="154">
        <f t="shared" si="4"/>
        <v>0</v>
      </c>
      <c r="N905" s="173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ht="15.75" customHeight="1">
      <c r="A906" s="10"/>
      <c r="B906" s="174"/>
      <c r="C906" s="6"/>
      <c r="D906" s="127"/>
      <c r="E906" s="127"/>
      <c r="F906" s="175"/>
      <c r="G906" s="26">
        <v>0.0</v>
      </c>
      <c r="H906" s="176"/>
      <c r="I906" s="154">
        <f t="shared" si="1"/>
        <v>0</v>
      </c>
      <c r="J906" s="141"/>
      <c r="K906" s="154">
        <f t="shared" si="2"/>
        <v>0</v>
      </c>
      <c r="L906" s="154">
        <f t="shared" si="5"/>
        <v>0</v>
      </c>
      <c r="M906" s="154">
        <f t="shared" si="4"/>
        <v>0</v>
      </c>
      <c r="N906" s="173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ht="15.75" customHeight="1">
      <c r="A907" s="10"/>
      <c r="B907" s="174"/>
      <c r="C907" s="6"/>
      <c r="D907" s="127"/>
      <c r="E907" s="127"/>
      <c r="F907" s="175"/>
      <c r="G907" s="26">
        <v>0.0</v>
      </c>
      <c r="H907" s="176"/>
      <c r="I907" s="154">
        <f t="shared" si="1"/>
        <v>0</v>
      </c>
      <c r="J907" s="141"/>
      <c r="K907" s="154">
        <f t="shared" si="2"/>
        <v>0</v>
      </c>
      <c r="L907" s="154">
        <f t="shared" si="5"/>
        <v>0</v>
      </c>
      <c r="M907" s="154">
        <f t="shared" si="4"/>
        <v>0</v>
      </c>
      <c r="N907" s="173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ht="15.75" customHeight="1">
      <c r="A908" s="10"/>
      <c r="B908" s="174"/>
      <c r="C908" s="6"/>
      <c r="D908" s="127"/>
      <c r="E908" s="127"/>
      <c r="F908" s="175"/>
      <c r="G908" s="26">
        <v>0.0</v>
      </c>
      <c r="H908" s="176"/>
      <c r="I908" s="154">
        <f t="shared" si="1"/>
        <v>0</v>
      </c>
      <c r="J908" s="141"/>
      <c r="K908" s="154">
        <f t="shared" si="2"/>
        <v>0</v>
      </c>
      <c r="L908" s="154">
        <f t="shared" si="5"/>
        <v>0</v>
      </c>
      <c r="M908" s="154">
        <f t="shared" si="4"/>
        <v>0</v>
      </c>
      <c r="N908" s="173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ht="15.75" customHeight="1">
      <c r="A909" s="10"/>
      <c r="B909" s="174"/>
      <c r="C909" s="6"/>
      <c r="D909" s="127"/>
      <c r="E909" s="127"/>
      <c r="F909" s="175"/>
      <c r="G909" s="26">
        <v>0.0</v>
      </c>
      <c r="H909" s="176"/>
      <c r="I909" s="154">
        <f t="shared" si="1"/>
        <v>0</v>
      </c>
      <c r="J909" s="141"/>
      <c r="K909" s="154">
        <f t="shared" si="2"/>
        <v>0</v>
      </c>
      <c r="L909" s="154">
        <f t="shared" si="5"/>
        <v>0</v>
      </c>
      <c r="M909" s="154">
        <f t="shared" si="4"/>
        <v>0</v>
      </c>
      <c r="N909" s="173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ht="15.75" customHeight="1">
      <c r="A910" s="10"/>
      <c r="B910" s="174"/>
      <c r="C910" s="6"/>
      <c r="D910" s="127"/>
      <c r="E910" s="127"/>
      <c r="F910" s="175"/>
      <c r="G910" s="26">
        <v>0.0</v>
      </c>
      <c r="H910" s="176"/>
      <c r="I910" s="154">
        <f t="shared" si="1"/>
        <v>0</v>
      </c>
      <c r="J910" s="141"/>
      <c r="K910" s="154">
        <f t="shared" si="2"/>
        <v>0</v>
      </c>
      <c r="L910" s="154">
        <f t="shared" si="5"/>
        <v>0</v>
      </c>
      <c r="M910" s="154">
        <f t="shared" si="4"/>
        <v>0</v>
      </c>
      <c r="N910" s="173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ht="15.75" customHeight="1">
      <c r="A911" s="10"/>
      <c r="B911" s="174"/>
      <c r="C911" s="6"/>
      <c r="D911" s="127"/>
      <c r="E911" s="127"/>
      <c r="F911" s="175"/>
      <c r="G911" s="26">
        <v>0.0</v>
      </c>
      <c r="H911" s="176"/>
      <c r="I911" s="154">
        <f t="shared" si="1"/>
        <v>0</v>
      </c>
      <c r="J911" s="141"/>
      <c r="K911" s="154">
        <f t="shared" si="2"/>
        <v>0</v>
      </c>
      <c r="L911" s="154">
        <f t="shared" si="5"/>
        <v>0</v>
      </c>
      <c r="M911" s="154">
        <f t="shared" si="4"/>
        <v>0</v>
      </c>
      <c r="N911" s="173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ht="15.75" customHeight="1">
      <c r="A912" s="10"/>
      <c r="B912" s="174"/>
      <c r="C912" s="6"/>
      <c r="D912" s="127"/>
      <c r="E912" s="127"/>
      <c r="F912" s="175"/>
      <c r="G912" s="26">
        <v>0.0</v>
      </c>
      <c r="H912" s="176"/>
      <c r="I912" s="154">
        <f t="shared" si="1"/>
        <v>0</v>
      </c>
      <c r="J912" s="141"/>
      <c r="K912" s="154">
        <f t="shared" si="2"/>
        <v>0</v>
      </c>
      <c r="L912" s="154">
        <f t="shared" si="5"/>
        <v>0</v>
      </c>
      <c r="M912" s="154">
        <f t="shared" si="4"/>
        <v>0</v>
      </c>
      <c r="N912" s="173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ht="15.75" customHeight="1">
      <c r="A913" s="10"/>
      <c r="B913" s="174"/>
      <c r="C913" s="6"/>
      <c r="D913" s="127"/>
      <c r="E913" s="127"/>
      <c r="F913" s="175"/>
      <c r="G913" s="26">
        <v>0.0</v>
      </c>
      <c r="H913" s="176"/>
      <c r="I913" s="154">
        <f t="shared" si="1"/>
        <v>0</v>
      </c>
      <c r="J913" s="141"/>
      <c r="K913" s="154">
        <f t="shared" si="2"/>
        <v>0</v>
      </c>
      <c r="L913" s="154">
        <f t="shared" si="5"/>
        <v>0</v>
      </c>
      <c r="M913" s="154">
        <f t="shared" si="4"/>
        <v>0</v>
      </c>
      <c r="N913" s="173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ht="15.75" customHeight="1">
      <c r="A914" s="10"/>
      <c r="B914" s="174"/>
      <c r="C914" s="6"/>
      <c r="D914" s="127"/>
      <c r="E914" s="127"/>
      <c r="F914" s="175"/>
      <c r="G914" s="26">
        <v>0.0</v>
      </c>
      <c r="H914" s="176"/>
      <c r="I914" s="154">
        <f t="shared" si="1"/>
        <v>0</v>
      </c>
      <c r="J914" s="141"/>
      <c r="K914" s="154">
        <f t="shared" si="2"/>
        <v>0</v>
      </c>
      <c r="L914" s="154">
        <f t="shared" si="5"/>
        <v>0</v>
      </c>
      <c r="M914" s="154">
        <f t="shared" si="4"/>
        <v>0</v>
      </c>
      <c r="N914" s="173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ht="15.75" customHeight="1">
      <c r="A915" s="10"/>
      <c r="B915" s="174"/>
      <c r="C915" s="6"/>
      <c r="D915" s="127"/>
      <c r="E915" s="127"/>
      <c r="F915" s="175"/>
      <c r="G915" s="26">
        <v>0.0</v>
      </c>
      <c r="H915" s="176"/>
      <c r="I915" s="154">
        <f t="shared" si="1"/>
        <v>0</v>
      </c>
      <c r="J915" s="141"/>
      <c r="K915" s="154">
        <f t="shared" si="2"/>
        <v>0</v>
      </c>
      <c r="L915" s="154">
        <f t="shared" si="5"/>
        <v>0</v>
      </c>
      <c r="M915" s="154">
        <f t="shared" si="4"/>
        <v>0</v>
      </c>
      <c r="N915" s="173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ht="15.75" customHeight="1">
      <c r="A916" s="10"/>
      <c r="B916" s="174"/>
      <c r="C916" s="6"/>
      <c r="D916" s="127"/>
      <c r="E916" s="127"/>
      <c r="F916" s="175"/>
      <c r="G916" s="26">
        <v>0.0</v>
      </c>
      <c r="H916" s="176"/>
      <c r="I916" s="154">
        <f t="shared" si="1"/>
        <v>0</v>
      </c>
      <c r="J916" s="141"/>
      <c r="K916" s="154">
        <f t="shared" si="2"/>
        <v>0</v>
      </c>
      <c r="L916" s="154">
        <f t="shared" si="5"/>
        <v>0</v>
      </c>
      <c r="M916" s="154">
        <f t="shared" si="4"/>
        <v>0</v>
      </c>
      <c r="N916" s="173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ht="15.75" customHeight="1">
      <c r="A917" s="10"/>
      <c r="B917" s="174"/>
      <c r="C917" s="6"/>
      <c r="D917" s="127"/>
      <c r="E917" s="127"/>
      <c r="F917" s="175"/>
      <c r="G917" s="26">
        <v>0.0</v>
      </c>
      <c r="H917" s="176"/>
      <c r="I917" s="154">
        <f t="shared" si="1"/>
        <v>0</v>
      </c>
      <c r="J917" s="141"/>
      <c r="K917" s="154">
        <f t="shared" si="2"/>
        <v>0</v>
      </c>
      <c r="L917" s="154">
        <f t="shared" si="5"/>
        <v>0</v>
      </c>
      <c r="M917" s="154">
        <f t="shared" si="4"/>
        <v>0</v>
      </c>
      <c r="N917" s="173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ht="15.75" customHeight="1">
      <c r="A918" s="10"/>
      <c r="B918" s="174"/>
      <c r="C918" s="6"/>
      <c r="D918" s="127"/>
      <c r="E918" s="127"/>
      <c r="F918" s="175"/>
      <c r="G918" s="26">
        <v>0.0</v>
      </c>
      <c r="H918" s="176"/>
      <c r="I918" s="154">
        <f t="shared" si="1"/>
        <v>0</v>
      </c>
      <c r="J918" s="141"/>
      <c r="K918" s="154">
        <f t="shared" si="2"/>
        <v>0</v>
      </c>
      <c r="L918" s="154">
        <f t="shared" si="5"/>
        <v>0</v>
      </c>
      <c r="M918" s="154">
        <f t="shared" si="4"/>
        <v>0</v>
      </c>
      <c r="N918" s="173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ht="15.75" customHeight="1">
      <c r="A919" s="10"/>
      <c r="B919" s="174"/>
      <c r="C919" s="6"/>
      <c r="D919" s="127"/>
      <c r="E919" s="127"/>
      <c r="F919" s="175"/>
      <c r="G919" s="26">
        <v>0.0</v>
      </c>
      <c r="H919" s="176"/>
      <c r="I919" s="154">
        <f t="shared" si="1"/>
        <v>0</v>
      </c>
      <c r="J919" s="141"/>
      <c r="K919" s="154">
        <f t="shared" si="2"/>
        <v>0</v>
      </c>
      <c r="L919" s="154">
        <f t="shared" si="5"/>
        <v>0</v>
      </c>
      <c r="M919" s="154">
        <f t="shared" si="4"/>
        <v>0</v>
      </c>
      <c r="N919" s="173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ht="15.75" customHeight="1">
      <c r="A920" s="10"/>
      <c r="B920" s="174"/>
      <c r="C920" s="6"/>
      <c r="D920" s="127"/>
      <c r="E920" s="127"/>
      <c r="F920" s="175"/>
      <c r="G920" s="26">
        <v>0.0</v>
      </c>
      <c r="H920" s="176"/>
      <c r="I920" s="154">
        <f t="shared" si="1"/>
        <v>0</v>
      </c>
      <c r="J920" s="141"/>
      <c r="K920" s="154">
        <f t="shared" si="2"/>
        <v>0</v>
      </c>
      <c r="L920" s="154">
        <f t="shared" si="5"/>
        <v>0</v>
      </c>
      <c r="M920" s="154">
        <f t="shared" si="4"/>
        <v>0</v>
      </c>
      <c r="N920" s="173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ht="15.75" customHeight="1">
      <c r="A921" s="10"/>
      <c r="B921" s="174"/>
      <c r="C921" s="6"/>
      <c r="D921" s="127"/>
      <c r="E921" s="127"/>
      <c r="F921" s="175"/>
      <c r="G921" s="26">
        <v>0.0</v>
      </c>
      <c r="H921" s="176"/>
      <c r="I921" s="154">
        <f t="shared" si="1"/>
        <v>0</v>
      </c>
      <c r="J921" s="141"/>
      <c r="K921" s="154">
        <f t="shared" si="2"/>
        <v>0</v>
      </c>
      <c r="L921" s="154">
        <f t="shared" si="5"/>
        <v>0</v>
      </c>
      <c r="M921" s="154">
        <f t="shared" si="4"/>
        <v>0</v>
      </c>
      <c r="N921" s="173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ht="15.75" customHeight="1">
      <c r="A922" s="10"/>
      <c r="B922" s="174"/>
      <c r="C922" s="6"/>
      <c r="D922" s="127"/>
      <c r="E922" s="127"/>
      <c r="F922" s="175"/>
      <c r="G922" s="26">
        <v>0.0</v>
      </c>
      <c r="H922" s="176"/>
      <c r="I922" s="154">
        <f t="shared" si="1"/>
        <v>0</v>
      </c>
      <c r="J922" s="141"/>
      <c r="K922" s="154">
        <f t="shared" si="2"/>
        <v>0</v>
      </c>
      <c r="L922" s="154">
        <f t="shared" si="5"/>
        <v>0</v>
      </c>
      <c r="M922" s="154">
        <f t="shared" si="4"/>
        <v>0</v>
      </c>
      <c r="N922" s="173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ht="15.75" customHeight="1">
      <c r="A923" s="190"/>
      <c r="B923" s="191"/>
      <c r="C923" s="6"/>
      <c r="D923" s="132"/>
      <c r="E923" s="127"/>
      <c r="F923" s="132"/>
      <c r="G923" s="26">
        <v>0.0</v>
      </c>
      <c r="H923" s="192"/>
      <c r="I923" s="154">
        <f t="shared" si="1"/>
        <v>0</v>
      </c>
      <c r="J923" s="141"/>
      <c r="K923" s="154">
        <f t="shared" si="2"/>
        <v>0</v>
      </c>
      <c r="L923" s="6"/>
      <c r="M923" s="154">
        <f t="shared" si="4"/>
        <v>0</v>
      </c>
      <c r="N923" s="173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ht="15.75" customHeight="1">
      <c r="A924" s="190"/>
      <c r="B924" s="191"/>
      <c r="C924" s="6"/>
      <c r="D924" s="132"/>
      <c r="E924" s="127"/>
      <c r="F924" s="132"/>
      <c r="G924" s="26">
        <v>0.0</v>
      </c>
      <c r="H924" s="192"/>
      <c r="I924" s="154">
        <f t="shared" si="1"/>
        <v>0</v>
      </c>
      <c r="J924" s="141"/>
      <c r="K924" s="154">
        <f t="shared" si="2"/>
        <v>0</v>
      </c>
      <c r="L924" s="6"/>
      <c r="M924" s="154">
        <f t="shared" si="4"/>
        <v>0</v>
      </c>
      <c r="N924" s="173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ht="15.75" customHeight="1">
      <c r="A925" s="190"/>
      <c r="B925" s="191"/>
      <c r="C925" s="6"/>
      <c r="D925" s="132"/>
      <c r="E925" s="127"/>
      <c r="F925" s="132"/>
      <c r="G925" s="26">
        <v>0.0</v>
      </c>
      <c r="H925" s="192"/>
      <c r="I925" s="154">
        <f t="shared" si="1"/>
        <v>0</v>
      </c>
      <c r="J925" s="141"/>
      <c r="K925" s="154">
        <f t="shared" si="2"/>
        <v>0</v>
      </c>
      <c r="L925" s="6"/>
      <c r="M925" s="154">
        <f t="shared" si="4"/>
        <v>0</v>
      </c>
      <c r="N925" s="173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ht="15.75" customHeight="1">
      <c r="A926" s="190"/>
      <c r="B926" s="193"/>
      <c r="C926" s="194"/>
      <c r="D926" s="195"/>
      <c r="E926" s="195"/>
      <c r="F926" s="195"/>
      <c r="G926" s="26">
        <v>0.0</v>
      </c>
      <c r="H926" s="196"/>
      <c r="I926" s="197">
        <f t="shared" si="1"/>
        <v>0</v>
      </c>
      <c r="J926" s="141"/>
      <c r="K926" s="197">
        <f t="shared" si="2"/>
        <v>0</v>
      </c>
      <c r="L926" s="194"/>
      <c r="M926" s="197">
        <f t="shared" si="4"/>
        <v>0</v>
      </c>
      <c r="N926" s="198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</sheetData>
  <autoFilter ref="$B$1:$N$926">
    <filterColumn colId="12">
      <filters blank="1">
        <filter val="Setembro"/>
        <filter val="Agosto"/>
      </filters>
    </filterColumn>
  </autoFilter>
  <dataValidations>
    <dataValidation type="list" allowBlank="1" showErrorMessage="1" sqref="J2:J926">
      <formula1>"2,00%,1,50%,1,00%,0,75%,0,50%"</formula1>
    </dataValidation>
    <dataValidation type="list" allowBlank="1" sqref="N2:N926">
      <formula1>"Janeiro,Fevereiro,Março,Abril,Maio,Junho,Julho,Agosto,Setembro,Outubro,Novembro,Dezembro"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0"/>
  <cols>
    <col customWidth="1" min="1" max="1" width="8.38"/>
    <col customWidth="1" min="2" max="2" width="16.25"/>
    <col customWidth="1" min="3" max="3" width="19.13"/>
    <col customWidth="1" min="4" max="4" width="17.5"/>
    <col customWidth="1" min="5" max="5" width="17.63"/>
    <col customWidth="1" min="6" max="6" width="20.13"/>
    <col customWidth="1" min="7" max="7" width="15.63"/>
    <col customWidth="1" min="8" max="8" width="21.25"/>
    <col customWidth="1" min="9" max="9" width="22.63"/>
  </cols>
  <sheetData>
    <row r="1" ht="15.75" customHeight="1">
      <c r="A1" s="2" t="s">
        <v>0</v>
      </c>
      <c r="B1" s="3" t="s">
        <v>2</v>
      </c>
      <c r="C1" s="3" t="s">
        <v>3</v>
      </c>
      <c r="D1" s="3" t="s">
        <v>5</v>
      </c>
      <c r="E1" s="3" t="s">
        <v>7</v>
      </c>
      <c r="F1" s="3" t="s">
        <v>10</v>
      </c>
      <c r="G1" s="3" t="s">
        <v>11</v>
      </c>
      <c r="H1" s="3" t="s">
        <v>12</v>
      </c>
      <c r="I1" s="3" t="s">
        <v>13</v>
      </c>
    </row>
    <row r="2" ht="15.75" hidden="1" customHeight="1">
      <c r="A2" s="4"/>
      <c r="B2" s="5">
        <v>1822.0</v>
      </c>
      <c r="C2" s="7" t="s">
        <v>17</v>
      </c>
      <c r="D2" s="8">
        <v>45.41</v>
      </c>
      <c r="E2" s="11">
        <v>2989.4</v>
      </c>
      <c r="F2" s="23">
        <f t="shared" ref="F2:F83" si="1">D2*E2</f>
        <v>135748.654</v>
      </c>
      <c r="G2" s="24">
        <v>0.01</v>
      </c>
      <c r="H2" s="23">
        <f t="shared" ref="H2:H920" si="2">F2*G2</f>
        <v>1357.48654</v>
      </c>
      <c r="I2" s="28" t="s">
        <v>26</v>
      </c>
      <c r="J2" s="30"/>
      <c r="K2" s="30"/>
      <c r="L2" s="30"/>
      <c r="M2" s="30"/>
      <c r="N2" s="30"/>
      <c r="O2" s="30"/>
      <c r="P2" s="30"/>
      <c r="Q2" s="30"/>
      <c r="R2" s="30"/>
      <c r="S2" s="30"/>
    </row>
    <row r="3" ht="15.75" hidden="1" customHeight="1">
      <c r="A3" s="4"/>
      <c r="B3" s="5">
        <v>1995.0</v>
      </c>
      <c r="C3" s="7" t="s">
        <v>29</v>
      </c>
      <c r="D3" s="37">
        <v>27.89</v>
      </c>
      <c r="E3" s="11">
        <v>5357.27</v>
      </c>
      <c r="F3" s="23">
        <f t="shared" si="1"/>
        <v>149414.2603</v>
      </c>
      <c r="G3" s="24">
        <v>0.01</v>
      </c>
      <c r="H3" s="23">
        <f t="shared" si="2"/>
        <v>1494.142603</v>
      </c>
      <c r="I3" s="28" t="s">
        <v>26</v>
      </c>
      <c r="J3" s="30"/>
      <c r="K3" s="30"/>
      <c r="L3" s="30"/>
      <c r="M3" s="30"/>
      <c r="N3" s="30"/>
      <c r="O3" s="30"/>
      <c r="P3" s="30"/>
      <c r="Q3" s="30"/>
      <c r="R3" s="30"/>
      <c r="S3" s="30"/>
    </row>
    <row r="4" ht="15.75" hidden="1" customHeight="1">
      <c r="A4" s="4"/>
      <c r="B4" s="45">
        <v>2018.0</v>
      </c>
      <c r="C4" s="47" t="s">
        <v>34</v>
      </c>
      <c r="D4" s="49">
        <v>26.35</v>
      </c>
      <c r="E4" s="51">
        <v>2035.15</v>
      </c>
      <c r="F4" s="54">
        <f t="shared" si="1"/>
        <v>53626.2025</v>
      </c>
      <c r="G4" s="24">
        <v>0.01</v>
      </c>
      <c r="H4" s="54">
        <f t="shared" si="2"/>
        <v>536.262025</v>
      </c>
      <c r="I4" s="28" t="s">
        <v>26</v>
      </c>
      <c r="J4" s="30"/>
      <c r="K4" s="30"/>
      <c r="L4" s="30"/>
      <c r="M4" s="30"/>
      <c r="N4" s="30"/>
      <c r="O4" s="58" t="s">
        <v>37</v>
      </c>
      <c r="P4" s="30"/>
      <c r="Q4" s="30"/>
      <c r="R4" s="30"/>
      <c r="S4" s="30"/>
    </row>
    <row r="5" ht="15.75" hidden="1" customHeight="1">
      <c r="A5" s="4"/>
      <c r="B5" s="30">
        <v>2070.0</v>
      </c>
      <c r="C5" s="47" t="s">
        <v>29</v>
      </c>
      <c r="D5" s="62">
        <v>27.05</v>
      </c>
      <c r="E5" s="63">
        <v>5280.0</v>
      </c>
      <c r="F5" s="54">
        <f t="shared" si="1"/>
        <v>142824</v>
      </c>
      <c r="G5" s="24">
        <v>0.01</v>
      </c>
      <c r="H5" s="54">
        <f t="shared" si="2"/>
        <v>1428.24</v>
      </c>
      <c r="I5" s="28" t="s">
        <v>42</v>
      </c>
      <c r="J5" s="30"/>
      <c r="K5" s="30"/>
      <c r="L5" s="30"/>
      <c r="M5" s="30"/>
      <c r="N5" s="30"/>
      <c r="O5" s="30"/>
      <c r="P5" s="30"/>
      <c r="Q5" s="30"/>
      <c r="R5" s="30"/>
      <c r="S5" s="30"/>
    </row>
    <row r="6" ht="15.75" hidden="1" customHeight="1">
      <c r="A6" s="4"/>
      <c r="B6" s="30">
        <v>2089.0</v>
      </c>
      <c r="C6" s="47" t="s">
        <v>29</v>
      </c>
      <c r="D6" s="49">
        <v>26.46</v>
      </c>
      <c r="E6" s="51">
        <v>2120.18</v>
      </c>
      <c r="F6" s="54">
        <f t="shared" si="1"/>
        <v>56099.9628</v>
      </c>
      <c r="G6" s="24">
        <v>0.01</v>
      </c>
      <c r="H6" s="54">
        <f t="shared" si="2"/>
        <v>560.999628</v>
      </c>
      <c r="I6" s="28" t="s">
        <v>26</v>
      </c>
    </row>
    <row r="7" ht="15.75" hidden="1" customHeight="1">
      <c r="A7" s="4"/>
      <c r="B7" s="30">
        <v>2131.0</v>
      </c>
      <c r="C7" s="47" t="s">
        <v>34</v>
      </c>
      <c r="D7" s="49">
        <v>24.24</v>
      </c>
      <c r="E7" s="51">
        <v>2973.28</v>
      </c>
      <c r="F7" s="54">
        <f t="shared" si="1"/>
        <v>72072.3072</v>
      </c>
      <c r="G7" s="24">
        <v>0.01</v>
      </c>
      <c r="H7" s="54">
        <f t="shared" si="2"/>
        <v>720.723072</v>
      </c>
      <c r="I7" s="28" t="s">
        <v>26</v>
      </c>
    </row>
    <row r="8" ht="15.75" hidden="1" customHeight="1">
      <c r="A8" s="4"/>
      <c r="B8" s="30">
        <v>2174.0</v>
      </c>
      <c r="C8" s="47" t="s">
        <v>17</v>
      </c>
      <c r="D8" s="49">
        <v>46.02</v>
      </c>
      <c r="E8" s="51">
        <v>1675.26</v>
      </c>
      <c r="F8" s="54">
        <f t="shared" si="1"/>
        <v>77095.4652</v>
      </c>
      <c r="G8" s="24">
        <v>0.01</v>
      </c>
      <c r="H8" s="54">
        <f t="shared" si="2"/>
        <v>770.954652</v>
      </c>
      <c r="I8" s="28" t="s">
        <v>26</v>
      </c>
    </row>
    <row r="9" ht="15.75" hidden="1" customHeight="1">
      <c r="A9" s="4"/>
      <c r="B9" s="30">
        <v>2175.0</v>
      </c>
      <c r="C9" s="47" t="s">
        <v>29</v>
      </c>
      <c r="D9" s="49">
        <v>26.01</v>
      </c>
      <c r="E9" s="51">
        <v>2511.75</v>
      </c>
      <c r="F9" s="54">
        <f t="shared" si="1"/>
        <v>65330.6175</v>
      </c>
      <c r="G9" s="24">
        <v>0.01</v>
      </c>
      <c r="H9" s="54">
        <f t="shared" si="2"/>
        <v>653.306175</v>
      </c>
      <c r="I9" s="28" t="s">
        <v>26</v>
      </c>
    </row>
    <row r="10" ht="15.75" hidden="1" customHeight="1">
      <c r="A10" s="4"/>
      <c r="B10" s="30">
        <v>2176.0</v>
      </c>
      <c r="C10" s="47" t="s">
        <v>29</v>
      </c>
      <c r="D10" s="49">
        <v>25.67</v>
      </c>
      <c r="E10" s="51">
        <v>2460.07</v>
      </c>
      <c r="F10" s="54">
        <f t="shared" si="1"/>
        <v>63149.9969</v>
      </c>
      <c r="G10" s="24">
        <v>0.01</v>
      </c>
      <c r="H10" s="54">
        <f t="shared" si="2"/>
        <v>631.499969</v>
      </c>
      <c r="I10" s="28" t="s">
        <v>26</v>
      </c>
    </row>
    <row r="11" ht="15.75" hidden="1" customHeight="1">
      <c r="A11" s="4"/>
      <c r="B11" s="30">
        <v>2196.0</v>
      </c>
      <c r="C11" s="47" t="s">
        <v>17</v>
      </c>
      <c r="D11" s="49">
        <v>44.94</v>
      </c>
      <c r="E11" s="51">
        <v>5911.91</v>
      </c>
      <c r="F11" s="54">
        <f t="shared" si="1"/>
        <v>265681.2354</v>
      </c>
      <c r="G11" s="24">
        <v>0.01</v>
      </c>
      <c r="H11" s="54">
        <f t="shared" si="2"/>
        <v>2656.812354</v>
      </c>
      <c r="I11" s="28" t="s">
        <v>46</v>
      </c>
    </row>
    <row r="12" ht="15.75" hidden="1" customHeight="1">
      <c r="A12" s="4"/>
      <c r="B12" s="30">
        <v>2211.0</v>
      </c>
      <c r="C12" s="47" t="s">
        <v>17</v>
      </c>
      <c r="D12" s="49">
        <v>25.07</v>
      </c>
      <c r="E12" s="51">
        <v>3963.46</v>
      </c>
      <c r="F12" s="54">
        <f t="shared" si="1"/>
        <v>99363.9422</v>
      </c>
      <c r="G12" s="24">
        <v>0.01</v>
      </c>
      <c r="H12" s="54">
        <f t="shared" si="2"/>
        <v>993.639422</v>
      </c>
      <c r="I12" s="28" t="s">
        <v>46</v>
      </c>
    </row>
    <row r="13" ht="15.75" hidden="1" customHeight="1">
      <c r="A13" s="4"/>
      <c r="B13" s="30">
        <v>2212.0</v>
      </c>
      <c r="C13" s="47" t="s">
        <v>17</v>
      </c>
      <c r="D13" s="49">
        <v>24.68</v>
      </c>
      <c r="E13" s="51">
        <v>3892.27</v>
      </c>
      <c r="F13" s="54">
        <f t="shared" si="1"/>
        <v>96061.2236</v>
      </c>
      <c r="G13" s="24">
        <v>0.01</v>
      </c>
      <c r="H13" s="54">
        <f t="shared" si="2"/>
        <v>960.612236</v>
      </c>
      <c r="I13" s="28" t="s">
        <v>46</v>
      </c>
    </row>
    <row r="14" ht="15.75" hidden="1" customHeight="1">
      <c r="A14" s="4"/>
      <c r="B14" s="30">
        <v>2213.0</v>
      </c>
      <c r="C14" s="47" t="s">
        <v>17</v>
      </c>
      <c r="D14" s="49">
        <v>24.76</v>
      </c>
      <c r="E14" s="51">
        <v>2023.82</v>
      </c>
      <c r="F14" s="54">
        <f t="shared" si="1"/>
        <v>50109.7832</v>
      </c>
      <c r="G14" s="24">
        <v>0.01</v>
      </c>
      <c r="H14" s="54">
        <f t="shared" si="2"/>
        <v>501.097832</v>
      </c>
      <c r="I14" s="28" t="s">
        <v>42</v>
      </c>
    </row>
    <row r="15" ht="15.75" hidden="1" customHeight="1">
      <c r="A15" s="4"/>
      <c r="B15" s="58">
        <v>2225.0</v>
      </c>
      <c r="C15" s="84" t="s">
        <v>59</v>
      </c>
      <c r="D15" s="49">
        <v>25.3</v>
      </c>
      <c r="E15" s="51">
        <v>980.84</v>
      </c>
      <c r="F15" s="54">
        <f t="shared" si="1"/>
        <v>24815.252</v>
      </c>
      <c r="G15" s="86">
        <v>0.01</v>
      </c>
      <c r="H15" s="54">
        <f t="shared" si="2"/>
        <v>248.15252</v>
      </c>
      <c r="I15" s="28" t="s">
        <v>26</v>
      </c>
    </row>
    <row r="16" ht="15.75" hidden="1" customHeight="1">
      <c r="A16" s="4"/>
      <c r="B16" s="30">
        <v>2230.0</v>
      </c>
      <c r="C16" s="47" t="s">
        <v>17</v>
      </c>
      <c r="D16" s="62">
        <v>22.19</v>
      </c>
      <c r="E16" s="51">
        <v>950.58</v>
      </c>
      <c r="F16" s="54">
        <f t="shared" si="1"/>
        <v>21093.3702</v>
      </c>
      <c r="G16" s="24">
        <v>0.01</v>
      </c>
      <c r="H16" s="54">
        <f t="shared" si="2"/>
        <v>210.933702</v>
      </c>
      <c r="I16" s="28" t="s">
        <v>26</v>
      </c>
    </row>
    <row r="17" ht="15.75" hidden="1" customHeight="1">
      <c r="A17" s="4"/>
      <c r="B17" s="30">
        <v>2231.0</v>
      </c>
      <c r="C17" s="47" t="s">
        <v>29</v>
      </c>
      <c r="D17" s="49">
        <v>25.62</v>
      </c>
      <c r="E17" s="51">
        <v>2522.61</v>
      </c>
      <c r="F17" s="54">
        <f t="shared" si="1"/>
        <v>64629.2682</v>
      </c>
      <c r="G17" s="24">
        <v>0.01</v>
      </c>
      <c r="H17" s="54">
        <f t="shared" si="2"/>
        <v>646.292682</v>
      </c>
      <c r="I17" s="28" t="s">
        <v>26</v>
      </c>
    </row>
    <row r="18" ht="15.75" hidden="1" customHeight="1">
      <c r="A18" s="4"/>
      <c r="B18" s="30">
        <v>2232.0</v>
      </c>
      <c r="C18" s="47" t="s">
        <v>29</v>
      </c>
      <c r="D18" s="49">
        <v>25.94</v>
      </c>
      <c r="E18" s="51">
        <v>2519.15</v>
      </c>
      <c r="F18" s="54">
        <f t="shared" si="1"/>
        <v>65346.751</v>
      </c>
      <c r="G18" s="24">
        <v>0.01</v>
      </c>
      <c r="H18" s="54">
        <f t="shared" si="2"/>
        <v>653.46751</v>
      </c>
      <c r="I18" s="28" t="s">
        <v>46</v>
      </c>
    </row>
    <row r="19" ht="14.25" hidden="1" customHeight="1">
      <c r="A19" s="4"/>
      <c r="B19" s="30">
        <v>2233.0</v>
      </c>
      <c r="C19" s="47" t="s">
        <v>29</v>
      </c>
      <c r="D19" s="49">
        <v>25.98</v>
      </c>
      <c r="E19" s="51">
        <v>2543.75</v>
      </c>
      <c r="F19" s="54">
        <f t="shared" si="1"/>
        <v>66086.625</v>
      </c>
      <c r="G19" s="24">
        <v>0.01</v>
      </c>
      <c r="H19" s="54">
        <f t="shared" si="2"/>
        <v>660.86625</v>
      </c>
      <c r="I19" s="28" t="s">
        <v>42</v>
      </c>
    </row>
    <row r="20" ht="15.75" hidden="1" customHeight="1">
      <c r="A20" s="4"/>
      <c r="B20" s="30">
        <v>2234.0</v>
      </c>
      <c r="C20" s="47" t="s">
        <v>69</v>
      </c>
      <c r="D20" s="49">
        <v>28.19</v>
      </c>
      <c r="E20" s="51">
        <v>1520.31</v>
      </c>
      <c r="F20" s="54">
        <f t="shared" si="1"/>
        <v>42857.5389</v>
      </c>
      <c r="G20" s="24">
        <v>0.01</v>
      </c>
      <c r="H20" s="54">
        <f t="shared" si="2"/>
        <v>428.575389</v>
      </c>
      <c r="I20" s="28" t="s">
        <v>46</v>
      </c>
    </row>
    <row r="21" ht="15.75" hidden="1" customHeight="1">
      <c r="A21" s="4"/>
      <c r="B21" s="58">
        <v>2240.0</v>
      </c>
      <c r="C21" s="84" t="s">
        <v>60</v>
      </c>
      <c r="D21" s="49">
        <v>24.97</v>
      </c>
      <c r="E21" s="51">
        <v>4051.89</v>
      </c>
      <c r="F21" s="54">
        <f t="shared" si="1"/>
        <v>101175.6933</v>
      </c>
      <c r="G21" s="86">
        <v>0.01</v>
      </c>
      <c r="H21" s="54">
        <f t="shared" si="2"/>
        <v>1011.756933</v>
      </c>
      <c r="I21" s="28" t="s">
        <v>26</v>
      </c>
    </row>
    <row r="22" ht="15.75" hidden="1" customHeight="1">
      <c r="A22" s="4"/>
      <c r="B22" s="58">
        <v>2247.0</v>
      </c>
      <c r="C22" s="47" t="s">
        <v>17</v>
      </c>
      <c r="D22" s="49">
        <v>46.07</v>
      </c>
      <c r="E22" s="51">
        <v>4919.84</v>
      </c>
      <c r="F22" s="54">
        <f t="shared" si="1"/>
        <v>226657.0288</v>
      </c>
      <c r="G22" s="86">
        <v>0.01</v>
      </c>
      <c r="H22" s="54">
        <f t="shared" si="2"/>
        <v>2266.570288</v>
      </c>
      <c r="I22" s="28" t="s">
        <v>46</v>
      </c>
    </row>
    <row r="23" ht="15.75" hidden="1" customHeight="1">
      <c r="A23" s="4"/>
      <c r="B23" s="30">
        <v>2262.0</v>
      </c>
      <c r="C23" s="47" t="s">
        <v>17</v>
      </c>
      <c r="D23" s="49">
        <v>25.18</v>
      </c>
      <c r="E23" s="51">
        <v>3874.47</v>
      </c>
      <c r="F23" s="54">
        <f t="shared" si="1"/>
        <v>97559.1546</v>
      </c>
      <c r="G23" s="24">
        <v>0.01</v>
      </c>
      <c r="H23" s="54">
        <f t="shared" si="2"/>
        <v>975.591546</v>
      </c>
      <c r="I23" s="28" t="s">
        <v>46</v>
      </c>
    </row>
    <row r="24" ht="15.75" hidden="1" customHeight="1">
      <c r="A24" s="4"/>
      <c r="B24" s="30">
        <v>2263.0</v>
      </c>
      <c r="C24" s="47" t="s">
        <v>17</v>
      </c>
      <c r="D24" s="49">
        <v>45.5</v>
      </c>
      <c r="E24" s="51">
        <v>4949.43</v>
      </c>
      <c r="F24" s="54">
        <f t="shared" si="1"/>
        <v>225199.065</v>
      </c>
      <c r="G24" s="24">
        <v>0.01</v>
      </c>
      <c r="H24" s="54">
        <f t="shared" si="2"/>
        <v>2251.99065</v>
      </c>
      <c r="I24" s="28" t="s">
        <v>42</v>
      </c>
    </row>
    <row r="25" ht="15.75" hidden="1" customHeight="1">
      <c r="A25" s="4"/>
      <c r="B25" s="30">
        <v>2268.0</v>
      </c>
      <c r="C25" s="47" t="s">
        <v>17</v>
      </c>
      <c r="D25" s="49">
        <v>25.08</v>
      </c>
      <c r="E25" s="51">
        <v>3009.82</v>
      </c>
      <c r="F25" s="54">
        <f t="shared" si="1"/>
        <v>75486.2856</v>
      </c>
      <c r="G25" s="24">
        <v>0.01</v>
      </c>
      <c r="H25" s="54">
        <f t="shared" si="2"/>
        <v>754.862856</v>
      </c>
      <c r="I25" s="28" t="s">
        <v>46</v>
      </c>
    </row>
    <row r="26" ht="15.75" hidden="1" customHeight="1">
      <c r="A26" s="4"/>
      <c r="B26" s="30">
        <v>2269.0</v>
      </c>
      <c r="C26" s="47" t="s">
        <v>17</v>
      </c>
      <c r="D26" s="49">
        <v>24.17</v>
      </c>
      <c r="E26" s="51">
        <v>2981.62</v>
      </c>
      <c r="F26" s="54">
        <f t="shared" si="1"/>
        <v>72065.7554</v>
      </c>
      <c r="G26" s="24">
        <v>0.01</v>
      </c>
      <c r="H26" s="54">
        <f t="shared" si="2"/>
        <v>720.657554</v>
      </c>
      <c r="I26" s="28" t="s">
        <v>46</v>
      </c>
    </row>
    <row r="27" ht="15.75" hidden="1" customHeight="1">
      <c r="A27" s="4"/>
      <c r="B27" s="30">
        <v>2316.0</v>
      </c>
      <c r="C27" s="47" t="s">
        <v>60</v>
      </c>
      <c r="D27" s="62">
        <v>24.98</v>
      </c>
      <c r="E27" s="51">
        <v>3940.21</v>
      </c>
      <c r="F27" s="54">
        <f t="shared" si="1"/>
        <v>98426.4458</v>
      </c>
      <c r="G27" s="24">
        <v>0.01</v>
      </c>
      <c r="H27" s="54">
        <f t="shared" si="2"/>
        <v>984.264458</v>
      </c>
      <c r="I27" s="28" t="s">
        <v>46</v>
      </c>
    </row>
    <row r="28" ht="15.75" hidden="1" customHeight="1">
      <c r="A28" s="4"/>
      <c r="B28" s="30">
        <v>2317.0</v>
      </c>
      <c r="C28" s="47" t="s">
        <v>17</v>
      </c>
      <c r="D28" s="49">
        <v>24.89</v>
      </c>
      <c r="E28" s="51">
        <v>3538.17</v>
      </c>
      <c r="F28" s="54">
        <f t="shared" si="1"/>
        <v>88065.0513</v>
      </c>
      <c r="G28" s="24">
        <v>0.01</v>
      </c>
      <c r="H28" s="54">
        <f t="shared" si="2"/>
        <v>880.650513</v>
      </c>
      <c r="I28" s="28" t="s">
        <v>42</v>
      </c>
    </row>
    <row r="29" ht="15.75" hidden="1" customHeight="1">
      <c r="A29" s="4"/>
      <c r="B29" s="30">
        <v>2324.0</v>
      </c>
      <c r="C29" s="47" t="s">
        <v>17</v>
      </c>
      <c r="D29" s="49">
        <v>24.9</v>
      </c>
      <c r="E29" s="51">
        <v>3569.59</v>
      </c>
      <c r="F29" s="54">
        <f t="shared" si="1"/>
        <v>88882.791</v>
      </c>
      <c r="G29" s="24">
        <v>0.01</v>
      </c>
      <c r="H29" s="54">
        <f t="shared" si="2"/>
        <v>888.82791</v>
      </c>
      <c r="I29" s="28" t="s">
        <v>46</v>
      </c>
    </row>
    <row r="30" ht="15.75" hidden="1" customHeight="1">
      <c r="A30" s="4"/>
      <c r="B30" s="30">
        <v>2339.0</v>
      </c>
      <c r="C30" s="47" t="s">
        <v>60</v>
      </c>
      <c r="D30" s="62">
        <v>25.85</v>
      </c>
      <c r="E30" s="51">
        <v>2321.89</v>
      </c>
      <c r="F30" s="54">
        <f t="shared" si="1"/>
        <v>60020.8565</v>
      </c>
      <c r="G30" s="24">
        <v>0.01</v>
      </c>
      <c r="H30" s="54">
        <f t="shared" si="2"/>
        <v>600.208565</v>
      </c>
      <c r="I30" s="28" t="s">
        <v>42</v>
      </c>
    </row>
    <row r="31" ht="15.75" hidden="1" customHeight="1">
      <c r="A31" s="4"/>
      <c r="B31" s="74">
        <v>2380.0</v>
      </c>
      <c r="C31" s="75" t="s">
        <v>17</v>
      </c>
      <c r="D31" s="20">
        <v>24.93</v>
      </c>
      <c r="E31" s="78">
        <v>2909.95</v>
      </c>
      <c r="F31" s="114">
        <f t="shared" si="1"/>
        <v>72545.0535</v>
      </c>
      <c r="G31" s="24">
        <v>0.01</v>
      </c>
      <c r="H31" s="107">
        <f t="shared" si="2"/>
        <v>725.450535</v>
      </c>
      <c r="I31" s="28" t="s">
        <v>42</v>
      </c>
    </row>
    <row r="32" ht="15.75" hidden="1" customHeight="1">
      <c r="A32" s="4"/>
      <c r="B32" s="116">
        <v>2404.0</v>
      </c>
      <c r="C32" s="119" t="s">
        <v>76</v>
      </c>
      <c r="D32" s="120">
        <v>23.92</v>
      </c>
      <c r="E32" s="121">
        <v>4880.0</v>
      </c>
      <c r="F32" s="122">
        <f t="shared" si="1"/>
        <v>116729.6</v>
      </c>
      <c r="G32" s="123">
        <v>0.01</v>
      </c>
      <c r="H32" s="124">
        <f t="shared" si="2"/>
        <v>1167.296</v>
      </c>
      <c r="I32" s="125" t="s">
        <v>65</v>
      </c>
    </row>
    <row r="33" ht="15.75" hidden="1" customHeight="1">
      <c r="A33" s="4"/>
      <c r="B33" s="74">
        <v>2409.0</v>
      </c>
      <c r="C33" s="75" t="s">
        <v>17</v>
      </c>
      <c r="D33" s="20">
        <v>24.68</v>
      </c>
      <c r="E33" s="78">
        <v>6049.8</v>
      </c>
      <c r="F33" s="114">
        <f t="shared" si="1"/>
        <v>149309.064</v>
      </c>
      <c r="G33" s="86">
        <v>0.01</v>
      </c>
      <c r="H33" s="107">
        <f t="shared" si="2"/>
        <v>1493.09064</v>
      </c>
      <c r="I33" s="41" t="s">
        <v>64</v>
      </c>
    </row>
    <row r="34" ht="15.75" hidden="1" customHeight="1">
      <c r="A34" s="4"/>
      <c r="B34" s="116">
        <v>2415.0</v>
      </c>
      <c r="C34" s="119" t="s">
        <v>66</v>
      </c>
      <c r="D34" s="120">
        <v>24.73</v>
      </c>
      <c r="E34" s="121">
        <v>2400.55</v>
      </c>
      <c r="F34" s="122">
        <f t="shared" si="1"/>
        <v>59365.6015</v>
      </c>
      <c r="G34" s="123">
        <v>0.01</v>
      </c>
      <c r="H34" s="124">
        <f t="shared" si="2"/>
        <v>593.656015</v>
      </c>
      <c r="I34" s="125" t="s">
        <v>65</v>
      </c>
    </row>
    <row r="35" ht="15.75" hidden="1" customHeight="1">
      <c r="A35" s="4"/>
      <c r="B35" s="74">
        <v>2424.0</v>
      </c>
      <c r="C35" s="75" t="s">
        <v>17</v>
      </c>
      <c r="D35" s="20">
        <v>24.47</v>
      </c>
      <c r="E35" s="78">
        <v>6901.58</v>
      </c>
      <c r="F35" s="114">
        <f t="shared" si="1"/>
        <v>168881.6626</v>
      </c>
      <c r="G35" s="24">
        <v>0.01</v>
      </c>
      <c r="H35" s="107">
        <f t="shared" si="2"/>
        <v>1688.816626</v>
      </c>
      <c r="I35" s="41" t="s">
        <v>64</v>
      </c>
    </row>
    <row r="36" ht="15.75" hidden="1" customHeight="1">
      <c r="A36" s="4"/>
      <c r="B36" s="74">
        <v>2425.0</v>
      </c>
      <c r="C36" s="75" t="s">
        <v>17</v>
      </c>
      <c r="D36" s="20">
        <v>44.86</v>
      </c>
      <c r="E36" s="78">
        <v>1931.65</v>
      </c>
      <c r="F36" s="114">
        <f t="shared" si="1"/>
        <v>86653.819</v>
      </c>
      <c r="G36" s="24">
        <v>0.01</v>
      </c>
      <c r="H36" s="107">
        <f t="shared" si="2"/>
        <v>866.53819</v>
      </c>
      <c r="I36" s="28" t="s">
        <v>31</v>
      </c>
    </row>
    <row r="37" ht="15.75" hidden="1" customHeight="1">
      <c r="A37" s="4"/>
      <c r="B37" s="74">
        <v>2427.0</v>
      </c>
      <c r="C37" s="75" t="s">
        <v>29</v>
      </c>
      <c r="D37" s="20">
        <v>24.86</v>
      </c>
      <c r="E37" s="78">
        <v>2337.33</v>
      </c>
      <c r="F37" s="114">
        <f t="shared" si="1"/>
        <v>58106.0238</v>
      </c>
      <c r="G37" s="24">
        <v>0.01</v>
      </c>
      <c r="H37" s="107">
        <f t="shared" si="2"/>
        <v>581.060238</v>
      </c>
      <c r="I37" s="41" t="s">
        <v>65</v>
      </c>
    </row>
    <row r="38" ht="15.75" hidden="1" customHeight="1">
      <c r="A38" s="4"/>
      <c r="B38" s="74">
        <v>2428.0</v>
      </c>
      <c r="C38" s="75" t="s">
        <v>29</v>
      </c>
      <c r="D38" s="20">
        <v>24.86</v>
      </c>
      <c r="E38" s="78">
        <v>2320.75</v>
      </c>
      <c r="F38" s="114">
        <f t="shared" si="1"/>
        <v>57693.845</v>
      </c>
      <c r="G38" s="24">
        <v>0.01</v>
      </c>
      <c r="H38" s="107">
        <f t="shared" si="2"/>
        <v>576.93845</v>
      </c>
      <c r="I38" s="41" t="s">
        <v>64</v>
      </c>
    </row>
    <row r="39" ht="15.75" hidden="1" customHeight="1">
      <c r="A39" s="4"/>
      <c r="B39" s="74">
        <v>2429.0</v>
      </c>
      <c r="C39" s="75" t="s">
        <v>29</v>
      </c>
      <c r="D39" s="20">
        <v>24.86</v>
      </c>
      <c r="E39" s="78">
        <v>2287.79</v>
      </c>
      <c r="F39" s="114">
        <f t="shared" si="1"/>
        <v>56874.4594</v>
      </c>
      <c r="G39" s="24">
        <v>0.01</v>
      </c>
      <c r="H39" s="107">
        <f t="shared" si="2"/>
        <v>568.744594</v>
      </c>
      <c r="I39" s="41" t="s">
        <v>64</v>
      </c>
    </row>
    <row r="40" ht="15.75" hidden="1" customHeight="1">
      <c r="A40" s="4"/>
      <c r="B40" s="74">
        <v>2329.0</v>
      </c>
      <c r="C40" s="75" t="s">
        <v>79</v>
      </c>
      <c r="D40" s="20">
        <v>24.5</v>
      </c>
      <c r="E40" s="78">
        <v>1601.0</v>
      </c>
      <c r="F40" s="114">
        <f t="shared" si="1"/>
        <v>39224.5</v>
      </c>
      <c r="G40" s="24">
        <v>0.01</v>
      </c>
      <c r="H40" s="107">
        <f t="shared" si="2"/>
        <v>392.245</v>
      </c>
      <c r="I40" s="28" t="s">
        <v>42</v>
      </c>
    </row>
    <row r="41" ht="15.75" hidden="1" customHeight="1">
      <c r="A41" s="4"/>
      <c r="B41" s="74">
        <v>2444.0</v>
      </c>
      <c r="C41" s="75" t="s">
        <v>17</v>
      </c>
      <c r="D41" s="20">
        <v>21.83</v>
      </c>
      <c r="E41" s="78">
        <v>1135.0</v>
      </c>
      <c r="F41" s="114">
        <f t="shared" si="1"/>
        <v>24777.05</v>
      </c>
      <c r="G41" s="24">
        <v>0.01</v>
      </c>
      <c r="H41" s="107">
        <f t="shared" si="2"/>
        <v>247.7705</v>
      </c>
      <c r="I41" s="41" t="s">
        <v>64</v>
      </c>
    </row>
    <row r="42" ht="15.75" hidden="1" customHeight="1">
      <c r="A42" s="4"/>
      <c r="B42" s="74">
        <v>2454.0</v>
      </c>
      <c r="C42" s="75" t="s">
        <v>17</v>
      </c>
      <c r="D42" s="20">
        <v>24.83</v>
      </c>
      <c r="E42" s="78">
        <v>3351.75</v>
      </c>
      <c r="F42" s="114">
        <f t="shared" si="1"/>
        <v>83223.9525</v>
      </c>
      <c r="G42" s="24">
        <v>0.01</v>
      </c>
      <c r="H42" s="107">
        <f t="shared" si="2"/>
        <v>832.239525</v>
      </c>
      <c r="I42" s="28" t="s">
        <v>67</v>
      </c>
    </row>
    <row r="43" ht="15.75" hidden="1" customHeight="1">
      <c r="A43" s="4"/>
      <c r="B43" s="133">
        <v>2471.0</v>
      </c>
      <c r="C43" s="75" t="s">
        <v>17</v>
      </c>
      <c r="D43" s="135">
        <v>24.02</v>
      </c>
      <c r="E43" s="78">
        <v>3010.88</v>
      </c>
      <c r="F43" s="114">
        <f t="shared" si="1"/>
        <v>72321.3376</v>
      </c>
      <c r="G43" s="24">
        <v>0.01</v>
      </c>
      <c r="H43" s="107">
        <f t="shared" si="2"/>
        <v>723.213376</v>
      </c>
      <c r="I43" s="28" t="s">
        <v>31</v>
      </c>
    </row>
    <row r="44" ht="15.75" hidden="1" customHeight="1">
      <c r="A44" s="4"/>
      <c r="B44" s="74">
        <v>2472.0</v>
      </c>
      <c r="C44" s="75" t="s">
        <v>17</v>
      </c>
      <c r="D44" s="20">
        <v>24.59</v>
      </c>
      <c r="E44" s="78">
        <v>2916.41</v>
      </c>
      <c r="F44" s="114">
        <f t="shared" si="1"/>
        <v>71714.5219</v>
      </c>
      <c r="G44" s="24">
        <v>0.01</v>
      </c>
      <c r="H44" s="107">
        <f t="shared" si="2"/>
        <v>717.145219</v>
      </c>
      <c r="I44" s="28" t="s">
        <v>67</v>
      </c>
    </row>
    <row r="45" ht="15.75" hidden="1" customHeight="1">
      <c r="A45" s="4"/>
      <c r="B45" s="74">
        <v>2476.0</v>
      </c>
      <c r="C45" s="75" t="s">
        <v>60</v>
      </c>
      <c r="D45" s="20">
        <v>25.98</v>
      </c>
      <c r="E45" s="78">
        <v>2057.04</v>
      </c>
      <c r="F45" s="114">
        <f t="shared" si="1"/>
        <v>53441.8992</v>
      </c>
      <c r="G45" s="24">
        <v>0.01</v>
      </c>
      <c r="H45" s="107">
        <f t="shared" si="2"/>
        <v>534.418992</v>
      </c>
      <c r="I45" s="28" t="s">
        <v>65</v>
      </c>
    </row>
    <row r="46" ht="15.75" hidden="1" customHeight="1">
      <c r="A46" s="4"/>
      <c r="B46" s="74">
        <v>2477.0</v>
      </c>
      <c r="C46" s="75" t="s">
        <v>81</v>
      </c>
      <c r="D46" s="20">
        <v>25.56</v>
      </c>
      <c r="E46" s="78">
        <v>1151.15</v>
      </c>
      <c r="F46" s="114">
        <f t="shared" si="1"/>
        <v>29423.394</v>
      </c>
      <c r="G46" s="24">
        <v>0.01</v>
      </c>
      <c r="H46" s="107">
        <f t="shared" si="2"/>
        <v>294.23394</v>
      </c>
      <c r="I46" s="28" t="s">
        <v>65</v>
      </c>
    </row>
    <row r="47" ht="15.75" hidden="1" customHeight="1">
      <c r="A47" s="4"/>
      <c r="B47" s="74">
        <v>2480.0</v>
      </c>
      <c r="C47" s="75" t="s">
        <v>66</v>
      </c>
      <c r="D47" s="20">
        <v>24.73</v>
      </c>
      <c r="E47" s="78">
        <v>2414.0</v>
      </c>
      <c r="F47" s="114">
        <f t="shared" si="1"/>
        <v>59698.22</v>
      </c>
      <c r="G47" s="24">
        <v>0.01</v>
      </c>
      <c r="H47" s="107">
        <f t="shared" si="2"/>
        <v>596.9822</v>
      </c>
      <c r="I47" s="41" t="s">
        <v>64</v>
      </c>
    </row>
    <row r="48" ht="15.75" hidden="1" customHeight="1">
      <c r="A48" s="4"/>
      <c r="B48" s="74">
        <v>2492.0</v>
      </c>
      <c r="C48" s="75" t="s">
        <v>17</v>
      </c>
      <c r="D48" s="20">
        <v>46.08</v>
      </c>
      <c r="E48" s="78">
        <v>1473.0</v>
      </c>
      <c r="F48" s="114">
        <f t="shared" si="1"/>
        <v>67875.84</v>
      </c>
      <c r="G48" s="24">
        <v>0.01</v>
      </c>
      <c r="H48" s="107">
        <f t="shared" si="2"/>
        <v>678.7584</v>
      </c>
      <c r="I48" s="28" t="s">
        <v>67</v>
      </c>
    </row>
    <row r="49" ht="15.75" hidden="1" customHeight="1">
      <c r="A49" s="4"/>
      <c r="B49" s="74">
        <v>2504.0</v>
      </c>
      <c r="C49" s="75" t="s">
        <v>76</v>
      </c>
      <c r="D49" s="20">
        <v>25.1</v>
      </c>
      <c r="E49" s="78">
        <v>5095.69</v>
      </c>
      <c r="F49" s="114">
        <f t="shared" si="1"/>
        <v>127901.819</v>
      </c>
      <c r="G49" s="24">
        <v>0.01</v>
      </c>
      <c r="H49" s="107">
        <f t="shared" si="2"/>
        <v>1279.01819</v>
      </c>
      <c r="I49" s="28" t="s">
        <v>67</v>
      </c>
    </row>
    <row r="50" ht="15.75" hidden="1" customHeight="1">
      <c r="A50" s="4"/>
      <c r="B50" s="74">
        <v>2505.0</v>
      </c>
      <c r="C50" s="75" t="s">
        <v>17</v>
      </c>
      <c r="D50" s="20">
        <v>25.94</v>
      </c>
      <c r="E50" s="78">
        <v>4233.05</v>
      </c>
      <c r="F50" s="114">
        <f t="shared" si="1"/>
        <v>109805.317</v>
      </c>
      <c r="G50" s="24">
        <v>0.01</v>
      </c>
      <c r="H50" s="107">
        <f t="shared" si="2"/>
        <v>1098.05317</v>
      </c>
      <c r="I50" s="28" t="s">
        <v>31</v>
      </c>
    </row>
    <row r="51" ht="15.75" hidden="1" customHeight="1">
      <c r="A51" s="4"/>
      <c r="B51" s="140">
        <v>2506.0</v>
      </c>
      <c r="C51" s="142" t="s">
        <v>17</v>
      </c>
      <c r="D51" s="143">
        <v>25.15</v>
      </c>
      <c r="E51" s="144">
        <v>1450.0</v>
      </c>
      <c r="F51" s="146">
        <f t="shared" si="1"/>
        <v>36467.5</v>
      </c>
      <c r="G51" s="147">
        <v>0.01</v>
      </c>
      <c r="H51" s="148">
        <f t="shared" si="2"/>
        <v>364.675</v>
      </c>
      <c r="I51" s="149" t="s">
        <v>31</v>
      </c>
    </row>
    <row r="52" ht="15.75" customHeight="1">
      <c r="A52" s="4"/>
      <c r="B52" s="74">
        <v>2507.0</v>
      </c>
      <c r="C52" s="75" t="s">
        <v>17</v>
      </c>
      <c r="D52" s="135">
        <v>26.22</v>
      </c>
      <c r="E52" s="78">
        <v>3559.06</v>
      </c>
      <c r="F52" s="114">
        <f t="shared" si="1"/>
        <v>93318.5532</v>
      </c>
      <c r="G52" s="24">
        <v>0.01</v>
      </c>
      <c r="H52" s="107">
        <f t="shared" si="2"/>
        <v>933.185532</v>
      </c>
      <c r="I52" s="28" t="s">
        <v>40</v>
      </c>
    </row>
    <row r="53" ht="15.75" hidden="1" customHeight="1">
      <c r="A53" s="4"/>
      <c r="B53" s="74">
        <v>2516.0</v>
      </c>
      <c r="C53" s="75" t="s">
        <v>17</v>
      </c>
      <c r="D53" s="20">
        <v>45.39</v>
      </c>
      <c r="E53" s="78">
        <v>2000.0</v>
      </c>
      <c r="F53" s="114">
        <f t="shared" si="1"/>
        <v>90780</v>
      </c>
      <c r="G53" s="24">
        <v>0.01</v>
      </c>
      <c r="H53" s="107">
        <f t="shared" si="2"/>
        <v>907.8</v>
      </c>
      <c r="I53" s="28" t="s">
        <v>67</v>
      </c>
    </row>
    <row r="54" ht="15.75" hidden="1" customHeight="1">
      <c r="A54" s="4"/>
      <c r="B54" s="133">
        <v>2517.0</v>
      </c>
      <c r="C54" s="75" t="s">
        <v>17</v>
      </c>
      <c r="D54" s="135">
        <v>46.35</v>
      </c>
      <c r="E54" s="78">
        <v>2959.2</v>
      </c>
      <c r="F54" s="114">
        <f t="shared" si="1"/>
        <v>137158.92</v>
      </c>
      <c r="G54" s="24">
        <v>0.01</v>
      </c>
      <c r="H54" s="107">
        <f t="shared" si="2"/>
        <v>1371.5892</v>
      </c>
      <c r="I54" s="28" t="s">
        <v>67</v>
      </c>
    </row>
    <row r="55" ht="15.75" customHeight="1">
      <c r="A55" s="4"/>
      <c r="B55" s="74">
        <v>2527.0</v>
      </c>
      <c r="C55" s="75" t="s">
        <v>17</v>
      </c>
      <c r="D55" s="135">
        <v>46.0</v>
      </c>
      <c r="E55" s="78">
        <v>3969.0</v>
      </c>
      <c r="F55" s="114">
        <f t="shared" si="1"/>
        <v>182574</v>
      </c>
      <c r="G55" s="24">
        <v>0.01</v>
      </c>
      <c r="H55" s="107">
        <f t="shared" si="2"/>
        <v>1825.74</v>
      </c>
      <c r="I55" s="150"/>
    </row>
    <row r="56" ht="15.75" customHeight="1">
      <c r="A56" s="4"/>
      <c r="B56" s="74">
        <v>2529.0</v>
      </c>
      <c r="C56" s="75" t="s">
        <v>17</v>
      </c>
      <c r="D56" s="135">
        <v>28.73</v>
      </c>
      <c r="E56" s="78">
        <v>3831.4</v>
      </c>
      <c r="F56" s="114">
        <f t="shared" si="1"/>
        <v>110076.122</v>
      </c>
      <c r="G56" s="24">
        <v>0.01</v>
      </c>
      <c r="H56" s="107">
        <f t="shared" si="2"/>
        <v>1100.76122</v>
      </c>
      <c r="I56" s="28" t="s">
        <v>70</v>
      </c>
    </row>
    <row r="57" ht="15.75" customHeight="1">
      <c r="A57" s="4"/>
      <c r="B57" s="74">
        <v>2530.0</v>
      </c>
      <c r="C57" s="75" t="s">
        <v>17</v>
      </c>
      <c r="D57" s="135">
        <v>28.08</v>
      </c>
      <c r="E57" s="78">
        <v>3219.13</v>
      </c>
      <c r="F57" s="114">
        <f t="shared" si="1"/>
        <v>90393.1704</v>
      </c>
      <c r="G57" s="24">
        <v>0.01</v>
      </c>
      <c r="H57" s="107">
        <f t="shared" si="2"/>
        <v>903.931704</v>
      </c>
      <c r="I57" s="28" t="s">
        <v>40</v>
      </c>
    </row>
    <row r="58" ht="15.75" customHeight="1">
      <c r="A58" s="4"/>
      <c r="B58" s="74">
        <v>2532.0</v>
      </c>
      <c r="C58" s="75" t="s">
        <v>17</v>
      </c>
      <c r="D58" s="135">
        <v>46.74</v>
      </c>
      <c r="E58" s="78">
        <v>5009.27</v>
      </c>
      <c r="F58" s="114">
        <f t="shared" si="1"/>
        <v>234133.2798</v>
      </c>
      <c r="G58" s="24">
        <v>0.01</v>
      </c>
      <c r="H58" s="107">
        <f t="shared" si="2"/>
        <v>2341.332798</v>
      </c>
      <c r="I58" s="28" t="s">
        <v>70</v>
      </c>
    </row>
    <row r="59" ht="15.75" customHeight="1">
      <c r="A59" s="4"/>
      <c r="B59" s="74">
        <v>2552.0</v>
      </c>
      <c r="C59" s="75" t="s">
        <v>17</v>
      </c>
      <c r="D59" s="135">
        <v>45.29</v>
      </c>
      <c r="E59" s="78">
        <v>4904.85</v>
      </c>
      <c r="F59" s="114">
        <f t="shared" si="1"/>
        <v>222140.6565</v>
      </c>
      <c r="G59" s="24">
        <v>0.01</v>
      </c>
      <c r="H59" s="107">
        <f t="shared" si="2"/>
        <v>2221.406565</v>
      </c>
      <c r="I59" s="28" t="s">
        <v>70</v>
      </c>
    </row>
    <row r="60" ht="15.75" customHeight="1">
      <c r="A60" s="4"/>
      <c r="B60" s="74">
        <v>2553.0</v>
      </c>
      <c r="C60" s="75" t="s">
        <v>17</v>
      </c>
      <c r="D60" s="135">
        <v>46.0</v>
      </c>
      <c r="E60" s="78">
        <v>5000.0</v>
      </c>
      <c r="F60" s="114">
        <f t="shared" si="1"/>
        <v>230000</v>
      </c>
      <c r="G60" s="24">
        <v>0.01</v>
      </c>
      <c r="H60" s="107">
        <f t="shared" si="2"/>
        <v>2300</v>
      </c>
      <c r="I60" s="150"/>
    </row>
    <row r="61" ht="15.75" hidden="1" customHeight="1">
      <c r="A61" s="4"/>
      <c r="B61" s="140">
        <v>2564.0</v>
      </c>
      <c r="C61" s="142" t="s">
        <v>76</v>
      </c>
      <c r="D61" s="151">
        <v>27.72</v>
      </c>
      <c r="E61" s="144">
        <v>2046.83</v>
      </c>
      <c r="F61" s="146">
        <f t="shared" si="1"/>
        <v>56738.1276</v>
      </c>
      <c r="G61" s="152">
        <v>0.01</v>
      </c>
      <c r="H61" s="148">
        <f t="shared" si="2"/>
        <v>567.381276</v>
      </c>
      <c r="I61" s="149" t="s">
        <v>31</v>
      </c>
    </row>
    <row r="62" ht="15.75" customHeight="1">
      <c r="A62" s="4"/>
      <c r="B62" s="74">
        <v>2565.0</v>
      </c>
      <c r="C62" s="75" t="s">
        <v>76</v>
      </c>
      <c r="D62" s="153">
        <v>28.71</v>
      </c>
      <c r="E62" s="78">
        <v>5082.64</v>
      </c>
      <c r="F62" s="114">
        <f t="shared" si="1"/>
        <v>145922.5944</v>
      </c>
      <c r="G62" s="24">
        <v>0.01</v>
      </c>
      <c r="H62" s="107">
        <f t="shared" si="2"/>
        <v>1459.225944</v>
      </c>
      <c r="I62" s="28" t="s">
        <v>70</v>
      </c>
    </row>
    <row r="63" ht="15.75" customHeight="1">
      <c r="A63" s="4"/>
      <c r="B63" s="74">
        <v>2571.0</v>
      </c>
      <c r="C63" s="75" t="s">
        <v>29</v>
      </c>
      <c r="D63" s="153">
        <v>29.63</v>
      </c>
      <c r="E63" s="78">
        <v>7105.71</v>
      </c>
      <c r="F63" s="114">
        <f t="shared" si="1"/>
        <v>210542.1873</v>
      </c>
      <c r="G63" s="24">
        <v>0.01</v>
      </c>
      <c r="H63" s="107">
        <f t="shared" si="2"/>
        <v>2105.421873</v>
      </c>
      <c r="I63" s="28" t="s">
        <v>70</v>
      </c>
    </row>
    <row r="64" ht="15.75" customHeight="1">
      <c r="A64" s="4"/>
      <c r="B64" s="74">
        <v>2596.0</v>
      </c>
      <c r="C64" s="75" t="s">
        <v>17</v>
      </c>
      <c r="D64" s="153">
        <v>28.7</v>
      </c>
      <c r="E64" s="78">
        <v>3000.0</v>
      </c>
      <c r="F64" s="114">
        <f t="shared" si="1"/>
        <v>86100</v>
      </c>
      <c r="G64" s="24">
        <v>0.01</v>
      </c>
      <c r="H64" s="107">
        <f t="shared" si="2"/>
        <v>861</v>
      </c>
      <c r="I64" s="150"/>
    </row>
    <row r="65" ht="15.75" customHeight="1">
      <c r="A65" s="4"/>
      <c r="B65" s="74">
        <v>2612.0</v>
      </c>
      <c r="C65" s="75" t="s">
        <v>17</v>
      </c>
      <c r="D65" s="153">
        <v>28.06</v>
      </c>
      <c r="E65" s="78">
        <v>4979.13</v>
      </c>
      <c r="F65" s="114">
        <f t="shared" si="1"/>
        <v>139714.3878</v>
      </c>
      <c r="G65" s="24">
        <v>0.01</v>
      </c>
      <c r="H65" s="107">
        <f t="shared" si="2"/>
        <v>1397.143878</v>
      </c>
      <c r="I65" s="28" t="s">
        <v>40</v>
      </c>
    </row>
    <row r="66" ht="15.75" customHeight="1">
      <c r="A66" s="4"/>
      <c r="B66" s="74">
        <v>2614.0</v>
      </c>
      <c r="C66" s="75" t="s">
        <v>17</v>
      </c>
      <c r="D66" s="153">
        <v>27.0</v>
      </c>
      <c r="E66" s="78">
        <v>5000.0</v>
      </c>
      <c r="F66" s="114">
        <f t="shared" si="1"/>
        <v>135000</v>
      </c>
      <c r="G66" s="24">
        <v>0.01</v>
      </c>
      <c r="H66" s="107">
        <f t="shared" si="2"/>
        <v>1350</v>
      </c>
      <c r="I66" s="150"/>
    </row>
    <row r="67" ht="15.75" customHeight="1">
      <c r="A67" s="4"/>
      <c r="B67" s="74">
        <v>2616.0</v>
      </c>
      <c r="C67" s="75" t="s">
        <v>17</v>
      </c>
      <c r="D67" s="153">
        <v>27.98</v>
      </c>
      <c r="E67" s="78">
        <v>4950.02</v>
      </c>
      <c r="F67" s="114">
        <f t="shared" si="1"/>
        <v>138501.5596</v>
      </c>
      <c r="G67" s="24">
        <v>0.01</v>
      </c>
      <c r="H67" s="107">
        <f t="shared" si="2"/>
        <v>1385.015596</v>
      </c>
      <c r="I67" s="28" t="s">
        <v>40</v>
      </c>
    </row>
    <row r="68" ht="15.75" customHeight="1">
      <c r="A68" s="4"/>
      <c r="B68" s="74">
        <v>2630.0</v>
      </c>
      <c r="C68" s="75" t="s">
        <v>60</v>
      </c>
      <c r="D68" s="153">
        <v>26.99</v>
      </c>
      <c r="E68" s="78">
        <v>2831.99</v>
      </c>
      <c r="F68" s="114">
        <f t="shared" si="1"/>
        <v>76435.4101</v>
      </c>
      <c r="G68" s="24">
        <v>0.01</v>
      </c>
      <c r="H68" s="107">
        <f t="shared" si="2"/>
        <v>764.354101</v>
      </c>
      <c r="I68" s="28" t="s">
        <v>40</v>
      </c>
    </row>
    <row r="69" ht="15.75" customHeight="1">
      <c r="A69" s="4"/>
      <c r="B69" s="74">
        <v>2635.0</v>
      </c>
      <c r="C69" s="75" t="s">
        <v>66</v>
      </c>
      <c r="D69" s="153">
        <v>27.6</v>
      </c>
      <c r="E69" s="78">
        <v>1148.0</v>
      </c>
      <c r="F69" s="114">
        <f t="shared" si="1"/>
        <v>31684.8</v>
      </c>
      <c r="G69" s="24">
        <v>0.01</v>
      </c>
      <c r="H69" s="107">
        <f t="shared" si="2"/>
        <v>316.848</v>
      </c>
      <c r="I69" s="28" t="s">
        <v>70</v>
      </c>
    </row>
    <row r="70" ht="15.75" customHeight="1">
      <c r="A70" s="4"/>
      <c r="B70" s="157">
        <v>2666.0</v>
      </c>
      <c r="C70" s="158" t="s">
        <v>17</v>
      </c>
      <c r="D70" s="159">
        <v>26.5</v>
      </c>
      <c r="E70" s="160">
        <v>4000.0</v>
      </c>
      <c r="F70" s="161">
        <f t="shared" si="1"/>
        <v>106000</v>
      </c>
      <c r="G70" s="24">
        <v>0.01</v>
      </c>
      <c r="H70" s="162">
        <f t="shared" si="2"/>
        <v>1060</v>
      </c>
      <c r="I70" s="150"/>
    </row>
    <row r="71" ht="15.75" customHeight="1">
      <c r="A71" s="4"/>
      <c r="B71" s="157">
        <v>2672.0</v>
      </c>
      <c r="C71" s="158" t="s">
        <v>17</v>
      </c>
      <c r="D71" s="159">
        <v>26.5</v>
      </c>
      <c r="E71" s="160">
        <v>5040.0</v>
      </c>
      <c r="F71" s="161">
        <f t="shared" si="1"/>
        <v>133560</v>
      </c>
      <c r="G71" s="24">
        <v>0.01</v>
      </c>
      <c r="H71" s="162">
        <f t="shared" si="2"/>
        <v>1335.6</v>
      </c>
      <c r="I71" s="150"/>
    </row>
    <row r="72" ht="15.75" customHeight="1">
      <c r="A72" s="4"/>
      <c r="B72" s="34">
        <v>2678.0</v>
      </c>
      <c r="C72" s="158" t="s">
        <v>29</v>
      </c>
      <c r="D72" s="159">
        <v>28.73</v>
      </c>
      <c r="E72" s="160">
        <v>3528.0</v>
      </c>
      <c r="F72" s="161">
        <f t="shared" si="1"/>
        <v>101359.44</v>
      </c>
      <c r="G72" s="24">
        <v>0.01</v>
      </c>
      <c r="H72" s="162">
        <f t="shared" si="2"/>
        <v>1013.5944</v>
      </c>
      <c r="I72" s="150"/>
    </row>
    <row r="73" ht="15.75" customHeight="1">
      <c r="A73" s="4"/>
      <c r="B73" s="34">
        <v>2677.0</v>
      </c>
      <c r="C73" s="158" t="s">
        <v>29</v>
      </c>
      <c r="D73" s="159">
        <v>28.73</v>
      </c>
      <c r="E73" s="160">
        <v>3528.0</v>
      </c>
      <c r="F73" s="161">
        <f t="shared" si="1"/>
        <v>101359.44</v>
      </c>
      <c r="G73" s="24">
        <v>0.01</v>
      </c>
      <c r="H73" s="162">
        <f t="shared" si="2"/>
        <v>1013.5944</v>
      </c>
      <c r="I73" s="150"/>
    </row>
    <row r="74" ht="15.75" customHeight="1">
      <c r="A74" s="4"/>
      <c r="B74" s="34">
        <v>2694.0</v>
      </c>
      <c r="C74" s="158" t="s">
        <v>66</v>
      </c>
      <c r="D74" s="159">
        <v>27.94</v>
      </c>
      <c r="E74" s="160">
        <v>2400.0</v>
      </c>
      <c r="F74" s="161">
        <f t="shared" si="1"/>
        <v>67056</v>
      </c>
      <c r="G74" s="24">
        <v>0.01</v>
      </c>
      <c r="H74" s="162">
        <f t="shared" si="2"/>
        <v>670.56</v>
      </c>
      <c r="I74" s="150"/>
    </row>
    <row r="75" ht="15.75" customHeight="1">
      <c r="A75" s="4"/>
      <c r="B75" s="34">
        <v>2695.0</v>
      </c>
      <c r="C75" s="158" t="s">
        <v>17</v>
      </c>
      <c r="D75" s="159">
        <v>27.0</v>
      </c>
      <c r="E75" s="160">
        <v>5000.0</v>
      </c>
      <c r="F75" s="161">
        <f t="shared" si="1"/>
        <v>135000</v>
      </c>
      <c r="G75" s="24">
        <v>0.01</v>
      </c>
      <c r="H75" s="162">
        <f t="shared" si="2"/>
        <v>1350</v>
      </c>
      <c r="I75" s="150"/>
    </row>
    <row r="76" ht="15.75" customHeight="1">
      <c r="A76" s="4"/>
      <c r="B76" s="34">
        <v>2702.0</v>
      </c>
      <c r="C76" s="158" t="s">
        <v>17</v>
      </c>
      <c r="D76" s="159">
        <v>46.0</v>
      </c>
      <c r="E76" s="160">
        <v>5000.0</v>
      </c>
      <c r="F76" s="161">
        <f t="shared" si="1"/>
        <v>230000</v>
      </c>
      <c r="G76" s="24">
        <v>0.01</v>
      </c>
      <c r="H76" s="162">
        <f t="shared" si="2"/>
        <v>2300</v>
      </c>
      <c r="I76" s="150"/>
    </row>
    <row r="77" ht="15.75" customHeight="1">
      <c r="A77" s="4"/>
      <c r="B77" s="34">
        <v>2720.0</v>
      </c>
      <c r="C77" s="158" t="s">
        <v>60</v>
      </c>
      <c r="D77" s="159">
        <v>28.73</v>
      </c>
      <c r="E77" s="160">
        <v>4500.0</v>
      </c>
      <c r="F77" s="161">
        <f t="shared" si="1"/>
        <v>129285</v>
      </c>
      <c r="G77" s="24">
        <v>0.01</v>
      </c>
      <c r="H77" s="162">
        <f t="shared" si="2"/>
        <v>1292.85</v>
      </c>
      <c r="I77" s="150"/>
    </row>
    <row r="78" ht="15.75" customHeight="1">
      <c r="A78" s="4"/>
      <c r="B78" s="34">
        <v>2725.0</v>
      </c>
      <c r="C78" s="158" t="s">
        <v>17</v>
      </c>
      <c r="D78" s="159">
        <v>26.5</v>
      </c>
      <c r="E78" s="160">
        <v>3400.0</v>
      </c>
      <c r="F78" s="161">
        <f t="shared" si="1"/>
        <v>90100</v>
      </c>
      <c r="G78" s="24">
        <v>0.01</v>
      </c>
      <c r="H78" s="162">
        <f t="shared" si="2"/>
        <v>901</v>
      </c>
      <c r="I78" s="150"/>
    </row>
    <row r="79" ht="15.75" customHeight="1">
      <c r="A79" s="4"/>
      <c r="B79" s="34">
        <v>2726.0</v>
      </c>
      <c r="C79" s="158" t="s">
        <v>17</v>
      </c>
      <c r="D79" s="159">
        <v>26.5</v>
      </c>
      <c r="E79" s="160">
        <v>3400.0</v>
      </c>
      <c r="F79" s="161">
        <f t="shared" si="1"/>
        <v>90100</v>
      </c>
      <c r="G79" s="24">
        <v>0.01</v>
      </c>
      <c r="H79" s="162">
        <f t="shared" si="2"/>
        <v>901</v>
      </c>
      <c r="I79" s="150"/>
    </row>
    <row r="80" ht="15.75" customHeight="1">
      <c r="A80" s="4"/>
      <c r="B80" s="34">
        <v>2744.0</v>
      </c>
      <c r="C80" s="158" t="s">
        <v>17</v>
      </c>
      <c r="D80" s="159">
        <v>49.0</v>
      </c>
      <c r="E80" s="160">
        <v>3800.0</v>
      </c>
      <c r="F80" s="161">
        <f t="shared" si="1"/>
        <v>186200</v>
      </c>
      <c r="G80" s="24">
        <v>0.01</v>
      </c>
      <c r="H80" s="162">
        <f t="shared" si="2"/>
        <v>1862</v>
      </c>
      <c r="I80" s="150"/>
    </row>
    <row r="81" ht="15.75" customHeight="1">
      <c r="A81" s="4"/>
      <c r="B81" s="34">
        <v>2750.0</v>
      </c>
      <c r="C81" s="158" t="s">
        <v>60</v>
      </c>
      <c r="D81" s="159">
        <v>28.21</v>
      </c>
      <c r="E81" s="160">
        <v>2100.0</v>
      </c>
      <c r="F81" s="161">
        <f t="shared" si="1"/>
        <v>59241</v>
      </c>
      <c r="G81" s="24">
        <v>0.01</v>
      </c>
      <c r="H81" s="162">
        <f t="shared" si="2"/>
        <v>592.41</v>
      </c>
      <c r="I81" s="150"/>
    </row>
    <row r="82" ht="15.75" customHeight="1">
      <c r="A82" s="4"/>
      <c r="B82" s="34">
        <v>2768.0</v>
      </c>
      <c r="C82" s="158" t="s">
        <v>66</v>
      </c>
      <c r="D82" s="159">
        <v>28.26</v>
      </c>
      <c r="E82" s="160">
        <v>1200.0</v>
      </c>
      <c r="F82" s="161">
        <f t="shared" si="1"/>
        <v>33912</v>
      </c>
      <c r="G82" s="24">
        <v>0.01</v>
      </c>
      <c r="H82" s="162">
        <f t="shared" si="2"/>
        <v>339.12</v>
      </c>
      <c r="I82" s="150"/>
    </row>
    <row r="83" ht="15.75" customHeight="1">
      <c r="A83" s="4"/>
      <c r="B83" s="34">
        <v>2770.0</v>
      </c>
      <c r="C83" s="158" t="s">
        <v>17</v>
      </c>
      <c r="D83" s="159">
        <v>27.5</v>
      </c>
      <c r="E83" s="160">
        <v>4300.0</v>
      </c>
      <c r="F83" s="161">
        <f t="shared" si="1"/>
        <v>118250</v>
      </c>
      <c r="G83" s="24">
        <v>0.01</v>
      </c>
      <c r="H83" s="162">
        <f t="shared" si="2"/>
        <v>1182.5</v>
      </c>
      <c r="I83" s="150"/>
    </row>
    <row r="84" ht="15.75" customHeight="1">
      <c r="A84" s="4"/>
      <c r="B84" s="127"/>
      <c r="C84" s="22"/>
      <c r="E84" s="165"/>
      <c r="F84" s="161">
        <f>D83*E84</f>
        <v>0</v>
      </c>
      <c r="G84" s="24">
        <v>0.01</v>
      </c>
      <c r="H84" s="162">
        <f t="shared" si="2"/>
        <v>0</v>
      </c>
      <c r="I84" s="150"/>
    </row>
    <row r="85" ht="15.75" customHeight="1">
      <c r="A85" s="4"/>
      <c r="B85" s="127"/>
      <c r="C85" s="22"/>
      <c r="D85" s="166"/>
      <c r="E85" s="165"/>
      <c r="F85" s="161">
        <f t="shared" ref="F85:F920" si="3">D85*E85</f>
        <v>0</v>
      </c>
      <c r="G85" s="24">
        <v>0.01</v>
      </c>
      <c r="H85" s="162">
        <f t="shared" si="2"/>
        <v>0</v>
      </c>
      <c r="I85" s="150"/>
    </row>
    <row r="86" ht="15.75" customHeight="1">
      <c r="A86" s="4"/>
      <c r="B86" s="127"/>
      <c r="C86" s="22"/>
      <c r="D86" s="166"/>
      <c r="E86" s="165"/>
      <c r="F86" s="161">
        <f t="shared" si="3"/>
        <v>0</v>
      </c>
      <c r="G86" s="24">
        <v>0.01</v>
      </c>
      <c r="H86" s="162">
        <f t="shared" si="2"/>
        <v>0</v>
      </c>
      <c r="I86" s="150"/>
    </row>
    <row r="87" ht="15.75" customHeight="1">
      <c r="A87" s="4"/>
      <c r="B87" s="127"/>
      <c r="C87" s="22"/>
      <c r="D87" s="166"/>
      <c r="E87" s="165"/>
      <c r="F87" s="161">
        <f t="shared" si="3"/>
        <v>0</v>
      </c>
      <c r="G87" s="24">
        <v>0.01</v>
      </c>
      <c r="H87" s="162">
        <f t="shared" si="2"/>
        <v>0</v>
      </c>
      <c r="I87" s="150"/>
    </row>
    <row r="88" ht="15.75" customHeight="1">
      <c r="A88" s="4"/>
      <c r="B88" s="127"/>
      <c r="C88" s="22"/>
      <c r="D88" s="166"/>
      <c r="E88" s="165"/>
      <c r="F88" s="161">
        <f t="shared" si="3"/>
        <v>0</v>
      </c>
      <c r="G88" s="24">
        <v>0.01</v>
      </c>
      <c r="H88" s="162">
        <f t="shared" si="2"/>
        <v>0</v>
      </c>
      <c r="I88" s="150"/>
    </row>
    <row r="89" ht="15.75" customHeight="1">
      <c r="A89" s="4"/>
      <c r="B89" s="127"/>
      <c r="C89" s="22"/>
      <c r="D89" s="166"/>
      <c r="E89" s="165"/>
      <c r="F89" s="161">
        <f t="shared" si="3"/>
        <v>0</v>
      </c>
      <c r="G89" s="24">
        <v>0.01</v>
      </c>
      <c r="H89" s="162">
        <f t="shared" si="2"/>
        <v>0</v>
      </c>
      <c r="I89" s="150"/>
    </row>
    <row r="90" ht="15.75" customHeight="1">
      <c r="A90" s="4"/>
      <c r="B90" s="127"/>
      <c r="C90" s="22"/>
      <c r="D90" s="166"/>
      <c r="E90" s="165"/>
      <c r="F90" s="161">
        <f t="shared" si="3"/>
        <v>0</v>
      </c>
      <c r="G90" s="24">
        <v>0.01</v>
      </c>
      <c r="H90" s="162">
        <f t="shared" si="2"/>
        <v>0</v>
      </c>
      <c r="I90" s="150"/>
    </row>
    <row r="91" ht="15.75" customHeight="1">
      <c r="A91" s="4"/>
      <c r="B91" s="127"/>
      <c r="C91" s="22"/>
      <c r="D91" s="166"/>
      <c r="E91" s="165"/>
      <c r="F91" s="161">
        <f t="shared" si="3"/>
        <v>0</v>
      </c>
      <c r="G91" s="24">
        <v>0.01</v>
      </c>
      <c r="H91" s="162">
        <f t="shared" si="2"/>
        <v>0</v>
      </c>
      <c r="I91" s="150"/>
    </row>
    <row r="92" ht="15.75" customHeight="1">
      <c r="A92" s="4"/>
      <c r="B92" s="127"/>
      <c r="C92" s="22"/>
      <c r="D92" s="166"/>
      <c r="E92" s="165"/>
      <c r="F92" s="161">
        <f t="shared" si="3"/>
        <v>0</v>
      </c>
      <c r="G92" s="24">
        <v>0.01</v>
      </c>
      <c r="H92" s="162">
        <f t="shared" si="2"/>
        <v>0</v>
      </c>
      <c r="I92" s="150"/>
    </row>
    <row r="93" ht="15.75" customHeight="1">
      <c r="A93" s="4"/>
      <c r="B93" s="127"/>
      <c r="C93" s="22"/>
      <c r="D93" s="166"/>
      <c r="E93" s="165"/>
      <c r="F93" s="161">
        <f t="shared" si="3"/>
        <v>0</v>
      </c>
      <c r="G93" s="24">
        <v>0.01</v>
      </c>
      <c r="H93" s="162">
        <f t="shared" si="2"/>
        <v>0</v>
      </c>
      <c r="I93" s="150"/>
    </row>
    <row r="94" ht="15.75" customHeight="1">
      <c r="A94" s="4"/>
      <c r="B94" s="127"/>
      <c r="C94" s="22"/>
      <c r="D94" s="166"/>
      <c r="E94" s="165"/>
      <c r="F94" s="161">
        <f t="shared" si="3"/>
        <v>0</v>
      </c>
      <c r="G94" s="24">
        <v>0.01</v>
      </c>
      <c r="H94" s="162">
        <f t="shared" si="2"/>
        <v>0</v>
      </c>
      <c r="I94" s="150"/>
    </row>
    <row r="95" ht="15.75" customHeight="1">
      <c r="A95" s="4"/>
      <c r="B95" s="127"/>
      <c r="C95" s="22"/>
      <c r="D95" s="166"/>
      <c r="E95" s="165"/>
      <c r="F95" s="161">
        <f t="shared" si="3"/>
        <v>0</v>
      </c>
      <c r="G95" s="24">
        <v>0.01</v>
      </c>
      <c r="H95" s="162">
        <f t="shared" si="2"/>
        <v>0</v>
      </c>
      <c r="I95" s="150"/>
    </row>
    <row r="96" ht="15.75" customHeight="1">
      <c r="A96" s="4"/>
      <c r="B96" s="127"/>
      <c r="C96" s="22"/>
      <c r="D96" s="166"/>
      <c r="E96" s="165"/>
      <c r="F96" s="161">
        <f t="shared" si="3"/>
        <v>0</v>
      </c>
      <c r="G96" s="24">
        <v>0.01</v>
      </c>
      <c r="H96" s="162">
        <f t="shared" si="2"/>
        <v>0</v>
      </c>
      <c r="I96" s="150"/>
    </row>
    <row r="97" ht="15.75" customHeight="1">
      <c r="A97" s="4"/>
      <c r="B97" s="127"/>
      <c r="C97" s="22"/>
      <c r="D97" s="166"/>
      <c r="E97" s="165"/>
      <c r="F97" s="161">
        <f t="shared" si="3"/>
        <v>0</v>
      </c>
      <c r="G97" s="24">
        <v>0.01</v>
      </c>
      <c r="H97" s="162">
        <f t="shared" si="2"/>
        <v>0</v>
      </c>
      <c r="I97" s="150"/>
    </row>
    <row r="98" ht="15.75" customHeight="1">
      <c r="A98" s="4"/>
      <c r="B98" s="127"/>
      <c r="C98" s="22"/>
      <c r="D98" s="166"/>
      <c r="E98" s="165"/>
      <c r="F98" s="161">
        <f t="shared" si="3"/>
        <v>0</v>
      </c>
      <c r="G98" s="24">
        <v>0.01</v>
      </c>
      <c r="H98" s="162">
        <f t="shared" si="2"/>
        <v>0</v>
      </c>
      <c r="I98" s="150"/>
    </row>
    <row r="99" ht="15.75" customHeight="1">
      <c r="A99" s="4"/>
      <c r="B99" s="127"/>
      <c r="C99" s="22"/>
      <c r="D99" s="166"/>
      <c r="E99" s="165"/>
      <c r="F99" s="161">
        <f t="shared" si="3"/>
        <v>0</v>
      </c>
      <c r="G99" s="24">
        <v>0.01</v>
      </c>
      <c r="H99" s="162">
        <f t="shared" si="2"/>
        <v>0</v>
      </c>
      <c r="I99" s="150"/>
    </row>
    <row r="100" ht="15.75" customHeight="1">
      <c r="A100" s="4"/>
      <c r="B100" s="127"/>
      <c r="C100" s="22"/>
      <c r="D100" s="166"/>
      <c r="E100" s="165"/>
      <c r="F100" s="161">
        <f t="shared" si="3"/>
        <v>0</v>
      </c>
      <c r="G100" s="24">
        <v>0.01</v>
      </c>
      <c r="H100" s="162">
        <f t="shared" si="2"/>
        <v>0</v>
      </c>
      <c r="I100" s="150"/>
    </row>
    <row r="101" ht="15.75" customHeight="1">
      <c r="A101" s="4"/>
      <c r="B101" s="127"/>
      <c r="C101" s="22"/>
      <c r="D101" s="166"/>
      <c r="E101" s="165"/>
      <c r="F101" s="161">
        <f t="shared" si="3"/>
        <v>0</v>
      </c>
      <c r="G101" s="24">
        <v>0.01</v>
      </c>
      <c r="H101" s="162">
        <f t="shared" si="2"/>
        <v>0</v>
      </c>
      <c r="I101" s="150"/>
    </row>
    <row r="102" ht="15.75" customHeight="1">
      <c r="A102" s="4"/>
      <c r="B102" s="127"/>
      <c r="C102" s="22"/>
      <c r="D102" s="166"/>
      <c r="E102" s="165"/>
      <c r="F102" s="161">
        <f t="shared" si="3"/>
        <v>0</v>
      </c>
      <c r="G102" s="24">
        <v>0.01</v>
      </c>
      <c r="H102" s="162">
        <f t="shared" si="2"/>
        <v>0</v>
      </c>
      <c r="I102" s="150"/>
    </row>
    <row r="103" ht="15.75" customHeight="1">
      <c r="A103" s="4"/>
      <c r="B103" s="127"/>
      <c r="C103" s="22"/>
      <c r="D103" s="166"/>
      <c r="E103" s="165"/>
      <c r="F103" s="161">
        <f t="shared" si="3"/>
        <v>0</v>
      </c>
      <c r="G103" s="24">
        <v>0.01</v>
      </c>
      <c r="H103" s="162">
        <f t="shared" si="2"/>
        <v>0</v>
      </c>
      <c r="I103" s="150"/>
    </row>
    <row r="104" ht="15.75" customHeight="1">
      <c r="A104" s="4"/>
      <c r="B104" s="127"/>
      <c r="C104" s="22"/>
      <c r="D104" s="166"/>
      <c r="E104" s="165"/>
      <c r="F104" s="161">
        <f t="shared" si="3"/>
        <v>0</v>
      </c>
      <c r="G104" s="24">
        <v>0.01</v>
      </c>
      <c r="H104" s="162">
        <f t="shared" si="2"/>
        <v>0</v>
      </c>
      <c r="I104" s="150"/>
    </row>
    <row r="105" ht="15.75" customHeight="1">
      <c r="A105" s="4"/>
      <c r="B105" s="127"/>
      <c r="C105" s="22"/>
      <c r="D105" s="166"/>
      <c r="E105" s="165"/>
      <c r="F105" s="161">
        <f t="shared" si="3"/>
        <v>0</v>
      </c>
      <c r="G105" s="24">
        <v>0.01</v>
      </c>
      <c r="H105" s="162">
        <f t="shared" si="2"/>
        <v>0</v>
      </c>
      <c r="I105" s="150"/>
    </row>
    <row r="106" ht="15.75" customHeight="1">
      <c r="A106" s="4"/>
      <c r="B106" s="127"/>
      <c r="C106" s="22"/>
      <c r="D106" s="166"/>
      <c r="E106" s="165"/>
      <c r="F106" s="161">
        <f t="shared" si="3"/>
        <v>0</v>
      </c>
      <c r="G106" s="24">
        <v>0.01</v>
      </c>
      <c r="H106" s="162">
        <f t="shared" si="2"/>
        <v>0</v>
      </c>
      <c r="I106" s="150"/>
    </row>
    <row r="107" ht="15.75" customHeight="1">
      <c r="A107" s="4"/>
      <c r="B107" s="127"/>
      <c r="C107" s="22"/>
      <c r="D107" s="166"/>
      <c r="E107" s="165"/>
      <c r="F107" s="161">
        <f t="shared" si="3"/>
        <v>0</v>
      </c>
      <c r="G107" s="24">
        <v>0.01</v>
      </c>
      <c r="H107" s="162">
        <f t="shared" si="2"/>
        <v>0</v>
      </c>
      <c r="I107" s="150"/>
    </row>
    <row r="108" ht="15.75" customHeight="1">
      <c r="A108" s="4"/>
      <c r="B108" s="127"/>
      <c r="C108" s="22"/>
      <c r="D108" s="166"/>
      <c r="E108" s="165"/>
      <c r="F108" s="161">
        <f t="shared" si="3"/>
        <v>0</v>
      </c>
      <c r="G108" s="24">
        <v>0.01</v>
      </c>
      <c r="H108" s="162">
        <f t="shared" si="2"/>
        <v>0</v>
      </c>
      <c r="I108" s="150"/>
    </row>
    <row r="109" ht="15.75" customHeight="1">
      <c r="A109" s="4"/>
      <c r="B109" s="127"/>
      <c r="C109" s="22"/>
      <c r="D109" s="166"/>
      <c r="E109" s="165"/>
      <c r="F109" s="161">
        <f t="shared" si="3"/>
        <v>0</v>
      </c>
      <c r="G109" s="24">
        <v>0.01</v>
      </c>
      <c r="H109" s="162">
        <f t="shared" si="2"/>
        <v>0</v>
      </c>
      <c r="I109" s="150"/>
    </row>
    <row r="110" ht="15.75" customHeight="1">
      <c r="A110" s="4"/>
      <c r="B110" s="127"/>
      <c r="C110" s="22"/>
      <c r="D110" s="166"/>
      <c r="E110" s="165"/>
      <c r="F110" s="161">
        <f t="shared" si="3"/>
        <v>0</v>
      </c>
      <c r="G110" s="24">
        <v>0.01</v>
      </c>
      <c r="H110" s="162">
        <f t="shared" si="2"/>
        <v>0</v>
      </c>
      <c r="I110" s="150"/>
    </row>
    <row r="111" ht="15.75" customHeight="1">
      <c r="A111" s="4"/>
      <c r="B111" s="127"/>
      <c r="C111" s="22"/>
      <c r="D111" s="166"/>
      <c r="E111" s="165"/>
      <c r="F111" s="161">
        <f t="shared" si="3"/>
        <v>0</v>
      </c>
      <c r="G111" s="24">
        <v>0.01</v>
      </c>
      <c r="H111" s="162">
        <f t="shared" si="2"/>
        <v>0</v>
      </c>
      <c r="I111" s="150"/>
    </row>
    <row r="112" ht="15.75" customHeight="1">
      <c r="A112" s="4"/>
      <c r="B112" s="127"/>
      <c r="C112" s="22"/>
      <c r="D112" s="166"/>
      <c r="E112" s="165"/>
      <c r="F112" s="161">
        <f t="shared" si="3"/>
        <v>0</v>
      </c>
      <c r="G112" s="24">
        <v>0.01</v>
      </c>
      <c r="H112" s="162">
        <f t="shared" si="2"/>
        <v>0</v>
      </c>
      <c r="I112" s="150"/>
    </row>
    <row r="113" ht="15.75" customHeight="1">
      <c r="A113" s="4"/>
      <c r="B113" s="127"/>
      <c r="C113" s="22"/>
      <c r="D113" s="166"/>
      <c r="E113" s="165"/>
      <c r="F113" s="161">
        <f t="shared" si="3"/>
        <v>0</v>
      </c>
      <c r="G113" s="24">
        <v>0.01</v>
      </c>
      <c r="H113" s="162">
        <f t="shared" si="2"/>
        <v>0</v>
      </c>
      <c r="I113" s="150"/>
    </row>
    <row r="114" ht="15.75" customHeight="1">
      <c r="A114" s="4"/>
      <c r="B114" s="127"/>
      <c r="C114" s="22"/>
      <c r="D114" s="166"/>
      <c r="E114" s="165"/>
      <c r="F114" s="161">
        <f t="shared" si="3"/>
        <v>0</v>
      </c>
      <c r="G114" s="24">
        <v>0.01</v>
      </c>
      <c r="H114" s="162">
        <f t="shared" si="2"/>
        <v>0</v>
      </c>
      <c r="I114" s="150"/>
    </row>
    <row r="115" ht="15.75" customHeight="1">
      <c r="A115" s="4"/>
      <c r="B115" s="127"/>
      <c r="C115" s="22"/>
      <c r="D115" s="166"/>
      <c r="E115" s="165"/>
      <c r="F115" s="161">
        <f t="shared" si="3"/>
        <v>0</v>
      </c>
      <c r="G115" s="24">
        <v>0.01</v>
      </c>
      <c r="H115" s="162">
        <f t="shared" si="2"/>
        <v>0</v>
      </c>
      <c r="I115" s="150"/>
    </row>
    <row r="116" ht="15.75" customHeight="1">
      <c r="A116" s="4"/>
      <c r="B116" s="127"/>
      <c r="C116" s="22"/>
      <c r="D116" s="166"/>
      <c r="E116" s="165"/>
      <c r="F116" s="161">
        <f t="shared" si="3"/>
        <v>0</v>
      </c>
      <c r="G116" s="24">
        <v>0.01</v>
      </c>
      <c r="H116" s="162">
        <f t="shared" si="2"/>
        <v>0</v>
      </c>
      <c r="I116" s="150"/>
    </row>
    <row r="117" ht="15.75" customHeight="1">
      <c r="A117" s="4"/>
      <c r="B117" s="127"/>
      <c r="C117" s="22"/>
      <c r="D117" s="166"/>
      <c r="E117" s="165"/>
      <c r="F117" s="161">
        <f t="shared" si="3"/>
        <v>0</v>
      </c>
      <c r="G117" s="24">
        <v>0.01</v>
      </c>
      <c r="H117" s="162">
        <f t="shared" si="2"/>
        <v>0</v>
      </c>
      <c r="I117" s="150"/>
    </row>
    <row r="118" ht="15.75" customHeight="1">
      <c r="A118" s="4"/>
      <c r="B118" s="127"/>
      <c r="C118" s="22"/>
      <c r="D118" s="166"/>
      <c r="E118" s="165"/>
      <c r="F118" s="161">
        <f t="shared" si="3"/>
        <v>0</v>
      </c>
      <c r="G118" s="24">
        <v>0.01</v>
      </c>
      <c r="H118" s="162">
        <f t="shared" si="2"/>
        <v>0</v>
      </c>
      <c r="I118" s="150"/>
    </row>
    <row r="119" ht="15.75" customHeight="1">
      <c r="A119" s="4"/>
      <c r="B119" s="127"/>
      <c r="C119" s="22"/>
      <c r="D119" s="166"/>
      <c r="E119" s="165"/>
      <c r="F119" s="161">
        <f t="shared" si="3"/>
        <v>0</v>
      </c>
      <c r="G119" s="24">
        <v>0.01</v>
      </c>
      <c r="H119" s="162">
        <f t="shared" si="2"/>
        <v>0</v>
      </c>
      <c r="I119" s="150"/>
    </row>
    <row r="120" ht="15.75" customHeight="1">
      <c r="A120" s="4"/>
      <c r="B120" s="127"/>
      <c r="C120" s="22"/>
      <c r="D120" s="166"/>
      <c r="E120" s="165"/>
      <c r="F120" s="161">
        <f t="shared" si="3"/>
        <v>0</v>
      </c>
      <c r="G120" s="24">
        <v>0.01</v>
      </c>
      <c r="H120" s="162">
        <f t="shared" si="2"/>
        <v>0</v>
      </c>
      <c r="I120" s="150"/>
    </row>
    <row r="121" ht="15.75" customHeight="1">
      <c r="A121" s="4"/>
      <c r="B121" s="127"/>
      <c r="C121" s="22"/>
      <c r="D121" s="166"/>
      <c r="E121" s="165"/>
      <c r="F121" s="161">
        <f t="shared" si="3"/>
        <v>0</v>
      </c>
      <c r="G121" s="24">
        <v>0.01</v>
      </c>
      <c r="H121" s="162">
        <f t="shared" si="2"/>
        <v>0</v>
      </c>
      <c r="I121" s="150"/>
    </row>
    <row r="122" ht="15.75" customHeight="1">
      <c r="A122" s="4"/>
      <c r="B122" s="127"/>
      <c r="C122" s="22"/>
      <c r="D122" s="166"/>
      <c r="E122" s="165"/>
      <c r="F122" s="161">
        <f t="shared" si="3"/>
        <v>0</v>
      </c>
      <c r="G122" s="24">
        <v>0.01</v>
      </c>
      <c r="H122" s="162">
        <f t="shared" si="2"/>
        <v>0</v>
      </c>
      <c r="I122" s="150"/>
    </row>
    <row r="123" ht="15.75" customHeight="1">
      <c r="A123" s="4"/>
      <c r="B123" s="127"/>
      <c r="C123" s="22"/>
      <c r="D123" s="166"/>
      <c r="E123" s="165"/>
      <c r="F123" s="161">
        <f t="shared" si="3"/>
        <v>0</v>
      </c>
      <c r="G123" s="24">
        <v>0.01</v>
      </c>
      <c r="H123" s="162">
        <f t="shared" si="2"/>
        <v>0</v>
      </c>
      <c r="I123" s="150"/>
    </row>
    <row r="124" ht="15.75" customHeight="1">
      <c r="A124" s="4"/>
      <c r="B124" s="127"/>
      <c r="C124" s="22"/>
      <c r="D124" s="166"/>
      <c r="E124" s="165"/>
      <c r="F124" s="161">
        <f t="shared" si="3"/>
        <v>0</v>
      </c>
      <c r="G124" s="24">
        <v>0.01</v>
      </c>
      <c r="H124" s="162">
        <f t="shared" si="2"/>
        <v>0</v>
      </c>
      <c r="I124" s="150"/>
    </row>
    <row r="125" ht="15.75" customHeight="1">
      <c r="A125" s="4"/>
      <c r="B125" s="127"/>
      <c r="C125" s="22"/>
      <c r="D125" s="166"/>
      <c r="E125" s="165"/>
      <c r="F125" s="161">
        <f t="shared" si="3"/>
        <v>0</v>
      </c>
      <c r="G125" s="24">
        <v>0.01</v>
      </c>
      <c r="H125" s="162">
        <f t="shared" si="2"/>
        <v>0</v>
      </c>
      <c r="I125" s="150"/>
    </row>
    <row r="126" ht="15.75" customHeight="1">
      <c r="A126" s="4"/>
      <c r="B126" s="127"/>
      <c r="C126" s="22"/>
      <c r="D126" s="166"/>
      <c r="E126" s="165"/>
      <c r="F126" s="161">
        <f t="shared" si="3"/>
        <v>0</v>
      </c>
      <c r="G126" s="24">
        <v>0.01</v>
      </c>
      <c r="H126" s="162">
        <f t="shared" si="2"/>
        <v>0</v>
      </c>
      <c r="I126" s="150"/>
    </row>
    <row r="127" ht="15.75" customHeight="1">
      <c r="A127" s="4"/>
      <c r="B127" s="127"/>
      <c r="C127" s="22"/>
      <c r="D127" s="166"/>
      <c r="E127" s="165"/>
      <c r="F127" s="161">
        <f t="shared" si="3"/>
        <v>0</v>
      </c>
      <c r="G127" s="24">
        <v>0.01</v>
      </c>
      <c r="H127" s="162">
        <f t="shared" si="2"/>
        <v>0</v>
      </c>
      <c r="I127" s="150"/>
    </row>
    <row r="128" ht="15.75" customHeight="1">
      <c r="A128" s="4"/>
      <c r="B128" s="127"/>
      <c r="C128" s="22"/>
      <c r="D128" s="166"/>
      <c r="E128" s="165"/>
      <c r="F128" s="161">
        <f t="shared" si="3"/>
        <v>0</v>
      </c>
      <c r="G128" s="24">
        <v>0.01</v>
      </c>
      <c r="H128" s="162">
        <f t="shared" si="2"/>
        <v>0</v>
      </c>
      <c r="I128" s="150"/>
    </row>
    <row r="129" ht="15.75" customHeight="1">
      <c r="A129" s="4"/>
      <c r="B129" s="127"/>
      <c r="C129" s="22"/>
      <c r="D129" s="166"/>
      <c r="E129" s="165"/>
      <c r="F129" s="161">
        <f t="shared" si="3"/>
        <v>0</v>
      </c>
      <c r="G129" s="24">
        <v>0.01</v>
      </c>
      <c r="H129" s="162">
        <f t="shared" si="2"/>
        <v>0</v>
      </c>
      <c r="I129" s="150"/>
    </row>
    <row r="130" ht="15.75" customHeight="1">
      <c r="A130" s="4"/>
      <c r="B130" s="127"/>
      <c r="C130" s="22"/>
      <c r="D130" s="166"/>
      <c r="E130" s="165"/>
      <c r="F130" s="161">
        <f t="shared" si="3"/>
        <v>0</v>
      </c>
      <c r="G130" s="24">
        <v>0.01</v>
      </c>
      <c r="H130" s="162">
        <f t="shared" si="2"/>
        <v>0</v>
      </c>
      <c r="I130" s="150"/>
    </row>
    <row r="131" ht="15.75" customHeight="1">
      <c r="A131" s="4"/>
      <c r="B131" s="127"/>
      <c r="C131" s="22"/>
      <c r="D131" s="166"/>
      <c r="E131" s="165"/>
      <c r="F131" s="161">
        <f t="shared" si="3"/>
        <v>0</v>
      </c>
      <c r="G131" s="24">
        <v>0.01</v>
      </c>
      <c r="H131" s="162">
        <f t="shared" si="2"/>
        <v>0</v>
      </c>
      <c r="I131" s="150"/>
    </row>
    <row r="132" ht="15.75" customHeight="1">
      <c r="A132" s="4"/>
      <c r="B132" s="127"/>
      <c r="C132" s="22"/>
      <c r="D132" s="166"/>
      <c r="E132" s="165"/>
      <c r="F132" s="161">
        <f t="shared" si="3"/>
        <v>0</v>
      </c>
      <c r="G132" s="24">
        <v>0.01</v>
      </c>
      <c r="H132" s="162">
        <f t="shared" si="2"/>
        <v>0</v>
      </c>
      <c r="I132" s="150"/>
    </row>
    <row r="133" ht="15.75" customHeight="1">
      <c r="A133" s="4"/>
      <c r="B133" s="127"/>
      <c r="C133" s="22"/>
      <c r="D133" s="166"/>
      <c r="E133" s="165"/>
      <c r="F133" s="161">
        <f t="shared" si="3"/>
        <v>0</v>
      </c>
      <c r="G133" s="24">
        <v>0.01</v>
      </c>
      <c r="H133" s="162">
        <f t="shared" si="2"/>
        <v>0</v>
      </c>
      <c r="I133" s="150"/>
    </row>
    <row r="134" ht="15.75" customHeight="1">
      <c r="A134" s="4"/>
      <c r="B134" s="127"/>
      <c r="C134" s="22"/>
      <c r="D134" s="166"/>
      <c r="E134" s="165"/>
      <c r="F134" s="161">
        <f t="shared" si="3"/>
        <v>0</v>
      </c>
      <c r="G134" s="24">
        <v>0.01</v>
      </c>
      <c r="H134" s="162">
        <f t="shared" si="2"/>
        <v>0</v>
      </c>
      <c r="I134" s="150"/>
    </row>
    <row r="135" ht="15.75" customHeight="1">
      <c r="A135" s="4"/>
      <c r="B135" s="127"/>
      <c r="C135" s="22"/>
      <c r="D135" s="166"/>
      <c r="E135" s="165"/>
      <c r="F135" s="161">
        <f t="shared" si="3"/>
        <v>0</v>
      </c>
      <c r="G135" s="24">
        <v>0.01</v>
      </c>
      <c r="H135" s="162">
        <f t="shared" si="2"/>
        <v>0</v>
      </c>
      <c r="I135" s="150"/>
    </row>
    <row r="136" ht="15.75" customHeight="1">
      <c r="A136" s="4"/>
      <c r="B136" s="127"/>
      <c r="C136" s="22"/>
      <c r="D136" s="166"/>
      <c r="E136" s="165"/>
      <c r="F136" s="161">
        <f t="shared" si="3"/>
        <v>0</v>
      </c>
      <c r="G136" s="24">
        <v>0.01</v>
      </c>
      <c r="H136" s="162">
        <f t="shared" si="2"/>
        <v>0</v>
      </c>
      <c r="I136" s="150"/>
    </row>
    <row r="137" ht="15.75" customHeight="1">
      <c r="A137" s="4"/>
      <c r="B137" s="30"/>
      <c r="D137" s="62"/>
      <c r="E137" s="63"/>
      <c r="F137" s="54">
        <f t="shared" si="3"/>
        <v>0</v>
      </c>
      <c r="G137" s="177">
        <v>0.01</v>
      </c>
      <c r="H137" s="178">
        <f t="shared" si="2"/>
        <v>0</v>
      </c>
      <c r="I137" s="179"/>
    </row>
    <row r="138" ht="15.75" customHeight="1">
      <c r="A138" s="4"/>
      <c r="B138" s="30"/>
      <c r="D138" s="62"/>
      <c r="E138" s="63"/>
      <c r="F138" s="54">
        <f t="shared" si="3"/>
        <v>0</v>
      </c>
      <c r="G138" s="177">
        <v>0.01</v>
      </c>
      <c r="H138" s="178">
        <f t="shared" si="2"/>
        <v>0</v>
      </c>
      <c r="I138" s="179"/>
    </row>
    <row r="139" ht="15.75" customHeight="1">
      <c r="A139" s="4"/>
      <c r="B139" s="30"/>
      <c r="D139" s="62"/>
      <c r="E139" s="63"/>
      <c r="F139" s="54">
        <f t="shared" si="3"/>
        <v>0</v>
      </c>
      <c r="G139" s="177">
        <v>0.01</v>
      </c>
      <c r="H139" s="178">
        <f t="shared" si="2"/>
        <v>0</v>
      </c>
      <c r="I139" s="179"/>
    </row>
    <row r="140" ht="15.75" customHeight="1">
      <c r="A140" s="4"/>
      <c r="B140" s="30"/>
      <c r="D140" s="62"/>
      <c r="E140" s="63"/>
      <c r="F140" s="54">
        <f t="shared" si="3"/>
        <v>0</v>
      </c>
      <c r="G140" s="177">
        <v>0.01</v>
      </c>
      <c r="H140" s="178">
        <f t="shared" si="2"/>
        <v>0</v>
      </c>
      <c r="I140" s="179"/>
    </row>
    <row r="141" ht="15.75" customHeight="1">
      <c r="A141" s="4"/>
      <c r="B141" s="30"/>
      <c r="D141" s="62"/>
      <c r="E141" s="63"/>
      <c r="F141" s="54">
        <f t="shared" si="3"/>
        <v>0</v>
      </c>
      <c r="G141" s="177">
        <v>0.01</v>
      </c>
      <c r="H141" s="178">
        <f t="shared" si="2"/>
        <v>0</v>
      </c>
      <c r="I141" s="179"/>
    </row>
    <row r="142" ht="15.75" customHeight="1">
      <c r="A142" s="4"/>
      <c r="B142" s="30"/>
      <c r="D142" s="62"/>
      <c r="E142" s="63"/>
      <c r="F142" s="54">
        <f t="shared" si="3"/>
        <v>0</v>
      </c>
      <c r="G142" s="177">
        <v>0.01</v>
      </c>
      <c r="H142" s="178">
        <f t="shared" si="2"/>
        <v>0</v>
      </c>
      <c r="I142" s="179"/>
    </row>
    <row r="143" ht="15.75" customHeight="1">
      <c r="A143" s="4"/>
      <c r="B143" s="30"/>
      <c r="D143" s="62"/>
      <c r="E143" s="63"/>
      <c r="F143" s="54">
        <f t="shared" si="3"/>
        <v>0</v>
      </c>
      <c r="G143" s="177">
        <v>0.01</v>
      </c>
      <c r="H143" s="178">
        <f t="shared" si="2"/>
        <v>0</v>
      </c>
      <c r="I143" s="179"/>
    </row>
    <row r="144" ht="15.75" customHeight="1">
      <c r="A144" s="4"/>
      <c r="B144" s="30"/>
      <c r="D144" s="62"/>
      <c r="E144" s="63"/>
      <c r="F144" s="54">
        <f t="shared" si="3"/>
        <v>0</v>
      </c>
      <c r="G144" s="177">
        <v>0.01</v>
      </c>
      <c r="H144" s="178">
        <f t="shared" si="2"/>
        <v>0</v>
      </c>
      <c r="I144" s="179"/>
    </row>
    <row r="145" ht="15.75" customHeight="1">
      <c r="A145" s="4"/>
      <c r="B145" s="30"/>
      <c r="D145" s="62"/>
      <c r="E145" s="63"/>
      <c r="F145" s="54">
        <f t="shared" si="3"/>
        <v>0</v>
      </c>
      <c r="G145" s="177">
        <v>0.01</v>
      </c>
      <c r="H145" s="178">
        <f t="shared" si="2"/>
        <v>0</v>
      </c>
      <c r="I145" s="179"/>
    </row>
    <row r="146" ht="15.75" customHeight="1">
      <c r="A146" s="4"/>
      <c r="B146" s="30"/>
      <c r="D146" s="62"/>
      <c r="E146" s="63"/>
      <c r="F146" s="54">
        <f t="shared" si="3"/>
        <v>0</v>
      </c>
      <c r="G146" s="177">
        <v>0.01</v>
      </c>
      <c r="H146" s="178">
        <f t="shared" si="2"/>
        <v>0</v>
      </c>
      <c r="I146" s="179"/>
    </row>
    <row r="147" ht="15.75" customHeight="1">
      <c r="A147" s="4"/>
      <c r="B147" s="30"/>
      <c r="D147" s="62"/>
      <c r="E147" s="63"/>
      <c r="F147" s="54">
        <f t="shared" si="3"/>
        <v>0</v>
      </c>
      <c r="G147" s="177">
        <v>0.01</v>
      </c>
      <c r="H147" s="178">
        <f t="shared" si="2"/>
        <v>0</v>
      </c>
      <c r="I147" s="179"/>
    </row>
    <row r="148" ht="15.75" customHeight="1">
      <c r="A148" s="4"/>
      <c r="B148" s="30"/>
      <c r="D148" s="62"/>
      <c r="E148" s="63"/>
      <c r="F148" s="54">
        <f t="shared" si="3"/>
        <v>0</v>
      </c>
      <c r="G148" s="177">
        <v>0.01</v>
      </c>
      <c r="H148" s="178">
        <f t="shared" si="2"/>
        <v>0</v>
      </c>
      <c r="I148" s="179"/>
    </row>
    <row r="149" ht="15.75" customHeight="1">
      <c r="A149" s="4"/>
      <c r="B149" s="30"/>
      <c r="D149" s="62"/>
      <c r="E149" s="63"/>
      <c r="F149" s="54">
        <f t="shared" si="3"/>
        <v>0</v>
      </c>
      <c r="G149" s="177">
        <v>0.01</v>
      </c>
      <c r="H149" s="178">
        <f t="shared" si="2"/>
        <v>0</v>
      </c>
      <c r="I149" s="179"/>
    </row>
    <row r="150" ht="15.75" customHeight="1">
      <c r="A150" s="4"/>
      <c r="B150" s="30"/>
      <c r="D150" s="62"/>
      <c r="E150" s="63"/>
      <c r="F150" s="54">
        <f t="shared" si="3"/>
        <v>0</v>
      </c>
      <c r="G150" s="177">
        <v>0.01</v>
      </c>
      <c r="H150" s="178">
        <f t="shared" si="2"/>
        <v>0</v>
      </c>
      <c r="I150" s="179"/>
    </row>
    <row r="151" ht="15.75" customHeight="1">
      <c r="A151" s="4"/>
      <c r="B151" s="30"/>
      <c r="D151" s="62"/>
      <c r="E151" s="63"/>
      <c r="F151" s="54">
        <f t="shared" si="3"/>
        <v>0</v>
      </c>
      <c r="G151" s="177">
        <v>0.01</v>
      </c>
      <c r="H151" s="178">
        <f t="shared" si="2"/>
        <v>0</v>
      </c>
      <c r="I151" s="179"/>
    </row>
    <row r="152" ht="15.75" customHeight="1">
      <c r="A152" s="4"/>
      <c r="B152" s="30"/>
      <c r="D152" s="62"/>
      <c r="E152" s="63"/>
      <c r="F152" s="54">
        <f t="shared" si="3"/>
        <v>0</v>
      </c>
      <c r="G152" s="177">
        <v>0.01</v>
      </c>
      <c r="H152" s="178">
        <f t="shared" si="2"/>
        <v>0</v>
      </c>
      <c r="I152" s="179"/>
    </row>
    <row r="153" ht="15.75" customHeight="1">
      <c r="A153" s="4"/>
      <c r="B153" s="30"/>
      <c r="D153" s="62"/>
      <c r="E153" s="63"/>
      <c r="F153" s="54">
        <f t="shared" si="3"/>
        <v>0</v>
      </c>
      <c r="G153" s="177">
        <v>0.01</v>
      </c>
      <c r="H153" s="178">
        <f t="shared" si="2"/>
        <v>0</v>
      </c>
      <c r="I153" s="179"/>
    </row>
    <row r="154" ht="15.75" customHeight="1">
      <c r="A154" s="4"/>
      <c r="B154" s="30"/>
      <c r="D154" s="62"/>
      <c r="E154" s="63"/>
      <c r="F154" s="54">
        <f t="shared" si="3"/>
        <v>0</v>
      </c>
      <c r="G154" s="177">
        <v>0.01</v>
      </c>
      <c r="H154" s="178">
        <f t="shared" si="2"/>
        <v>0</v>
      </c>
      <c r="I154" s="179"/>
    </row>
    <row r="155" ht="15.75" customHeight="1">
      <c r="A155" s="4"/>
      <c r="B155" s="30"/>
      <c r="D155" s="62"/>
      <c r="E155" s="63"/>
      <c r="F155" s="54">
        <f t="shared" si="3"/>
        <v>0</v>
      </c>
      <c r="G155" s="177">
        <v>0.01</v>
      </c>
      <c r="H155" s="178">
        <f t="shared" si="2"/>
        <v>0</v>
      </c>
      <c r="I155" s="179"/>
    </row>
    <row r="156" ht="15.75" customHeight="1">
      <c r="A156" s="4"/>
      <c r="B156" s="30"/>
      <c r="D156" s="62"/>
      <c r="E156" s="63"/>
      <c r="F156" s="54">
        <f t="shared" si="3"/>
        <v>0</v>
      </c>
      <c r="G156" s="177">
        <v>0.01</v>
      </c>
      <c r="H156" s="178">
        <f t="shared" si="2"/>
        <v>0</v>
      </c>
      <c r="I156" s="179"/>
    </row>
    <row r="157" ht="15.75" customHeight="1">
      <c r="A157" s="4"/>
      <c r="B157" s="30"/>
      <c r="D157" s="62"/>
      <c r="E157" s="63"/>
      <c r="F157" s="54">
        <f t="shared" si="3"/>
        <v>0</v>
      </c>
      <c r="G157" s="177">
        <v>0.01</v>
      </c>
      <c r="H157" s="178">
        <f t="shared" si="2"/>
        <v>0</v>
      </c>
      <c r="I157" s="179"/>
    </row>
    <row r="158" ht="15.75" customHeight="1">
      <c r="A158" s="4"/>
      <c r="B158" s="30"/>
      <c r="D158" s="62"/>
      <c r="E158" s="63"/>
      <c r="F158" s="54">
        <f t="shared" si="3"/>
        <v>0</v>
      </c>
      <c r="G158" s="177">
        <v>0.01</v>
      </c>
      <c r="H158" s="178">
        <f t="shared" si="2"/>
        <v>0</v>
      </c>
      <c r="I158" s="179"/>
    </row>
    <row r="159" ht="15.75" customHeight="1">
      <c r="A159" s="4"/>
      <c r="B159" s="30"/>
      <c r="D159" s="62"/>
      <c r="E159" s="63"/>
      <c r="F159" s="54">
        <f t="shared" si="3"/>
        <v>0</v>
      </c>
      <c r="G159" s="177">
        <v>0.01</v>
      </c>
      <c r="H159" s="178">
        <f t="shared" si="2"/>
        <v>0</v>
      </c>
      <c r="I159" s="179"/>
    </row>
    <row r="160" ht="15.75" customHeight="1">
      <c r="A160" s="4"/>
      <c r="B160" s="30"/>
      <c r="D160" s="62"/>
      <c r="E160" s="63"/>
      <c r="F160" s="54">
        <f t="shared" si="3"/>
        <v>0</v>
      </c>
      <c r="G160" s="177">
        <v>0.01</v>
      </c>
      <c r="H160" s="178">
        <f t="shared" si="2"/>
        <v>0</v>
      </c>
      <c r="I160" s="179"/>
    </row>
    <row r="161" ht="15.75" customHeight="1">
      <c r="A161" s="4"/>
      <c r="B161" s="30"/>
      <c r="D161" s="62"/>
      <c r="E161" s="63"/>
      <c r="F161" s="54">
        <f t="shared" si="3"/>
        <v>0</v>
      </c>
      <c r="G161" s="177">
        <v>0.01</v>
      </c>
      <c r="H161" s="178">
        <f t="shared" si="2"/>
        <v>0</v>
      </c>
      <c r="I161" s="179"/>
    </row>
    <row r="162" ht="15.75" customHeight="1">
      <c r="A162" s="4"/>
      <c r="B162" s="30"/>
      <c r="D162" s="62"/>
      <c r="E162" s="63"/>
      <c r="F162" s="54">
        <f t="shared" si="3"/>
        <v>0</v>
      </c>
      <c r="G162" s="177">
        <v>0.01</v>
      </c>
      <c r="H162" s="178">
        <f t="shared" si="2"/>
        <v>0</v>
      </c>
      <c r="I162" s="179"/>
    </row>
    <row r="163" ht="15.75" customHeight="1">
      <c r="A163" s="4"/>
      <c r="B163" s="30"/>
      <c r="D163" s="62"/>
      <c r="E163" s="63"/>
      <c r="F163" s="54">
        <f t="shared" si="3"/>
        <v>0</v>
      </c>
      <c r="G163" s="177">
        <v>0.01</v>
      </c>
      <c r="H163" s="178">
        <f t="shared" si="2"/>
        <v>0</v>
      </c>
      <c r="I163" s="179"/>
    </row>
    <row r="164" ht="15.75" customHeight="1">
      <c r="A164" s="4"/>
      <c r="B164" s="30"/>
      <c r="D164" s="62"/>
      <c r="E164" s="63"/>
      <c r="F164" s="54">
        <f t="shared" si="3"/>
        <v>0</v>
      </c>
      <c r="G164" s="177">
        <v>0.01</v>
      </c>
      <c r="H164" s="178">
        <f t="shared" si="2"/>
        <v>0</v>
      </c>
      <c r="I164" s="179"/>
    </row>
    <row r="165" ht="15.75" customHeight="1">
      <c r="A165" s="4"/>
      <c r="B165" s="30"/>
      <c r="D165" s="62"/>
      <c r="E165" s="63"/>
      <c r="F165" s="54">
        <f t="shared" si="3"/>
        <v>0</v>
      </c>
      <c r="G165" s="177">
        <v>0.01</v>
      </c>
      <c r="H165" s="178">
        <f t="shared" si="2"/>
        <v>0</v>
      </c>
      <c r="I165" s="179"/>
    </row>
    <row r="166" ht="15.75" customHeight="1">
      <c r="A166" s="4"/>
      <c r="B166" s="30"/>
      <c r="D166" s="62"/>
      <c r="E166" s="63"/>
      <c r="F166" s="54">
        <f t="shared" si="3"/>
        <v>0</v>
      </c>
      <c r="G166" s="177">
        <v>0.01</v>
      </c>
      <c r="H166" s="178">
        <f t="shared" si="2"/>
        <v>0</v>
      </c>
      <c r="I166" s="179"/>
    </row>
    <row r="167" ht="15.75" customHeight="1">
      <c r="A167" s="4"/>
      <c r="B167" s="30"/>
      <c r="D167" s="62"/>
      <c r="E167" s="63"/>
      <c r="F167" s="54">
        <f t="shared" si="3"/>
        <v>0</v>
      </c>
      <c r="G167" s="177">
        <v>0.01</v>
      </c>
      <c r="H167" s="178">
        <f t="shared" si="2"/>
        <v>0</v>
      </c>
      <c r="I167" s="179"/>
    </row>
    <row r="168" ht="15.75" customHeight="1">
      <c r="A168" s="4"/>
      <c r="B168" s="30"/>
      <c r="D168" s="62"/>
      <c r="E168" s="63"/>
      <c r="F168" s="54">
        <f t="shared" si="3"/>
        <v>0</v>
      </c>
      <c r="G168" s="177">
        <v>0.01</v>
      </c>
      <c r="H168" s="178">
        <f t="shared" si="2"/>
        <v>0</v>
      </c>
      <c r="I168" s="179"/>
    </row>
    <row r="169" ht="15.75" customHeight="1">
      <c r="A169" s="4"/>
      <c r="B169" s="30"/>
      <c r="D169" s="62"/>
      <c r="E169" s="63"/>
      <c r="F169" s="54">
        <f t="shared" si="3"/>
        <v>0</v>
      </c>
      <c r="G169" s="177">
        <v>0.01</v>
      </c>
      <c r="H169" s="178">
        <f t="shared" si="2"/>
        <v>0</v>
      </c>
      <c r="I169" s="179"/>
    </row>
    <row r="170" ht="15.75" customHeight="1">
      <c r="A170" s="4"/>
      <c r="B170" s="30"/>
      <c r="D170" s="62"/>
      <c r="E170" s="63"/>
      <c r="F170" s="54">
        <f t="shared" si="3"/>
        <v>0</v>
      </c>
      <c r="G170" s="177">
        <v>0.01</v>
      </c>
      <c r="H170" s="178">
        <f t="shared" si="2"/>
        <v>0</v>
      </c>
      <c r="I170" s="179"/>
    </row>
    <row r="171" ht="15.75" customHeight="1">
      <c r="A171" s="4"/>
      <c r="B171" s="30"/>
      <c r="D171" s="62"/>
      <c r="E171" s="63"/>
      <c r="F171" s="54">
        <f t="shared" si="3"/>
        <v>0</v>
      </c>
      <c r="G171" s="177">
        <v>0.01</v>
      </c>
      <c r="H171" s="178">
        <f t="shared" si="2"/>
        <v>0</v>
      </c>
      <c r="I171" s="179"/>
    </row>
    <row r="172" ht="15.75" customHeight="1">
      <c r="A172" s="4"/>
      <c r="B172" s="30"/>
      <c r="D172" s="62"/>
      <c r="E172" s="63"/>
      <c r="F172" s="54">
        <f t="shared" si="3"/>
        <v>0</v>
      </c>
      <c r="G172" s="177">
        <v>0.01</v>
      </c>
      <c r="H172" s="178">
        <f t="shared" si="2"/>
        <v>0</v>
      </c>
      <c r="I172" s="179"/>
    </row>
    <row r="173" ht="15.75" customHeight="1">
      <c r="A173" s="4"/>
      <c r="B173" s="30"/>
      <c r="D173" s="62"/>
      <c r="E173" s="63"/>
      <c r="F173" s="54">
        <f t="shared" si="3"/>
        <v>0</v>
      </c>
      <c r="G173" s="177">
        <v>0.01</v>
      </c>
      <c r="H173" s="178">
        <f t="shared" si="2"/>
        <v>0</v>
      </c>
      <c r="I173" s="179"/>
    </row>
    <row r="174" ht="15.75" customHeight="1">
      <c r="A174" s="4"/>
      <c r="B174" s="30"/>
      <c r="D174" s="62"/>
      <c r="E174" s="63"/>
      <c r="F174" s="54">
        <f t="shared" si="3"/>
        <v>0</v>
      </c>
      <c r="G174" s="177">
        <v>0.01</v>
      </c>
      <c r="H174" s="178">
        <f t="shared" si="2"/>
        <v>0</v>
      </c>
      <c r="I174" s="179"/>
    </row>
    <row r="175" ht="15.75" customHeight="1">
      <c r="A175" s="4"/>
      <c r="B175" s="30"/>
      <c r="D175" s="62"/>
      <c r="E175" s="63"/>
      <c r="F175" s="54">
        <f t="shared" si="3"/>
        <v>0</v>
      </c>
      <c r="G175" s="177">
        <v>0.01</v>
      </c>
      <c r="H175" s="178">
        <f t="shared" si="2"/>
        <v>0</v>
      </c>
      <c r="I175" s="179"/>
    </row>
    <row r="176" ht="15.75" customHeight="1">
      <c r="A176" s="4"/>
      <c r="B176" s="30"/>
      <c r="D176" s="62"/>
      <c r="E176" s="63"/>
      <c r="F176" s="54">
        <f t="shared" si="3"/>
        <v>0</v>
      </c>
      <c r="G176" s="177">
        <v>0.01</v>
      </c>
      <c r="H176" s="178">
        <f t="shared" si="2"/>
        <v>0</v>
      </c>
      <c r="I176" s="179"/>
    </row>
    <row r="177" ht="15.75" customHeight="1">
      <c r="A177" s="4"/>
      <c r="B177" s="30"/>
      <c r="D177" s="62"/>
      <c r="E177" s="63"/>
      <c r="F177" s="54">
        <f t="shared" si="3"/>
        <v>0</v>
      </c>
      <c r="G177" s="177">
        <v>0.01</v>
      </c>
      <c r="H177" s="178">
        <f t="shared" si="2"/>
        <v>0</v>
      </c>
      <c r="I177" s="179"/>
    </row>
    <row r="178" ht="15.75" customHeight="1">
      <c r="A178" s="4"/>
      <c r="B178" s="30"/>
      <c r="D178" s="62"/>
      <c r="E178" s="63"/>
      <c r="F178" s="54">
        <f t="shared" si="3"/>
        <v>0</v>
      </c>
      <c r="G178" s="177">
        <v>0.01</v>
      </c>
      <c r="H178" s="178">
        <f t="shared" si="2"/>
        <v>0</v>
      </c>
      <c r="I178" s="179"/>
    </row>
    <row r="179" ht="15.75" customHeight="1">
      <c r="A179" s="4"/>
      <c r="B179" s="30"/>
      <c r="D179" s="62"/>
      <c r="E179" s="63"/>
      <c r="F179" s="54">
        <f t="shared" si="3"/>
        <v>0</v>
      </c>
      <c r="G179" s="177">
        <v>0.01</v>
      </c>
      <c r="H179" s="178">
        <f t="shared" si="2"/>
        <v>0</v>
      </c>
      <c r="I179" s="179"/>
    </row>
    <row r="180" ht="15.75" customHeight="1">
      <c r="A180" s="4"/>
      <c r="B180" s="30"/>
      <c r="D180" s="62"/>
      <c r="E180" s="63"/>
      <c r="F180" s="54">
        <f t="shared" si="3"/>
        <v>0</v>
      </c>
      <c r="G180" s="177">
        <v>0.01</v>
      </c>
      <c r="H180" s="178">
        <f t="shared" si="2"/>
        <v>0</v>
      </c>
      <c r="I180" s="179"/>
    </row>
    <row r="181" ht="15.75" customHeight="1">
      <c r="A181" s="4"/>
      <c r="B181" s="30"/>
      <c r="D181" s="62"/>
      <c r="E181" s="63"/>
      <c r="F181" s="54">
        <f t="shared" si="3"/>
        <v>0</v>
      </c>
      <c r="G181" s="177">
        <v>0.01</v>
      </c>
      <c r="H181" s="178">
        <f t="shared" si="2"/>
        <v>0</v>
      </c>
      <c r="I181" s="179"/>
    </row>
    <row r="182" ht="15.75" customHeight="1">
      <c r="A182" s="4"/>
      <c r="B182" s="30"/>
      <c r="D182" s="62"/>
      <c r="E182" s="63"/>
      <c r="F182" s="54">
        <f t="shared" si="3"/>
        <v>0</v>
      </c>
      <c r="G182" s="177">
        <v>0.01</v>
      </c>
      <c r="H182" s="178">
        <f t="shared" si="2"/>
        <v>0</v>
      </c>
      <c r="I182" s="179"/>
    </row>
    <row r="183" ht="15.75" customHeight="1">
      <c r="A183" s="4"/>
      <c r="B183" s="30"/>
      <c r="D183" s="62"/>
      <c r="E183" s="63"/>
      <c r="F183" s="54">
        <f t="shared" si="3"/>
        <v>0</v>
      </c>
      <c r="G183" s="177">
        <v>0.01</v>
      </c>
      <c r="H183" s="178">
        <f t="shared" si="2"/>
        <v>0</v>
      </c>
      <c r="I183" s="179"/>
    </row>
    <row r="184" ht="15.75" customHeight="1">
      <c r="A184" s="4"/>
      <c r="B184" s="30"/>
      <c r="D184" s="62"/>
      <c r="E184" s="63"/>
      <c r="F184" s="54">
        <f t="shared" si="3"/>
        <v>0</v>
      </c>
      <c r="G184" s="177">
        <v>0.01</v>
      </c>
      <c r="H184" s="178">
        <f t="shared" si="2"/>
        <v>0</v>
      </c>
      <c r="I184" s="179"/>
    </row>
    <row r="185" ht="15.75" customHeight="1">
      <c r="A185" s="4"/>
      <c r="B185" s="30"/>
      <c r="D185" s="62"/>
      <c r="E185" s="63"/>
      <c r="F185" s="54">
        <f t="shared" si="3"/>
        <v>0</v>
      </c>
      <c r="G185" s="177">
        <v>0.01</v>
      </c>
      <c r="H185" s="178">
        <f t="shared" si="2"/>
        <v>0</v>
      </c>
      <c r="I185" s="179"/>
    </row>
    <row r="186" ht="15.75" customHeight="1">
      <c r="A186" s="4"/>
      <c r="B186" s="30"/>
      <c r="D186" s="62"/>
      <c r="E186" s="63"/>
      <c r="F186" s="54">
        <f t="shared" si="3"/>
        <v>0</v>
      </c>
      <c r="G186" s="177">
        <v>0.01</v>
      </c>
      <c r="H186" s="178">
        <f t="shared" si="2"/>
        <v>0</v>
      </c>
      <c r="I186" s="179"/>
    </row>
    <row r="187" ht="15.75" customHeight="1">
      <c r="A187" s="4"/>
      <c r="B187" s="30"/>
      <c r="D187" s="62"/>
      <c r="E187" s="63"/>
      <c r="F187" s="54">
        <f t="shared" si="3"/>
        <v>0</v>
      </c>
      <c r="G187" s="177">
        <v>0.01</v>
      </c>
      <c r="H187" s="178">
        <f t="shared" si="2"/>
        <v>0</v>
      </c>
      <c r="I187" s="179"/>
    </row>
    <row r="188" ht="15.75" customHeight="1">
      <c r="A188" s="4"/>
      <c r="B188" s="30"/>
      <c r="D188" s="62"/>
      <c r="E188" s="63"/>
      <c r="F188" s="54">
        <f t="shared" si="3"/>
        <v>0</v>
      </c>
      <c r="G188" s="177">
        <v>0.01</v>
      </c>
      <c r="H188" s="178">
        <f t="shared" si="2"/>
        <v>0</v>
      </c>
      <c r="I188" s="179"/>
    </row>
    <row r="189" ht="15.75" customHeight="1">
      <c r="A189" s="7"/>
      <c r="D189" s="62"/>
      <c r="E189" s="30"/>
      <c r="F189" s="54">
        <f t="shared" si="3"/>
        <v>0</v>
      </c>
      <c r="G189" s="177">
        <v>0.01</v>
      </c>
      <c r="H189" s="178">
        <f t="shared" si="2"/>
        <v>0</v>
      </c>
      <c r="I189" s="179"/>
    </row>
    <row r="190" ht="15.75" customHeight="1">
      <c r="A190" s="7"/>
      <c r="D190" s="62"/>
      <c r="E190" s="30"/>
      <c r="F190" s="54">
        <f t="shared" si="3"/>
        <v>0</v>
      </c>
      <c r="G190" s="177">
        <v>0.01</v>
      </c>
      <c r="H190" s="178">
        <f t="shared" si="2"/>
        <v>0</v>
      </c>
      <c r="I190" s="179"/>
    </row>
    <row r="191" ht="15.75" customHeight="1">
      <c r="A191" s="7"/>
      <c r="D191" s="62"/>
      <c r="E191" s="30"/>
      <c r="F191" s="54">
        <f t="shared" si="3"/>
        <v>0</v>
      </c>
      <c r="G191" s="177">
        <v>0.01</v>
      </c>
      <c r="H191" s="178">
        <f t="shared" si="2"/>
        <v>0</v>
      </c>
      <c r="I191" s="179"/>
    </row>
    <row r="192" ht="15.75" customHeight="1">
      <c r="A192" s="7"/>
      <c r="D192" s="62"/>
      <c r="E192" s="30"/>
      <c r="F192" s="54">
        <f t="shared" si="3"/>
        <v>0</v>
      </c>
      <c r="G192" s="177">
        <v>0.01</v>
      </c>
      <c r="H192" s="178">
        <f t="shared" si="2"/>
        <v>0</v>
      </c>
      <c r="I192" s="179"/>
    </row>
    <row r="193" ht="15.75" customHeight="1">
      <c r="A193" s="7"/>
      <c r="D193" s="62"/>
      <c r="E193" s="30"/>
      <c r="F193" s="54">
        <f t="shared" si="3"/>
        <v>0</v>
      </c>
      <c r="G193" s="177">
        <v>0.01</v>
      </c>
      <c r="H193" s="178">
        <f t="shared" si="2"/>
        <v>0</v>
      </c>
      <c r="I193" s="179"/>
    </row>
    <row r="194" ht="15.75" customHeight="1">
      <c r="A194" s="7"/>
      <c r="D194" s="62"/>
      <c r="E194" s="30"/>
      <c r="F194" s="54">
        <f t="shared" si="3"/>
        <v>0</v>
      </c>
      <c r="G194" s="177">
        <v>0.01</v>
      </c>
      <c r="H194" s="178">
        <f t="shared" si="2"/>
        <v>0</v>
      </c>
      <c r="I194" s="179"/>
    </row>
    <row r="195" ht="15.75" customHeight="1">
      <c r="A195" s="7"/>
      <c r="D195" s="62"/>
      <c r="E195" s="30"/>
      <c r="F195" s="54">
        <f t="shared" si="3"/>
        <v>0</v>
      </c>
      <c r="G195" s="177">
        <v>0.01</v>
      </c>
      <c r="H195" s="178">
        <f t="shared" si="2"/>
        <v>0</v>
      </c>
      <c r="I195" s="179"/>
    </row>
    <row r="196" ht="15.75" customHeight="1">
      <c r="A196" s="7"/>
      <c r="D196" s="62"/>
      <c r="E196" s="30"/>
      <c r="F196" s="54">
        <f t="shared" si="3"/>
        <v>0</v>
      </c>
      <c r="G196" s="177">
        <v>0.01</v>
      </c>
      <c r="H196" s="178">
        <f t="shared" si="2"/>
        <v>0</v>
      </c>
      <c r="I196" s="179"/>
    </row>
    <row r="197" ht="15.75" customHeight="1">
      <c r="A197" s="7"/>
      <c r="D197" s="62"/>
      <c r="E197" s="30"/>
      <c r="F197" s="54">
        <f t="shared" si="3"/>
        <v>0</v>
      </c>
      <c r="G197" s="177">
        <v>0.01</v>
      </c>
      <c r="H197" s="178">
        <f t="shared" si="2"/>
        <v>0</v>
      </c>
      <c r="I197" s="179"/>
    </row>
    <row r="198" ht="15.75" customHeight="1">
      <c r="A198" s="7"/>
      <c r="D198" s="62"/>
      <c r="E198" s="30"/>
      <c r="F198" s="54">
        <f t="shared" si="3"/>
        <v>0</v>
      </c>
      <c r="G198" s="177">
        <v>0.01</v>
      </c>
      <c r="H198" s="178">
        <f t="shared" si="2"/>
        <v>0</v>
      </c>
      <c r="I198" s="179"/>
    </row>
    <row r="199" ht="15.75" customHeight="1">
      <c r="A199" s="7"/>
      <c r="D199" s="62"/>
      <c r="E199" s="30"/>
      <c r="F199" s="54">
        <f t="shared" si="3"/>
        <v>0</v>
      </c>
      <c r="G199" s="177">
        <v>0.01</v>
      </c>
      <c r="H199" s="178">
        <f t="shared" si="2"/>
        <v>0</v>
      </c>
      <c r="I199" s="179"/>
    </row>
    <row r="200" ht="15.75" customHeight="1">
      <c r="A200" s="7"/>
      <c r="D200" s="62"/>
      <c r="E200" s="30"/>
      <c r="F200" s="54">
        <f t="shared" si="3"/>
        <v>0</v>
      </c>
      <c r="G200" s="177">
        <v>0.01</v>
      </c>
      <c r="H200" s="178">
        <f t="shared" si="2"/>
        <v>0</v>
      </c>
      <c r="I200" s="179"/>
    </row>
    <row r="201" ht="15.75" customHeight="1">
      <c r="A201" s="7"/>
      <c r="D201" s="62"/>
      <c r="E201" s="30"/>
      <c r="F201" s="54">
        <f t="shared" si="3"/>
        <v>0</v>
      </c>
      <c r="G201" s="177">
        <v>0.01</v>
      </c>
      <c r="H201" s="178">
        <f t="shared" si="2"/>
        <v>0</v>
      </c>
      <c r="I201" s="179"/>
    </row>
    <row r="202" ht="15.75" customHeight="1">
      <c r="A202" s="7"/>
      <c r="D202" s="62"/>
      <c r="E202" s="30"/>
      <c r="F202" s="54">
        <f t="shared" si="3"/>
        <v>0</v>
      </c>
      <c r="G202" s="177">
        <v>0.01</v>
      </c>
      <c r="H202" s="178">
        <f t="shared" si="2"/>
        <v>0</v>
      </c>
      <c r="I202" s="179"/>
    </row>
    <row r="203" ht="15.75" customHeight="1">
      <c r="A203" s="7"/>
      <c r="D203" s="62"/>
      <c r="E203" s="30"/>
      <c r="F203" s="54">
        <f t="shared" si="3"/>
        <v>0</v>
      </c>
      <c r="G203" s="177">
        <v>0.01</v>
      </c>
      <c r="H203" s="178">
        <f t="shared" si="2"/>
        <v>0</v>
      </c>
      <c r="I203" s="179"/>
    </row>
    <row r="204" ht="15.75" customHeight="1">
      <c r="A204" s="7"/>
      <c r="D204" s="62"/>
      <c r="E204" s="30"/>
      <c r="F204" s="54">
        <f t="shared" si="3"/>
        <v>0</v>
      </c>
      <c r="G204" s="177">
        <v>0.01</v>
      </c>
      <c r="H204" s="178">
        <f t="shared" si="2"/>
        <v>0</v>
      </c>
      <c r="I204" s="179"/>
    </row>
    <row r="205" ht="15.75" customHeight="1">
      <c r="A205" s="7"/>
      <c r="D205" s="62"/>
      <c r="E205" s="30"/>
      <c r="F205" s="54">
        <f t="shared" si="3"/>
        <v>0</v>
      </c>
      <c r="G205" s="177">
        <v>0.01</v>
      </c>
      <c r="H205" s="178">
        <f t="shared" si="2"/>
        <v>0</v>
      </c>
      <c r="I205" s="179"/>
    </row>
    <row r="206" ht="15.75" customHeight="1">
      <c r="A206" s="7"/>
      <c r="D206" s="62"/>
      <c r="E206" s="30"/>
      <c r="F206" s="54">
        <f t="shared" si="3"/>
        <v>0</v>
      </c>
      <c r="G206" s="177">
        <v>0.01</v>
      </c>
      <c r="H206" s="178">
        <f t="shared" si="2"/>
        <v>0</v>
      </c>
      <c r="I206" s="179"/>
    </row>
    <row r="207" ht="15.75" customHeight="1">
      <c r="A207" s="7"/>
      <c r="D207" s="62"/>
      <c r="E207" s="30"/>
      <c r="F207" s="54">
        <f t="shared" si="3"/>
        <v>0</v>
      </c>
      <c r="G207" s="177">
        <v>0.01</v>
      </c>
      <c r="H207" s="178">
        <f t="shared" si="2"/>
        <v>0</v>
      </c>
      <c r="I207" s="179"/>
    </row>
    <row r="208" ht="15.75" customHeight="1">
      <c r="A208" s="7"/>
      <c r="D208" s="62"/>
      <c r="E208" s="30"/>
      <c r="F208" s="54">
        <f t="shared" si="3"/>
        <v>0</v>
      </c>
      <c r="G208" s="177">
        <v>0.01</v>
      </c>
      <c r="H208" s="178">
        <f t="shared" si="2"/>
        <v>0</v>
      </c>
      <c r="I208" s="179"/>
    </row>
    <row r="209" ht="15.75" customHeight="1">
      <c r="A209" s="7"/>
      <c r="D209" s="62"/>
      <c r="E209" s="30"/>
      <c r="F209" s="54">
        <f t="shared" si="3"/>
        <v>0</v>
      </c>
      <c r="G209" s="177">
        <v>0.01</v>
      </c>
      <c r="H209" s="178">
        <f t="shared" si="2"/>
        <v>0</v>
      </c>
      <c r="I209" s="179"/>
    </row>
    <row r="210" ht="15.75" customHeight="1">
      <c r="A210" s="7"/>
      <c r="D210" s="62"/>
      <c r="E210" s="30"/>
      <c r="F210" s="54">
        <f t="shared" si="3"/>
        <v>0</v>
      </c>
      <c r="G210" s="177">
        <v>0.01</v>
      </c>
      <c r="H210" s="178">
        <f t="shared" si="2"/>
        <v>0</v>
      </c>
      <c r="I210" s="179"/>
    </row>
    <row r="211" ht="15.75" customHeight="1">
      <c r="A211" s="7"/>
      <c r="D211" s="62"/>
      <c r="E211" s="30"/>
      <c r="F211" s="54">
        <f t="shared" si="3"/>
        <v>0</v>
      </c>
      <c r="G211" s="177">
        <v>0.01</v>
      </c>
      <c r="H211" s="178">
        <f t="shared" si="2"/>
        <v>0</v>
      </c>
      <c r="I211" s="179"/>
    </row>
    <row r="212" ht="15.75" customHeight="1">
      <c r="A212" s="7"/>
      <c r="D212" s="62"/>
      <c r="E212" s="30"/>
      <c r="F212" s="54">
        <f t="shared" si="3"/>
        <v>0</v>
      </c>
      <c r="G212" s="177">
        <v>0.01</v>
      </c>
      <c r="H212" s="178">
        <f t="shared" si="2"/>
        <v>0</v>
      </c>
      <c r="I212" s="179"/>
    </row>
    <row r="213" ht="15.75" customHeight="1">
      <c r="A213" s="7"/>
      <c r="D213" s="62"/>
      <c r="E213" s="30"/>
      <c r="F213" s="54">
        <f t="shared" si="3"/>
        <v>0</v>
      </c>
      <c r="G213" s="177">
        <v>0.01</v>
      </c>
      <c r="H213" s="178">
        <f t="shared" si="2"/>
        <v>0</v>
      </c>
      <c r="I213" s="179"/>
    </row>
    <row r="214" ht="15.75" customHeight="1">
      <c r="A214" s="7"/>
      <c r="D214" s="62"/>
      <c r="E214" s="30"/>
      <c r="F214" s="54">
        <f t="shared" si="3"/>
        <v>0</v>
      </c>
      <c r="G214" s="177">
        <v>0.01</v>
      </c>
      <c r="H214" s="178">
        <f t="shared" si="2"/>
        <v>0</v>
      </c>
      <c r="I214" s="179"/>
    </row>
    <row r="215" ht="15.75" customHeight="1">
      <c r="A215" s="7"/>
      <c r="D215" s="62"/>
      <c r="E215" s="30"/>
      <c r="F215" s="54">
        <f t="shared" si="3"/>
        <v>0</v>
      </c>
      <c r="G215" s="177">
        <v>0.01</v>
      </c>
      <c r="H215" s="178">
        <f t="shared" si="2"/>
        <v>0</v>
      </c>
      <c r="I215" s="179"/>
    </row>
    <row r="216" ht="15.75" customHeight="1">
      <c r="A216" s="7"/>
      <c r="D216" s="62"/>
      <c r="E216" s="30"/>
      <c r="F216" s="54">
        <f t="shared" si="3"/>
        <v>0</v>
      </c>
      <c r="G216" s="177">
        <v>0.01</v>
      </c>
      <c r="H216" s="178">
        <f t="shared" si="2"/>
        <v>0</v>
      </c>
      <c r="I216" s="179"/>
    </row>
    <row r="217" ht="15.75" customHeight="1">
      <c r="A217" s="7"/>
      <c r="D217" s="62"/>
      <c r="E217" s="30"/>
      <c r="F217" s="54">
        <f t="shared" si="3"/>
        <v>0</v>
      </c>
      <c r="G217" s="177">
        <v>0.01</v>
      </c>
      <c r="H217" s="178">
        <f t="shared" si="2"/>
        <v>0</v>
      </c>
      <c r="I217" s="179"/>
    </row>
    <row r="218" ht="15.75" customHeight="1">
      <c r="A218" s="7"/>
      <c r="D218" s="62"/>
      <c r="E218" s="30"/>
      <c r="F218" s="54">
        <f t="shared" si="3"/>
        <v>0</v>
      </c>
      <c r="G218" s="177">
        <v>0.01</v>
      </c>
      <c r="H218" s="178">
        <f t="shared" si="2"/>
        <v>0</v>
      </c>
      <c r="I218" s="179"/>
    </row>
    <row r="219" ht="15.75" customHeight="1">
      <c r="A219" s="7"/>
      <c r="D219" s="62"/>
      <c r="E219" s="30"/>
      <c r="F219" s="54">
        <f t="shared" si="3"/>
        <v>0</v>
      </c>
      <c r="G219" s="177">
        <v>0.01</v>
      </c>
      <c r="H219" s="178">
        <f t="shared" si="2"/>
        <v>0</v>
      </c>
      <c r="I219" s="179"/>
    </row>
    <row r="220" ht="15.75" customHeight="1">
      <c r="A220" s="7"/>
      <c r="D220" s="62"/>
      <c r="E220" s="30"/>
      <c r="F220" s="54">
        <f t="shared" si="3"/>
        <v>0</v>
      </c>
      <c r="G220" s="177">
        <v>0.01</v>
      </c>
      <c r="H220" s="178">
        <f t="shared" si="2"/>
        <v>0</v>
      </c>
      <c r="I220" s="179"/>
    </row>
    <row r="221" ht="15.75" customHeight="1">
      <c r="A221" s="7"/>
      <c r="D221" s="62"/>
      <c r="E221" s="30"/>
      <c r="F221" s="54">
        <f t="shared" si="3"/>
        <v>0</v>
      </c>
      <c r="G221" s="177">
        <v>0.01</v>
      </c>
      <c r="H221" s="178">
        <f t="shared" si="2"/>
        <v>0</v>
      </c>
      <c r="I221" s="179"/>
    </row>
    <row r="222" ht="15.75" customHeight="1">
      <c r="A222" s="7"/>
      <c r="D222" s="62"/>
      <c r="E222" s="30"/>
      <c r="F222" s="54">
        <f t="shared" si="3"/>
        <v>0</v>
      </c>
      <c r="G222" s="177">
        <v>0.01</v>
      </c>
      <c r="H222" s="178">
        <f t="shared" si="2"/>
        <v>0</v>
      </c>
      <c r="I222" s="179"/>
    </row>
    <row r="223" ht="15.75" customHeight="1">
      <c r="A223" s="7"/>
      <c r="D223" s="62"/>
      <c r="E223" s="30"/>
      <c r="F223" s="54">
        <f t="shared" si="3"/>
        <v>0</v>
      </c>
      <c r="G223" s="177">
        <v>0.01</v>
      </c>
      <c r="H223" s="178">
        <f t="shared" si="2"/>
        <v>0</v>
      </c>
      <c r="I223" s="179"/>
    </row>
    <row r="224" ht="15.75" customHeight="1">
      <c r="A224" s="7"/>
      <c r="D224" s="62"/>
      <c r="E224" s="30"/>
      <c r="F224" s="54">
        <f t="shared" si="3"/>
        <v>0</v>
      </c>
      <c r="G224" s="177">
        <v>0.01</v>
      </c>
      <c r="H224" s="178">
        <f t="shared" si="2"/>
        <v>0</v>
      </c>
      <c r="I224" s="179"/>
    </row>
    <row r="225" ht="15.75" customHeight="1">
      <c r="A225" s="7"/>
      <c r="D225" s="62"/>
      <c r="E225" s="30"/>
      <c r="F225" s="54">
        <f t="shared" si="3"/>
        <v>0</v>
      </c>
      <c r="G225" s="177">
        <v>0.01</v>
      </c>
      <c r="H225" s="178">
        <f t="shared" si="2"/>
        <v>0</v>
      </c>
      <c r="I225" s="179"/>
    </row>
    <row r="226" ht="15.75" customHeight="1">
      <c r="A226" s="7"/>
      <c r="D226" s="62"/>
      <c r="E226" s="30"/>
      <c r="F226" s="54">
        <f t="shared" si="3"/>
        <v>0</v>
      </c>
      <c r="G226" s="177">
        <v>0.01</v>
      </c>
      <c r="H226" s="178">
        <f t="shared" si="2"/>
        <v>0</v>
      </c>
      <c r="I226" s="179"/>
    </row>
    <row r="227" ht="15.75" customHeight="1">
      <c r="A227" s="7"/>
      <c r="D227" s="62"/>
      <c r="E227" s="30"/>
      <c r="F227" s="54">
        <f t="shared" si="3"/>
        <v>0</v>
      </c>
      <c r="G227" s="177">
        <v>0.01</v>
      </c>
      <c r="H227" s="178">
        <f t="shared" si="2"/>
        <v>0</v>
      </c>
      <c r="I227" s="179"/>
    </row>
    <row r="228" ht="15.75" customHeight="1">
      <c r="A228" s="7"/>
      <c r="D228" s="62"/>
      <c r="E228" s="30"/>
      <c r="F228" s="54">
        <f t="shared" si="3"/>
        <v>0</v>
      </c>
      <c r="G228" s="177">
        <v>0.01</v>
      </c>
      <c r="H228" s="178">
        <f t="shared" si="2"/>
        <v>0</v>
      </c>
      <c r="I228" s="179"/>
    </row>
    <row r="229" ht="15.75" customHeight="1">
      <c r="A229" s="7"/>
      <c r="D229" s="62"/>
      <c r="E229" s="30"/>
      <c r="F229" s="54">
        <f t="shared" si="3"/>
        <v>0</v>
      </c>
      <c r="G229" s="177">
        <v>0.01</v>
      </c>
      <c r="H229" s="178">
        <f t="shared" si="2"/>
        <v>0</v>
      </c>
      <c r="I229" s="179"/>
    </row>
    <row r="230" ht="15.75" customHeight="1">
      <c r="A230" s="7"/>
      <c r="D230" s="62"/>
      <c r="E230" s="30"/>
      <c r="F230" s="54">
        <f t="shared" si="3"/>
        <v>0</v>
      </c>
      <c r="G230" s="177">
        <v>0.01</v>
      </c>
      <c r="H230" s="178">
        <f t="shared" si="2"/>
        <v>0</v>
      </c>
      <c r="I230" s="179"/>
    </row>
    <row r="231" ht="15.75" customHeight="1">
      <c r="A231" s="7"/>
      <c r="D231" s="62"/>
      <c r="E231" s="30"/>
      <c r="F231" s="54">
        <f t="shared" si="3"/>
        <v>0</v>
      </c>
      <c r="G231" s="177">
        <v>0.01</v>
      </c>
      <c r="H231" s="178">
        <f t="shared" si="2"/>
        <v>0</v>
      </c>
      <c r="I231" s="179"/>
    </row>
    <row r="232" ht="15.75" customHeight="1">
      <c r="A232" s="7"/>
      <c r="D232" s="62"/>
      <c r="E232" s="30"/>
      <c r="F232" s="54">
        <f t="shared" si="3"/>
        <v>0</v>
      </c>
      <c r="G232" s="177">
        <v>0.01</v>
      </c>
      <c r="H232" s="178">
        <f t="shared" si="2"/>
        <v>0</v>
      </c>
      <c r="I232" s="179"/>
    </row>
    <row r="233" ht="15.75" customHeight="1">
      <c r="A233" s="7"/>
      <c r="D233" s="62"/>
      <c r="E233" s="30"/>
      <c r="F233" s="54">
        <f t="shared" si="3"/>
        <v>0</v>
      </c>
      <c r="G233" s="177">
        <v>0.01</v>
      </c>
      <c r="H233" s="178">
        <f t="shared" si="2"/>
        <v>0</v>
      </c>
      <c r="I233" s="179"/>
    </row>
    <row r="234" ht="15.75" customHeight="1">
      <c r="A234" s="7"/>
      <c r="D234" s="62"/>
      <c r="E234" s="30"/>
      <c r="F234" s="54">
        <f t="shared" si="3"/>
        <v>0</v>
      </c>
      <c r="G234" s="177">
        <v>0.01</v>
      </c>
      <c r="H234" s="178">
        <f t="shared" si="2"/>
        <v>0</v>
      </c>
      <c r="I234" s="179"/>
    </row>
    <row r="235" ht="15.75" customHeight="1">
      <c r="A235" s="7"/>
      <c r="D235" s="62"/>
      <c r="E235" s="30"/>
      <c r="F235" s="54">
        <f t="shared" si="3"/>
        <v>0</v>
      </c>
      <c r="G235" s="177">
        <v>0.01</v>
      </c>
      <c r="H235" s="178">
        <f t="shared" si="2"/>
        <v>0</v>
      </c>
      <c r="I235" s="179"/>
    </row>
    <row r="236" ht="15.75" customHeight="1">
      <c r="A236" s="7"/>
      <c r="D236" s="62"/>
      <c r="E236" s="30"/>
      <c r="F236" s="54">
        <f t="shared" si="3"/>
        <v>0</v>
      </c>
      <c r="G236" s="177">
        <v>0.01</v>
      </c>
      <c r="H236" s="178">
        <f t="shared" si="2"/>
        <v>0</v>
      </c>
      <c r="I236" s="179"/>
    </row>
    <row r="237" ht="15.75" customHeight="1">
      <c r="A237" s="7"/>
      <c r="D237" s="62"/>
      <c r="E237" s="30"/>
      <c r="F237" s="54">
        <f t="shared" si="3"/>
        <v>0</v>
      </c>
      <c r="G237" s="177">
        <v>0.01</v>
      </c>
      <c r="H237" s="178">
        <f t="shared" si="2"/>
        <v>0</v>
      </c>
      <c r="I237" s="179"/>
    </row>
    <row r="238" ht="15.75" customHeight="1">
      <c r="A238" s="7"/>
      <c r="D238" s="62"/>
      <c r="E238" s="30"/>
      <c r="F238" s="54">
        <f t="shared" si="3"/>
        <v>0</v>
      </c>
      <c r="G238" s="177">
        <v>0.01</v>
      </c>
      <c r="H238" s="178">
        <f t="shared" si="2"/>
        <v>0</v>
      </c>
      <c r="I238" s="179"/>
    </row>
    <row r="239" ht="15.75" customHeight="1">
      <c r="A239" s="7"/>
      <c r="D239" s="62"/>
      <c r="E239" s="30"/>
      <c r="F239" s="54">
        <f t="shared" si="3"/>
        <v>0</v>
      </c>
      <c r="G239" s="177">
        <v>0.01</v>
      </c>
      <c r="H239" s="178">
        <f t="shared" si="2"/>
        <v>0</v>
      </c>
      <c r="I239" s="179"/>
    </row>
    <row r="240" ht="15.75" customHeight="1">
      <c r="A240" s="7"/>
      <c r="D240" s="62"/>
      <c r="E240" s="30"/>
      <c r="F240" s="54">
        <f t="shared" si="3"/>
        <v>0</v>
      </c>
      <c r="G240" s="177">
        <v>0.01</v>
      </c>
      <c r="H240" s="178">
        <f t="shared" si="2"/>
        <v>0</v>
      </c>
      <c r="I240" s="179"/>
    </row>
    <row r="241" ht="15.75" customHeight="1">
      <c r="A241" s="7"/>
      <c r="D241" s="62"/>
      <c r="E241" s="30"/>
      <c r="F241" s="54">
        <f t="shared" si="3"/>
        <v>0</v>
      </c>
      <c r="G241" s="177">
        <v>0.01</v>
      </c>
      <c r="H241" s="178">
        <f t="shared" si="2"/>
        <v>0</v>
      </c>
      <c r="I241" s="179"/>
    </row>
    <row r="242" ht="15.75" customHeight="1">
      <c r="A242" s="7"/>
      <c r="D242" s="62"/>
      <c r="E242" s="30"/>
      <c r="F242" s="54">
        <f t="shared" si="3"/>
        <v>0</v>
      </c>
      <c r="G242" s="177">
        <v>0.01</v>
      </c>
      <c r="H242" s="178">
        <f t="shared" si="2"/>
        <v>0</v>
      </c>
      <c r="I242" s="179"/>
    </row>
    <row r="243" ht="15.75" customHeight="1">
      <c r="A243" s="7"/>
      <c r="D243" s="62"/>
      <c r="E243" s="30"/>
      <c r="F243" s="54">
        <f t="shared" si="3"/>
        <v>0</v>
      </c>
      <c r="G243" s="177">
        <v>0.01</v>
      </c>
      <c r="H243" s="178">
        <f t="shared" si="2"/>
        <v>0</v>
      </c>
      <c r="I243" s="179"/>
    </row>
    <row r="244" ht="15.75" customHeight="1">
      <c r="A244" s="7"/>
      <c r="D244" s="62"/>
      <c r="E244" s="30"/>
      <c r="F244" s="54">
        <f t="shared" si="3"/>
        <v>0</v>
      </c>
      <c r="G244" s="177">
        <v>0.01</v>
      </c>
      <c r="H244" s="178">
        <f t="shared" si="2"/>
        <v>0</v>
      </c>
      <c r="I244" s="179"/>
    </row>
    <row r="245" ht="15.75" customHeight="1">
      <c r="A245" s="7"/>
      <c r="D245" s="62"/>
      <c r="E245" s="30"/>
      <c r="F245" s="54">
        <f t="shared" si="3"/>
        <v>0</v>
      </c>
      <c r="G245" s="177">
        <v>0.01</v>
      </c>
      <c r="H245" s="178">
        <f t="shared" si="2"/>
        <v>0</v>
      </c>
      <c r="I245" s="179"/>
    </row>
    <row r="246" ht="15.75" customHeight="1">
      <c r="A246" s="7"/>
      <c r="D246" s="62"/>
      <c r="E246" s="30"/>
      <c r="F246" s="54">
        <f t="shared" si="3"/>
        <v>0</v>
      </c>
      <c r="G246" s="177">
        <v>0.01</v>
      </c>
      <c r="H246" s="178">
        <f t="shared" si="2"/>
        <v>0</v>
      </c>
      <c r="I246" s="179"/>
    </row>
    <row r="247" ht="15.75" customHeight="1">
      <c r="A247" s="7"/>
      <c r="D247" s="62"/>
      <c r="E247" s="30"/>
      <c r="F247" s="54">
        <f t="shared" si="3"/>
        <v>0</v>
      </c>
      <c r="G247" s="177">
        <v>0.01</v>
      </c>
      <c r="H247" s="178">
        <f t="shared" si="2"/>
        <v>0</v>
      </c>
      <c r="I247" s="179"/>
    </row>
    <row r="248" ht="15.75" customHeight="1">
      <c r="A248" s="7"/>
      <c r="D248" s="62"/>
      <c r="E248" s="30"/>
      <c r="F248" s="54">
        <f t="shared" si="3"/>
        <v>0</v>
      </c>
      <c r="G248" s="177">
        <v>0.01</v>
      </c>
      <c r="H248" s="178">
        <f t="shared" si="2"/>
        <v>0</v>
      </c>
      <c r="I248" s="179"/>
    </row>
    <row r="249" ht="15.75" customHeight="1">
      <c r="A249" s="7"/>
      <c r="D249" s="62"/>
      <c r="E249" s="30"/>
      <c r="F249" s="54">
        <f t="shared" si="3"/>
        <v>0</v>
      </c>
      <c r="G249" s="177">
        <v>0.01</v>
      </c>
      <c r="H249" s="178">
        <f t="shared" si="2"/>
        <v>0</v>
      </c>
      <c r="I249" s="179"/>
    </row>
    <row r="250" ht="15.75" customHeight="1">
      <c r="A250" s="7"/>
      <c r="D250" s="62"/>
      <c r="E250" s="30"/>
      <c r="F250" s="54">
        <f t="shared" si="3"/>
        <v>0</v>
      </c>
      <c r="G250" s="177">
        <v>0.01</v>
      </c>
      <c r="H250" s="178">
        <f t="shared" si="2"/>
        <v>0</v>
      </c>
      <c r="I250" s="179"/>
    </row>
    <row r="251" ht="15.75" customHeight="1">
      <c r="A251" s="7"/>
      <c r="D251" s="62"/>
      <c r="E251" s="30"/>
      <c r="F251" s="54">
        <f t="shared" si="3"/>
        <v>0</v>
      </c>
      <c r="G251" s="177">
        <v>0.01</v>
      </c>
      <c r="H251" s="178">
        <f t="shared" si="2"/>
        <v>0</v>
      </c>
      <c r="I251" s="179"/>
    </row>
    <row r="252" ht="15.75" customHeight="1">
      <c r="A252" s="7"/>
      <c r="D252" s="62"/>
      <c r="E252" s="30"/>
      <c r="F252" s="54">
        <f t="shared" si="3"/>
        <v>0</v>
      </c>
      <c r="G252" s="177">
        <v>0.01</v>
      </c>
      <c r="H252" s="178">
        <f t="shared" si="2"/>
        <v>0</v>
      </c>
      <c r="I252" s="179"/>
    </row>
    <row r="253" ht="15.75" customHeight="1">
      <c r="A253" s="7"/>
      <c r="D253" s="62"/>
      <c r="E253" s="30"/>
      <c r="F253" s="54">
        <f t="shared" si="3"/>
        <v>0</v>
      </c>
      <c r="G253" s="177">
        <v>0.01</v>
      </c>
      <c r="H253" s="178">
        <f t="shared" si="2"/>
        <v>0</v>
      </c>
      <c r="I253" s="179"/>
    </row>
    <row r="254" ht="15.75" customHeight="1">
      <c r="A254" s="7"/>
      <c r="D254" s="62"/>
      <c r="E254" s="30"/>
      <c r="F254" s="54">
        <f t="shared" si="3"/>
        <v>0</v>
      </c>
      <c r="G254" s="177">
        <v>0.01</v>
      </c>
      <c r="H254" s="178">
        <f t="shared" si="2"/>
        <v>0</v>
      </c>
      <c r="I254" s="179"/>
    </row>
    <row r="255" ht="15.75" customHeight="1">
      <c r="A255" s="7"/>
      <c r="D255" s="62"/>
      <c r="E255" s="30"/>
      <c r="F255" s="54">
        <f t="shared" si="3"/>
        <v>0</v>
      </c>
      <c r="G255" s="177">
        <v>0.01</v>
      </c>
      <c r="H255" s="178">
        <f t="shared" si="2"/>
        <v>0</v>
      </c>
      <c r="I255" s="179"/>
    </row>
    <row r="256" ht="15.75" customHeight="1">
      <c r="A256" s="7"/>
      <c r="D256" s="62"/>
      <c r="E256" s="30"/>
      <c r="F256" s="54">
        <f t="shared" si="3"/>
        <v>0</v>
      </c>
      <c r="G256" s="177">
        <v>0.01</v>
      </c>
      <c r="H256" s="178">
        <f t="shared" si="2"/>
        <v>0</v>
      </c>
      <c r="I256" s="179"/>
    </row>
    <row r="257" ht="15.75" customHeight="1">
      <c r="A257" s="7"/>
      <c r="D257" s="62"/>
      <c r="E257" s="30"/>
      <c r="F257" s="54">
        <f t="shared" si="3"/>
        <v>0</v>
      </c>
      <c r="G257" s="177">
        <v>0.01</v>
      </c>
      <c r="H257" s="178">
        <f t="shared" si="2"/>
        <v>0</v>
      </c>
      <c r="I257" s="179"/>
    </row>
    <row r="258" ht="15.75" customHeight="1">
      <c r="A258" s="7"/>
      <c r="D258" s="62"/>
      <c r="E258" s="30"/>
      <c r="F258" s="54">
        <f t="shared" si="3"/>
        <v>0</v>
      </c>
      <c r="G258" s="177">
        <v>0.01</v>
      </c>
      <c r="H258" s="178">
        <f t="shared" si="2"/>
        <v>0</v>
      </c>
      <c r="I258" s="179"/>
    </row>
    <row r="259" ht="15.75" customHeight="1">
      <c r="A259" s="7"/>
      <c r="D259" s="62"/>
      <c r="E259" s="30"/>
      <c r="F259" s="54">
        <f t="shared" si="3"/>
        <v>0</v>
      </c>
      <c r="G259" s="177">
        <v>0.01</v>
      </c>
      <c r="H259" s="178">
        <f t="shared" si="2"/>
        <v>0</v>
      </c>
      <c r="I259" s="179"/>
    </row>
    <row r="260" ht="15.75" customHeight="1">
      <c r="A260" s="7"/>
      <c r="D260" s="62"/>
      <c r="E260" s="30"/>
      <c r="F260" s="54">
        <f t="shared" si="3"/>
        <v>0</v>
      </c>
      <c r="G260" s="177">
        <v>0.01</v>
      </c>
      <c r="H260" s="178">
        <f t="shared" si="2"/>
        <v>0</v>
      </c>
      <c r="I260" s="179"/>
    </row>
    <row r="261" ht="15.75" customHeight="1">
      <c r="A261" s="7"/>
      <c r="D261" s="62"/>
      <c r="E261" s="30"/>
      <c r="F261" s="54">
        <f t="shared" si="3"/>
        <v>0</v>
      </c>
      <c r="G261" s="177">
        <v>0.01</v>
      </c>
      <c r="H261" s="178">
        <f t="shared" si="2"/>
        <v>0</v>
      </c>
      <c r="I261" s="179"/>
    </row>
    <row r="262" ht="15.75" customHeight="1">
      <c r="A262" s="7"/>
      <c r="D262" s="62"/>
      <c r="E262" s="30"/>
      <c r="F262" s="54">
        <f t="shared" si="3"/>
        <v>0</v>
      </c>
      <c r="G262" s="177">
        <v>0.01</v>
      </c>
      <c r="H262" s="178">
        <f t="shared" si="2"/>
        <v>0</v>
      </c>
      <c r="I262" s="179"/>
    </row>
    <row r="263" ht="15.75" customHeight="1">
      <c r="A263" s="7"/>
      <c r="D263" s="62"/>
      <c r="E263" s="30"/>
      <c r="F263" s="54">
        <f t="shared" si="3"/>
        <v>0</v>
      </c>
      <c r="G263" s="177">
        <v>0.01</v>
      </c>
      <c r="H263" s="178">
        <f t="shared" si="2"/>
        <v>0</v>
      </c>
      <c r="I263" s="179"/>
    </row>
    <row r="264" ht="15.75" customHeight="1">
      <c r="A264" s="7"/>
      <c r="D264" s="62"/>
      <c r="E264" s="30"/>
      <c r="F264" s="54">
        <f t="shared" si="3"/>
        <v>0</v>
      </c>
      <c r="G264" s="177">
        <v>0.01</v>
      </c>
      <c r="H264" s="178">
        <f t="shared" si="2"/>
        <v>0</v>
      </c>
      <c r="I264" s="179"/>
    </row>
    <row r="265" ht="15.75" customHeight="1">
      <c r="A265" s="7"/>
      <c r="D265" s="62"/>
      <c r="E265" s="30"/>
      <c r="F265" s="54">
        <f t="shared" si="3"/>
        <v>0</v>
      </c>
      <c r="G265" s="177">
        <v>0.01</v>
      </c>
      <c r="H265" s="178">
        <f t="shared" si="2"/>
        <v>0</v>
      </c>
      <c r="I265" s="179"/>
    </row>
    <row r="266" ht="15.75" customHeight="1">
      <c r="A266" s="7"/>
      <c r="D266" s="62"/>
      <c r="E266" s="30"/>
      <c r="F266" s="54">
        <f t="shared" si="3"/>
        <v>0</v>
      </c>
      <c r="G266" s="177">
        <v>0.01</v>
      </c>
      <c r="H266" s="178">
        <f t="shared" si="2"/>
        <v>0</v>
      </c>
      <c r="I266" s="179"/>
    </row>
    <row r="267" ht="15.75" customHeight="1">
      <c r="A267" s="7"/>
      <c r="D267" s="62"/>
      <c r="E267" s="30"/>
      <c r="F267" s="54">
        <f t="shared" si="3"/>
        <v>0</v>
      </c>
      <c r="G267" s="177">
        <v>0.01</v>
      </c>
      <c r="H267" s="178">
        <f t="shared" si="2"/>
        <v>0</v>
      </c>
      <c r="I267" s="179"/>
    </row>
    <row r="268" ht="15.75" customHeight="1">
      <c r="A268" s="7"/>
      <c r="D268" s="62"/>
      <c r="E268" s="30"/>
      <c r="F268" s="54">
        <f t="shared" si="3"/>
        <v>0</v>
      </c>
      <c r="G268" s="177">
        <v>0.01</v>
      </c>
      <c r="H268" s="178">
        <f t="shared" si="2"/>
        <v>0</v>
      </c>
      <c r="I268" s="179"/>
    </row>
    <row r="269" ht="15.75" customHeight="1">
      <c r="A269" s="7"/>
      <c r="D269" s="62"/>
      <c r="E269" s="30"/>
      <c r="F269" s="54">
        <f t="shared" si="3"/>
        <v>0</v>
      </c>
      <c r="G269" s="177">
        <v>0.01</v>
      </c>
      <c r="H269" s="178">
        <f t="shared" si="2"/>
        <v>0</v>
      </c>
      <c r="I269" s="179"/>
    </row>
    <row r="270" ht="15.75" customHeight="1">
      <c r="A270" s="7"/>
      <c r="D270" s="62"/>
      <c r="E270" s="30"/>
      <c r="F270" s="54">
        <f t="shared" si="3"/>
        <v>0</v>
      </c>
      <c r="G270" s="177">
        <v>0.01</v>
      </c>
      <c r="H270" s="178">
        <f t="shared" si="2"/>
        <v>0</v>
      </c>
      <c r="I270" s="179"/>
    </row>
    <row r="271" ht="15.75" customHeight="1">
      <c r="A271" s="7"/>
      <c r="D271" s="62"/>
      <c r="E271" s="30"/>
      <c r="F271" s="54">
        <f t="shared" si="3"/>
        <v>0</v>
      </c>
      <c r="G271" s="177">
        <v>0.01</v>
      </c>
      <c r="H271" s="178">
        <f t="shared" si="2"/>
        <v>0</v>
      </c>
      <c r="I271" s="179"/>
    </row>
    <row r="272" ht="15.75" customHeight="1">
      <c r="A272" s="7"/>
      <c r="D272" s="62"/>
      <c r="E272" s="30"/>
      <c r="F272" s="54">
        <f t="shared" si="3"/>
        <v>0</v>
      </c>
      <c r="G272" s="177">
        <v>0.01</v>
      </c>
      <c r="H272" s="178">
        <f t="shared" si="2"/>
        <v>0</v>
      </c>
      <c r="I272" s="179"/>
    </row>
    <row r="273" ht="15.75" customHeight="1">
      <c r="A273" s="7"/>
      <c r="D273" s="62"/>
      <c r="E273" s="30"/>
      <c r="F273" s="54">
        <f t="shared" si="3"/>
        <v>0</v>
      </c>
      <c r="G273" s="177">
        <v>0.01</v>
      </c>
      <c r="H273" s="178">
        <f t="shared" si="2"/>
        <v>0</v>
      </c>
      <c r="I273" s="179"/>
    </row>
    <row r="274" ht="15.75" customHeight="1">
      <c r="A274" s="7"/>
      <c r="D274" s="62"/>
      <c r="E274" s="30"/>
      <c r="F274" s="54">
        <f t="shared" si="3"/>
        <v>0</v>
      </c>
      <c r="G274" s="177">
        <v>0.01</v>
      </c>
      <c r="H274" s="178">
        <f t="shared" si="2"/>
        <v>0</v>
      </c>
      <c r="I274" s="179"/>
    </row>
    <row r="275" ht="15.75" customHeight="1">
      <c r="A275" s="7"/>
      <c r="D275" s="62"/>
      <c r="E275" s="30"/>
      <c r="F275" s="54">
        <f t="shared" si="3"/>
        <v>0</v>
      </c>
      <c r="G275" s="177">
        <v>0.01</v>
      </c>
      <c r="H275" s="178">
        <f t="shared" si="2"/>
        <v>0</v>
      </c>
      <c r="I275" s="179"/>
    </row>
    <row r="276" ht="15.75" customHeight="1">
      <c r="A276" s="7"/>
      <c r="D276" s="62"/>
      <c r="E276" s="30"/>
      <c r="F276" s="54">
        <f t="shared" si="3"/>
        <v>0</v>
      </c>
      <c r="G276" s="177">
        <v>0.01</v>
      </c>
      <c r="H276" s="178">
        <f t="shared" si="2"/>
        <v>0</v>
      </c>
      <c r="I276" s="179"/>
    </row>
    <row r="277" ht="15.75" customHeight="1">
      <c r="A277" s="7"/>
      <c r="D277" s="62"/>
      <c r="E277" s="30"/>
      <c r="F277" s="54">
        <f t="shared" si="3"/>
        <v>0</v>
      </c>
      <c r="G277" s="177">
        <v>0.01</v>
      </c>
      <c r="H277" s="178">
        <f t="shared" si="2"/>
        <v>0</v>
      </c>
      <c r="I277" s="179"/>
    </row>
    <row r="278" ht="15.75" customHeight="1">
      <c r="A278" s="7"/>
      <c r="D278" s="62"/>
      <c r="E278" s="30"/>
      <c r="F278" s="54">
        <f t="shared" si="3"/>
        <v>0</v>
      </c>
      <c r="G278" s="177">
        <v>0.01</v>
      </c>
      <c r="H278" s="178">
        <f t="shared" si="2"/>
        <v>0</v>
      </c>
      <c r="I278" s="179"/>
    </row>
    <row r="279" ht="15.75" customHeight="1">
      <c r="A279" s="7"/>
      <c r="D279" s="62"/>
      <c r="E279" s="30"/>
      <c r="F279" s="54">
        <f t="shared" si="3"/>
        <v>0</v>
      </c>
      <c r="G279" s="177">
        <v>0.01</v>
      </c>
      <c r="H279" s="178">
        <f t="shared" si="2"/>
        <v>0</v>
      </c>
      <c r="I279" s="179"/>
    </row>
    <row r="280" ht="15.75" customHeight="1">
      <c r="A280" s="7"/>
      <c r="D280" s="62"/>
      <c r="E280" s="30"/>
      <c r="F280" s="54">
        <f t="shared" si="3"/>
        <v>0</v>
      </c>
      <c r="G280" s="177">
        <v>0.01</v>
      </c>
      <c r="H280" s="178">
        <f t="shared" si="2"/>
        <v>0</v>
      </c>
      <c r="I280" s="179"/>
    </row>
    <row r="281" ht="15.75" customHeight="1">
      <c r="A281" s="7"/>
      <c r="D281" s="62"/>
      <c r="E281" s="30"/>
      <c r="F281" s="54">
        <f t="shared" si="3"/>
        <v>0</v>
      </c>
      <c r="G281" s="177">
        <v>0.01</v>
      </c>
      <c r="H281" s="178">
        <f t="shared" si="2"/>
        <v>0</v>
      </c>
      <c r="I281" s="179"/>
    </row>
    <row r="282" ht="15.75" customHeight="1">
      <c r="A282" s="7"/>
      <c r="D282" s="62"/>
      <c r="E282" s="30"/>
      <c r="F282" s="54">
        <f t="shared" si="3"/>
        <v>0</v>
      </c>
      <c r="G282" s="177">
        <v>0.01</v>
      </c>
      <c r="H282" s="178">
        <f t="shared" si="2"/>
        <v>0</v>
      </c>
      <c r="I282" s="179"/>
    </row>
    <row r="283" ht="15.75" customHeight="1">
      <c r="A283" s="7"/>
      <c r="D283" s="62"/>
      <c r="E283" s="30"/>
      <c r="F283" s="54">
        <f t="shared" si="3"/>
        <v>0</v>
      </c>
      <c r="G283" s="177">
        <v>0.01</v>
      </c>
      <c r="H283" s="178">
        <f t="shared" si="2"/>
        <v>0</v>
      </c>
      <c r="I283" s="179"/>
    </row>
    <row r="284" ht="15.75" customHeight="1">
      <c r="A284" s="7"/>
      <c r="D284" s="62"/>
      <c r="E284" s="30"/>
      <c r="F284" s="54">
        <f t="shared" si="3"/>
        <v>0</v>
      </c>
      <c r="G284" s="177">
        <v>0.01</v>
      </c>
      <c r="H284" s="178">
        <f t="shared" si="2"/>
        <v>0</v>
      </c>
      <c r="I284" s="179"/>
    </row>
    <row r="285" ht="15.75" customHeight="1">
      <c r="A285" s="7"/>
      <c r="D285" s="62"/>
      <c r="E285" s="30"/>
      <c r="F285" s="54">
        <f t="shared" si="3"/>
        <v>0</v>
      </c>
      <c r="G285" s="177">
        <v>0.01</v>
      </c>
      <c r="H285" s="178">
        <f t="shared" si="2"/>
        <v>0</v>
      </c>
      <c r="I285" s="179"/>
    </row>
    <row r="286" ht="15.75" customHeight="1">
      <c r="A286" s="7"/>
      <c r="D286" s="62"/>
      <c r="E286" s="30"/>
      <c r="F286" s="54">
        <f t="shared" si="3"/>
        <v>0</v>
      </c>
      <c r="G286" s="177">
        <v>0.01</v>
      </c>
      <c r="H286" s="178">
        <f t="shared" si="2"/>
        <v>0</v>
      </c>
      <c r="I286" s="179"/>
    </row>
    <row r="287" ht="15.75" customHeight="1">
      <c r="A287" s="7"/>
      <c r="D287" s="62"/>
      <c r="E287" s="30"/>
      <c r="F287" s="54">
        <f t="shared" si="3"/>
        <v>0</v>
      </c>
      <c r="G287" s="177">
        <v>0.01</v>
      </c>
      <c r="H287" s="178">
        <f t="shared" si="2"/>
        <v>0</v>
      </c>
      <c r="I287" s="179"/>
    </row>
    <row r="288" ht="15.75" customHeight="1">
      <c r="A288" s="7"/>
      <c r="D288" s="62"/>
      <c r="E288" s="30"/>
      <c r="F288" s="54">
        <f t="shared" si="3"/>
        <v>0</v>
      </c>
      <c r="G288" s="177">
        <v>0.01</v>
      </c>
      <c r="H288" s="178">
        <f t="shared" si="2"/>
        <v>0</v>
      </c>
      <c r="I288" s="179"/>
    </row>
    <row r="289" ht="15.75" customHeight="1">
      <c r="A289" s="7"/>
      <c r="D289" s="62"/>
      <c r="E289" s="30"/>
      <c r="F289" s="54">
        <f t="shared" si="3"/>
        <v>0</v>
      </c>
      <c r="G289" s="177">
        <v>0.01</v>
      </c>
      <c r="H289" s="178">
        <f t="shared" si="2"/>
        <v>0</v>
      </c>
      <c r="I289" s="179"/>
    </row>
    <row r="290" ht="15.75" customHeight="1">
      <c r="A290" s="7"/>
      <c r="D290" s="62"/>
      <c r="E290" s="30"/>
      <c r="F290" s="54">
        <f t="shared" si="3"/>
        <v>0</v>
      </c>
      <c r="G290" s="177">
        <v>0.01</v>
      </c>
      <c r="H290" s="178">
        <f t="shared" si="2"/>
        <v>0</v>
      </c>
      <c r="I290" s="179"/>
    </row>
    <row r="291" ht="15.75" customHeight="1">
      <c r="A291" s="7"/>
      <c r="D291" s="62"/>
      <c r="E291" s="30"/>
      <c r="F291" s="54">
        <f t="shared" si="3"/>
        <v>0</v>
      </c>
      <c r="G291" s="177">
        <v>0.01</v>
      </c>
      <c r="H291" s="178">
        <f t="shared" si="2"/>
        <v>0</v>
      </c>
      <c r="I291" s="179"/>
    </row>
    <row r="292" ht="15.75" customHeight="1">
      <c r="A292" s="7"/>
      <c r="D292" s="62"/>
      <c r="E292" s="30"/>
      <c r="F292" s="54">
        <f t="shared" si="3"/>
        <v>0</v>
      </c>
      <c r="G292" s="177">
        <v>0.01</v>
      </c>
      <c r="H292" s="178">
        <f t="shared" si="2"/>
        <v>0</v>
      </c>
      <c r="I292" s="179"/>
    </row>
    <row r="293" ht="15.75" customHeight="1">
      <c r="A293" s="7"/>
      <c r="D293" s="62"/>
      <c r="E293" s="30"/>
      <c r="F293" s="54">
        <f t="shared" si="3"/>
        <v>0</v>
      </c>
      <c r="G293" s="177">
        <v>0.01</v>
      </c>
      <c r="H293" s="178">
        <f t="shared" si="2"/>
        <v>0</v>
      </c>
      <c r="I293" s="179"/>
    </row>
    <row r="294" ht="15.75" customHeight="1">
      <c r="A294" s="7"/>
      <c r="D294" s="62"/>
      <c r="E294" s="30"/>
      <c r="F294" s="54">
        <f t="shared" si="3"/>
        <v>0</v>
      </c>
      <c r="G294" s="177">
        <v>0.01</v>
      </c>
      <c r="H294" s="178">
        <f t="shared" si="2"/>
        <v>0</v>
      </c>
      <c r="I294" s="179"/>
    </row>
    <row r="295" ht="15.75" customHeight="1">
      <c r="A295" s="7"/>
      <c r="D295" s="62"/>
      <c r="E295" s="30"/>
      <c r="F295" s="54">
        <f t="shared" si="3"/>
        <v>0</v>
      </c>
      <c r="G295" s="177">
        <v>0.01</v>
      </c>
      <c r="H295" s="178">
        <f t="shared" si="2"/>
        <v>0</v>
      </c>
      <c r="I295" s="179"/>
    </row>
    <row r="296" ht="15.75" customHeight="1">
      <c r="A296" s="7"/>
      <c r="D296" s="62"/>
      <c r="E296" s="30"/>
      <c r="F296" s="54">
        <f t="shared" si="3"/>
        <v>0</v>
      </c>
      <c r="G296" s="177">
        <v>0.01</v>
      </c>
      <c r="H296" s="178">
        <f t="shared" si="2"/>
        <v>0</v>
      </c>
      <c r="I296" s="179"/>
    </row>
    <row r="297" ht="15.75" customHeight="1">
      <c r="A297" s="7"/>
      <c r="D297" s="62"/>
      <c r="E297" s="30"/>
      <c r="F297" s="54">
        <f t="shared" si="3"/>
        <v>0</v>
      </c>
      <c r="G297" s="177">
        <v>0.01</v>
      </c>
      <c r="H297" s="178">
        <f t="shared" si="2"/>
        <v>0</v>
      </c>
      <c r="I297" s="179"/>
    </row>
    <row r="298" ht="15.75" customHeight="1">
      <c r="A298" s="7"/>
      <c r="D298" s="62"/>
      <c r="E298" s="30"/>
      <c r="F298" s="54">
        <f t="shared" si="3"/>
        <v>0</v>
      </c>
      <c r="G298" s="177">
        <v>0.01</v>
      </c>
      <c r="H298" s="178">
        <f t="shared" si="2"/>
        <v>0</v>
      </c>
      <c r="I298" s="179"/>
    </row>
    <row r="299" ht="15.75" customHeight="1">
      <c r="A299" s="7"/>
      <c r="D299" s="62"/>
      <c r="E299" s="30"/>
      <c r="F299" s="54">
        <f t="shared" si="3"/>
        <v>0</v>
      </c>
      <c r="G299" s="177">
        <v>0.01</v>
      </c>
      <c r="H299" s="178">
        <f t="shared" si="2"/>
        <v>0</v>
      </c>
      <c r="I299" s="179"/>
    </row>
    <row r="300" ht="15.75" customHeight="1">
      <c r="A300" s="7"/>
      <c r="D300" s="62"/>
      <c r="E300" s="30"/>
      <c r="F300" s="54">
        <f t="shared" si="3"/>
        <v>0</v>
      </c>
      <c r="G300" s="177">
        <v>0.01</v>
      </c>
      <c r="H300" s="178">
        <f t="shared" si="2"/>
        <v>0</v>
      </c>
      <c r="I300" s="179"/>
    </row>
    <row r="301" ht="15.75" customHeight="1">
      <c r="A301" s="7"/>
      <c r="D301" s="62"/>
      <c r="E301" s="30"/>
      <c r="F301" s="54">
        <f t="shared" si="3"/>
        <v>0</v>
      </c>
      <c r="G301" s="177">
        <v>0.01</v>
      </c>
      <c r="H301" s="178">
        <f t="shared" si="2"/>
        <v>0</v>
      </c>
      <c r="I301" s="179"/>
    </row>
    <row r="302" ht="15.75" customHeight="1">
      <c r="A302" s="7"/>
      <c r="D302" s="62"/>
      <c r="E302" s="30"/>
      <c r="F302" s="54">
        <f t="shared" si="3"/>
        <v>0</v>
      </c>
      <c r="G302" s="177">
        <v>0.01</v>
      </c>
      <c r="H302" s="178">
        <f t="shared" si="2"/>
        <v>0</v>
      </c>
      <c r="I302" s="179"/>
    </row>
    <row r="303" ht="15.75" customHeight="1">
      <c r="A303" s="7"/>
      <c r="D303" s="62"/>
      <c r="E303" s="30"/>
      <c r="F303" s="54">
        <f t="shared" si="3"/>
        <v>0</v>
      </c>
      <c r="G303" s="177">
        <v>0.01</v>
      </c>
      <c r="H303" s="178">
        <f t="shared" si="2"/>
        <v>0</v>
      </c>
      <c r="I303" s="179"/>
    </row>
    <row r="304" ht="15.75" customHeight="1">
      <c r="A304" s="7"/>
      <c r="D304" s="62"/>
      <c r="E304" s="30"/>
      <c r="F304" s="54">
        <f t="shared" si="3"/>
        <v>0</v>
      </c>
      <c r="G304" s="177">
        <v>0.01</v>
      </c>
      <c r="H304" s="178">
        <f t="shared" si="2"/>
        <v>0</v>
      </c>
      <c r="I304" s="179"/>
    </row>
    <row r="305" ht="15.75" customHeight="1">
      <c r="A305" s="7"/>
      <c r="D305" s="62"/>
      <c r="E305" s="30"/>
      <c r="F305" s="54">
        <f t="shared" si="3"/>
        <v>0</v>
      </c>
      <c r="G305" s="177">
        <v>0.01</v>
      </c>
      <c r="H305" s="178">
        <f t="shared" si="2"/>
        <v>0</v>
      </c>
      <c r="I305" s="179"/>
    </row>
    <row r="306" ht="15.75" customHeight="1">
      <c r="A306" s="7"/>
      <c r="D306" s="62"/>
      <c r="E306" s="30"/>
      <c r="F306" s="54">
        <f t="shared" si="3"/>
        <v>0</v>
      </c>
      <c r="G306" s="177">
        <v>0.01</v>
      </c>
      <c r="H306" s="178">
        <f t="shared" si="2"/>
        <v>0</v>
      </c>
      <c r="I306" s="179"/>
    </row>
    <row r="307" ht="15.75" customHeight="1">
      <c r="A307" s="7"/>
      <c r="D307" s="62"/>
      <c r="E307" s="30"/>
      <c r="F307" s="54">
        <f t="shared" si="3"/>
        <v>0</v>
      </c>
      <c r="G307" s="177">
        <v>0.01</v>
      </c>
      <c r="H307" s="178">
        <f t="shared" si="2"/>
        <v>0</v>
      </c>
      <c r="I307" s="179"/>
    </row>
    <row r="308" ht="15.75" customHeight="1">
      <c r="A308" s="7"/>
      <c r="D308" s="62"/>
      <c r="E308" s="30"/>
      <c r="F308" s="54">
        <f t="shared" si="3"/>
        <v>0</v>
      </c>
      <c r="G308" s="177">
        <v>0.01</v>
      </c>
      <c r="H308" s="178">
        <f t="shared" si="2"/>
        <v>0</v>
      </c>
      <c r="I308" s="179"/>
    </row>
    <row r="309" ht="15.75" customHeight="1">
      <c r="A309" s="7"/>
      <c r="D309" s="62"/>
      <c r="E309" s="30"/>
      <c r="F309" s="54">
        <f t="shared" si="3"/>
        <v>0</v>
      </c>
      <c r="G309" s="177">
        <v>0.01</v>
      </c>
      <c r="H309" s="178">
        <f t="shared" si="2"/>
        <v>0</v>
      </c>
      <c r="I309" s="179"/>
    </row>
    <row r="310" ht="15.75" customHeight="1">
      <c r="A310" s="7"/>
      <c r="D310" s="62"/>
      <c r="E310" s="30"/>
      <c r="F310" s="54">
        <f t="shared" si="3"/>
        <v>0</v>
      </c>
      <c r="G310" s="177">
        <v>0.01</v>
      </c>
      <c r="H310" s="178">
        <f t="shared" si="2"/>
        <v>0</v>
      </c>
      <c r="I310" s="179"/>
    </row>
    <row r="311" ht="15.75" customHeight="1">
      <c r="A311" s="7"/>
      <c r="D311" s="62"/>
      <c r="E311" s="30"/>
      <c r="F311" s="54">
        <f t="shared" si="3"/>
        <v>0</v>
      </c>
      <c r="G311" s="177">
        <v>0.01</v>
      </c>
      <c r="H311" s="178">
        <f t="shared" si="2"/>
        <v>0</v>
      </c>
      <c r="I311" s="179"/>
    </row>
    <row r="312" ht="15.75" customHeight="1">
      <c r="A312" s="7"/>
      <c r="D312" s="62"/>
      <c r="E312" s="30"/>
      <c r="F312" s="54">
        <f t="shared" si="3"/>
        <v>0</v>
      </c>
      <c r="G312" s="177">
        <v>0.01</v>
      </c>
      <c r="H312" s="178">
        <f t="shared" si="2"/>
        <v>0</v>
      </c>
      <c r="I312" s="179"/>
    </row>
    <row r="313" ht="15.75" customHeight="1">
      <c r="A313" s="7"/>
      <c r="D313" s="62"/>
      <c r="E313" s="30"/>
      <c r="F313" s="54">
        <f t="shared" si="3"/>
        <v>0</v>
      </c>
      <c r="G313" s="177">
        <v>0.01</v>
      </c>
      <c r="H313" s="178">
        <f t="shared" si="2"/>
        <v>0</v>
      </c>
      <c r="I313" s="179"/>
    </row>
    <row r="314" ht="15.75" customHeight="1">
      <c r="A314" s="7"/>
      <c r="D314" s="62"/>
      <c r="E314" s="30"/>
      <c r="F314" s="54">
        <f t="shared" si="3"/>
        <v>0</v>
      </c>
      <c r="G314" s="177">
        <v>0.01</v>
      </c>
      <c r="H314" s="178">
        <f t="shared" si="2"/>
        <v>0</v>
      </c>
      <c r="I314" s="179"/>
    </row>
    <row r="315" ht="15.75" customHeight="1">
      <c r="A315" s="7"/>
      <c r="D315" s="62"/>
      <c r="E315" s="30"/>
      <c r="F315" s="54">
        <f t="shared" si="3"/>
        <v>0</v>
      </c>
      <c r="G315" s="177">
        <v>0.01</v>
      </c>
      <c r="H315" s="178">
        <f t="shared" si="2"/>
        <v>0</v>
      </c>
      <c r="I315" s="179"/>
    </row>
    <row r="316" ht="15.75" customHeight="1">
      <c r="A316" s="7"/>
      <c r="D316" s="62"/>
      <c r="E316" s="30"/>
      <c r="F316" s="54">
        <f t="shared" si="3"/>
        <v>0</v>
      </c>
      <c r="G316" s="177">
        <v>0.01</v>
      </c>
      <c r="H316" s="178">
        <f t="shared" si="2"/>
        <v>0</v>
      </c>
      <c r="I316" s="179"/>
    </row>
    <row r="317" ht="15.75" customHeight="1">
      <c r="A317" s="7"/>
      <c r="D317" s="62"/>
      <c r="E317" s="30"/>
      <c r="F317" s="54">
        <f t="shared" si="3"/>
        <v>0</v>
      </c>
      <c r="G317" s="177">
        <v>0.01</v>
      </c>
      <c r="H317" s="178">
        <f t="shared" si="2"/>
        <v>0</v>
      </c>
      <c r="I317" s="179"/>
    </row>
    <row r="318" ht="15.75" customHeight="1">
      <c r="A318" s="7"/>
      <c r="D318" s="62"/>
      <c r="E318" s="30"/>
      <c r="F318" s="54">
        <f t="shared" si="3"/>
        <v>0</v>
      </c>
      <c r="G318" s="177">
        <v>0.01</v>
      </c>
      <c r="H318" s="178">
        <f t="shared" si="2"/>
        <v>0</v>
      </c>
      <c r="I318" s="179"/>
    </row>
    <row r="319" ht="15.75" customHeight="1">
      <c r="A319" s="7"/>
      <c r="D319" s="62"/>
      <c r="E319" s="30"/>
      <c r="F319" s="54">
        <f t="shared" si="3"/>
        <v>0</v>
      </c>
      <c r="G319" s="177">
        <v>0.01</v>
      </c>
      <c r="H319" s="178">
        <f t="shared" si="2"/>
        <v>0</v>
      </c>
      <c r="I319" s="179"/>
    </row>
    <row r="320" ht="15.75" customHeight="1">
      <c r="A320" s="7"/>
      <c r="D320" s="62"/>
      <c r="E320" s="30"/>
      <c r="F320" s="54">
        <f t="shared" si="3"/>
        <v>0</v>
      </c>
      <c r="G320" s="177">
        <v>0.01</v>
      </c>
      <c r="H320" s="178">
        <f t="shared" si="2"/>
        <v>0</v>
      </c>
      <c r="I320" s="179"/>
    </row>
    <row r="321" ht="15.75" customHeight="1">
      <c r="A321" s="7"/>
      <c r="D321" s="62"/>
      <c r="E321" s="30"/>
      <c r="F321" s="54">
        <f t="shared" si="3"/>
        <v>0</v>
      </c>
      <c r="G321" s="177">
        <v>0.01</v>
      </c>
      <c r="H321" s="178">
        <f t="shared" si="2"/>
        <v>0</v>
      </c>
      <c r="I321" s="179"/>
    </row>
    <row r="322" ht="15.75" customHeight="1">
      <c r="A322" s="7"/>
      <c r="D322" s="62"/>
      <c r="E322" s="30"/>
      <c r="F322" s="54">
        <f t="shared" si="3"/>
        <v>0</v>
      </c>
      <c r="G322" s="177">
        <v>0.01</v>
      </c>
      <c r="H322" s="178">
        <f t="shared" si="2"/>
        <v>0</v>
      </c>
      <c r="I322" s="179"/>
    </row>
    <row r="323" ht="15.75" customHeight="1">
      <c r="A323" s="7"/>
      <c r="D323" s="62"/>
      <c r="E323" s="30"/>
      <c r="F323" s="54">
        <f t="shared" si="3"/>
        <v>0</v>
      </c>
      <c r="G323" s="177">
        <v>0.01</v>
      </c>
      <c r="H323" s="178">
        <f t="shared" si="2"/>
        <v>0</v>
      </c>
      <c r="I323" s="179"/>
    </row>
    <row r="324" ht="15.75" customHeight="1">
      <c r="A324" s="7"/>
      <c r="D324" s="62"/>
      <c r="E324" s="30"/>
      <c r="F324" s="54">
        <f t="shared" si="3"/>
        <v>0</v>
      </c>
      <c r="G324" s="177">
        <v>0.01</v>
      </c>
      <c r="H324" s="178">
        <f t="shared" si="2"/>
        <v>0</v>
      </c>
      <c r="I324" s="179"/>
    </row>
    <row r="325" ht="15.75" customHeight="1">
      <c r="A325" s="7"/>
      <c r="D325" s="62"/>
      <c r="E325" s="30"/>
      <c r="F325" s="54">
        <f t="shared" si="3"/>
        <v>0</v>
      </c>
      <c r="G325" s="177">
        <v>0.01</v>
      </c>
      <c r="H325" s="178">
        <f t="shared" si="2"/>
        <v>0</v>
      </c>
      <c r="I325" s="179"/>
    </row>
    <row r="326" ht="15.75" customHeight="1">
      <c r="A326" s="7"/>
      <c r="D326" s="62"/>
      <c r="E326" s="30"/>
      <c r="F326" s="54">
        <f t="shared" si="3"/>
        <v>0</v>
      </c>
      <c r="G326" s="177">
        <v>0.01</v>
      </c>
      <c r="H326" s="178">
        <f t="shared" si="2"/>
        <v>0</v>
      </c>
      <c r="I326" s="179"/>
    </row>
    <row r="327" ht="15.75" customHeight="1">
      <c r="A327" s="7"/>
      <c r="D327" s="62"/>
      <c r="E327" s="30"/>
      <c r="F327" s="54">
        <f t="shared" si="3"/>
        <v>0</v>
      </c>
      <c r="G327" s="177">
        <v>0.01</v>
      </c>
      <c r="H327" s="178">
        <f t="shared" si="2"/>
        <v>0</v>
      </c>
      <c r="I327" s="179"/>
    </row>
    <row r="328" ht="15.75" customHeight="1">
      <c r="A328" s="7"/>
      <c r="D328" s="62"/>
      <c r="E328" s="30"/>
      <c r="F328" s="54">
        <f t="shared" si="3"/>
        <v>0</v>
      </c>
      <c r="G328" s="177">
        <v>0.01</v>
      </c>
      <c r="H328" s="178">
        <f t="shared" si="2"/>
        <v>0</v>
      </c>
      <c r="I328" s="179"/>
    </row>
    <row r="329" ht="15.75" customHeight="1">
      <c r="A329" s="7"/>
      <c r="D329" s="62"/>
      <c r="E329" s="30"/>
      <c r="F329" s="54">
        <f t="shared" si="3"/>
        <v>0</v>
      </c>
      <c r="G329" s="177">
        <v>0.01</v>
      </c>
      <c r="H329" s="178">
        <f t="shared" si="2"/>
        <v>0</v>
      </c>
      <c r="I329" s="179"/>
    </row>
    <row r="330" ht="15.75" customHeight="1">
      <c r="A330" s="7"/>
      <c r="D330" s="62"/>
      <c r="E330" s="30"/>
      <c r="F330" s="54">
        <f t="shared" si="3"/>
        <v>0</v>
      </c>
      <c r="G330" s="177">
        <v>0.01</v>
      </c>
      <c r="H330" s="178">
        <f t="shared" si="2"/>
        <v>0</v>
      </c>
      <c r="I330" s="179"/>
    </row>
    <row r="331" ht="15.75" customHeight="1">
      <c r="A331" s="7"/>
      <c r="D331" s="62"/>
      <c r="E331" s="30"/>
      <c r="F331" s="54">
        <f t="shared" si="3"/>
        <v>0</v>
      </c>
      <c r="G331" s="177">
        <v>0.01</v>
      </c>
      <c r="H331" s="178">
        <f t="shared" si="2"/>
        <v>0</v>
      </c>
      <c r="I331" s="179"/>
    </row>
    <row r="332" ht="15.75" customHeight="1">
      <c r="A332" s="7"/>
      <c r="D332" s="62"/>
      <c r="E332" s="30"/>
      <c r="F332" s="54">
        <f t="shared" si="3"/>
        <v>0</v>
      </c>
      <c r="G332" s="177">
        <v>0.01</v>
      </c>
      <c r="H332" s="178">
        <f t="shared" si="2"/>
        <v>0</v>
      </c>
      <c r="I332" s="179"/>
    </row>
    <row r="333" ht="15.75" customHeight="1">
      <c r="A333" s="7"/>
      <c r="D333" s="62"/>
      <c r="E333" s="30"/>
      <c r="F333" s="54">
        <f t="shared" si="3"/>
        <v>0</v>
      </c>
      <c r="G333" s="177">
        <v>0.01</v>
      </c>
      <c r="H333" s="178">
        <f t="shared" si="2"/>
        <v>0</v>
      </c>
      <c r="I333" s="179"/>
    </row>
    <row r="334" ht="15.75" customHeight="1">
      <c r="A334" s="7"/>
      <c r="D334" s="62"/>
      <c r="E334" s="30"/>
      <c r="F334" s="54">
        <f t="shared" si="3"/>
        <v>0</v>
      </c>
      <c r="G334" s="177">
        <v>0.01</v>
      </c>
      <c r="H334" s="178">
        <f t="shared" si="2"/>
        <v>0</v>
      </c>
      <c r="I334" s="179"/>
    </row>
    <row r="335" ht="15.75" customHeight="1">
      <c r="A335" s="7"/>
      <c r="D335" s="62"/>
      <c r="E335" s="30"/>
      <c r="F335" s="54">
        <f t="shared" si="3"/>
        <v>0</v>
      </c>
      <c r="G335" s="177">
        <v>0.01</v>
      </c>
      <c r="H335" s="178">
        <f t="shared" si="2"/>
        <v>0</v>
      </c>
      <c r="I335" s="179"/>
    </row>
    <row r="336" ht="15.75" customHeight="1">
      <c r="A336" s="7"/>
      <c r="D336" s="62"/>
      <c r="E336" s="30"/>
      <c r="F336" s="54">
        <f t="shared" si="3"/>
        <v>0</v>
      </c>
      <c r="G336" s="177">
        <v>0.01</v>
      </c>
      <c r="H336" s="178">
        <f t="shared" si="2"/>
        <v>0</v>
      </c>
      <c r="I336" s="179"/>
    </row>
    <row r="337" ht="15.75" customHeight="1">
      <c r="A337" s="7"/>
      <c r="D337" s="62"/>
      <c r="E337" s="30"/>
      <c r="F337" s="54">
        <f t="shared" si="3"/>
        <v>0</v>
      </c>
      <c r="G337" s="177">
        <v>0.01</v>
      </c>
      <c r="H337" s="178">
        <f t="shared" si="2"/>
        <v>0</v>
      </c>
      <c r="I337" s="179"/>
    </row>
    <row r="338" ht="15.75" customHeight="1">
      <c r="A338" s="7"/>
      <c r="D338" s="62"/>
      <c r="E338" s="30"/>
      <c r="F338" s="54">
        <f t="shared" si="3"/>
        <v>0</v>
      </c>
      <c r="G338" s="177">
        <v>0.01</v>
      </c>
      <c r="H338" s="178">
        <f t="shared" si="2"/>
        <v>0</v>
      </c>
      <c r="I338" s="179"/>
    </row>
    <row r="339" ht="15.75" customHeight="1">
      <c r="A339" s="7"/>
      <c r="D339" s="62"/>
      <c r="E339" s="30"/>
      <c r="F339" s="54">
        <f t="shared" si="3"/>
        <v>0</v>
      </c>
      <c r="G339" s="177">
        <v>0.01</v>
      </c>
      <c r="H339" s="178">
        <f t="shared" si="2"/>
        <v>0</v>
      </c>
      <c r="I339" s="179"/>
    </row>
    <row r="340" ht="15.75" customHeight="1">
      <c r="A340" s="7"/>
      <c r="D340" s="62"/>
      <c r="E340" s="30"/>
      <c r="F340" s="54">
        <f t="shared" si="3"/>
        <v>0</v>
      </c>
      <c r="G340" s="177">
        <v>0.01</v>
      </c>
      <c r="H340" s="178">
        <f t="shared" si="2"/>
        <v>0</v>
      </c>
      <c r="I340" s="179"/>
    </row>
    <row r="341" ht="15.75" customHeight="1">
      <c r="A341" s="7"/>
      <c r="D341" s="62"/>
      <c r="E341" s="30"/>
      <c r="F341" s="54">
        <f t="shared" si="3"/>
        <v>0</v>
      </c>
      <c r="G341" s="177">
        <v>0.01</v>
      </c>
      <c r="H341" s="178">
        <f t="shared" si="2"/>
        <v>0</v>
      </c>
      <c r="I341" s="179"/>
    </row>
    <row r="342" ht="15.75" customHeight="1">
      <c r="A342" s="7"/>
      <c r="D342" s="62"/>
      <c r="E342" s="30"/>
      <c r="F342" s="54">
        <f t="shared" si="3"/>
        <v>0</v>
      </c>
      <c r="G342" s="177">
        <v>0.01</v>
      </c>
      <c r="H342" s="178">
        <f t="shared" si="2"/>
        <v>0</v>
      </c>
      <c r="I342" s="179"/>
    </row>
    <row r="343" ht="15.75" customHeight="1">
      <c r="A343" s="7"/>
      <c r="D343" s="62"/>
      <c r="E343" s="30"/>
      <c r="F343" s="54">
        <f t="shared" si="3"/>
        <v>0</v>
      </c>
      <c r="G343" s="177">
        <v>0.01</v>
      </c>
      <c r="H343" s="178">
        <f t="shared" si="2"/>
        <v>0</v>
      </c>
      <c r="I343" s="179"/>
    </row>
    <row r="344" ht="15.75" customHeight="1">
      <c r="A344" s="7"/>
      <c r="D344" s="62"/>
      <c r="E344" s="30"/>
      <c r="F344" s="54">
        <f t="shared" si="3"/>
        <v>0</v>
      </c>
      <c r="G344" s="177">
        <v>0.01</v>
      </c>
      <c r="H344" s="178">
        <f t="shared" si="2"/>
        <v>0</v>
      </c>
      <c r="I344" s="179"/>
    </row>
    <row r="345" ht="15.75" customHeight="1">
      <c r="A345" s="7"/>
      <c r="D345" s="62"/>
      <c r="E345" s="30"/>
      <c r="F345" s="54">
        <f t="shared" si="3"/>
        <v>0</v>
      </c>
      <c r="G345" s="177">
        <v>0.01</v>
      </c>
      <c r="H345" s="178">
        <f t="shared" si="2"/>
        <v>0</v>
      </c>
      <c r="I345" s="179"/>
    </row>
    <row r="346" ht="15.75" customHeight="1">
      <c r="A346" s="7"/>
      <c r="D346" s="62"/>
      <c r="E346" s="30"/>
      <c r="F346" s="54">
        <f t="shared" si="3"/>
        <v>0</v>
      </c>
      <c r="G346" s="177">
        <v>0.01</v>
      </c>
      <c r="H346" s="178">
        <f t="shared" si="2"/>
        <v>0</v>
      </c>
      <c r="I346" s="179"/>
    </row>
    <row r="347" ht="15.75" customHeight="1">
      <c r="A347" s="7"/>
      <c r="D347" s="62"/>
      <c r="E347" s="30"/>
      <c r="F347" s="54">
        <f t="shared" si="3"/>
        <v>0</v>
      </c>
      <c r="G347" s="177">
        <v>0.01</v>
      </c>
      <c r="H347" s="178">
        <f t="shared" si="2"/>
        <v>0</v>
      </c>
      <c r="I347" s="179"/>
    </row>
    <row r="348" ht="15.75" customHeight="1">
      <c r="A348" s="7"/>
      <c r="D348" s="62"/>
      <c r="E348" s="30"/>
      <c r="F348" s="54">
        <f t="shared" si="3"/>
        <v>0</v>
      </c>
      <c r="G348" s="177">
        <v>0.01</v>
      </c>
      <c r="H348" s="178">
        <f t="shared" si="2"/>
        <v>0</v>
      </c>
      <c r="I348" s="179"/>
    </row>
    <row r="349" ht="15.75" customHeight="1">
      <c r="A349" s="7"/>
      <c r="D349" s="62"/>
      <c r="E349" s="30"/>
      <c r="F349" s="54">
        <f t="shared" si="3"/>
        <v>0</v>
      </c>
      <c r="G349" s="177">
        <v>0.01</v>
      </c>
      <c r="H349" s="178">
        <f t="shared" si="2"/>
        <v>0</v>
      </c>
      <c r="I349" s="179"/>
    </row>
    <row r="350" ht="15.75" customHeight="1">
      <c r="A350" s="7"/>
      <c r="D350" s="62"/>
      <c r="E350" s="30"/>
      <c r="F350" s="54">
        <f t="shared" si="3"/>
        <v>0</v>
      </c>
      <c r="G350" s="177">
        <v>0.01</v>
      </c>
      <c r="H350" s="178">
        <f t="shared" si="2"/>
        <v>0</v>
      </c>
      <c r="I350" s="179"/>
    </row>
    <row r="351" ht="15.75" customHeight="1">
      <c r="A351" s="7"/>
      <c r="D351" s="62"/>
      <c r="E351" s="30"/>
      <c r="F351" s="54">
        <f t="shared" si="3"/>
        <v>0</v>
      </c>
      <c r="G351" s="177">
        <v>0.01</v>
      </c>
      <c r="H351" s="178">
        <f t="shared" si="2"/>
        <v>0</v>
      </c>
      <c r="I351" s="179"/>
    </row>
    <row r="352" ht="15.75" customHeight="1">
      <c r="A352" s="7"/>
      <c r="D352" s="62"/>
      <c r="E352" s="30"/>
      <c r="F352" s="54">
        <f t="shared" si="3"/>
        <v>0</v>
      </c>
      <c r="G352" s="177">
        <v>0.01</v>
      </c>
      <c r="H352" s="178">
        <f t="shared" si="2"/>
        <v>0</v>
      </c>
      <c r="I352" s="179"/>
    </row>
    <row r="353" ht="15.75" customHeight="1">
      <c r="A353" s="7"/>
      <c r="D353" s="62"/>
      <c r="E353" s="30"/>
      <c r="F353" s="54">
        <f t="shared" si="3"/>
        <v>0</v>
      </c>
      <c r="G353" s="177">
        <v>0.01</v>
      </c>
      <c r="H353" s="178">
        <f t="shared" si="2"/>
        <v>0</v>
      </c>
      <c r="I353" s="179"/>
    </row>
    <row r="354" ht="15.75" customHeight="1">
      <c r="A354" s="7"/>
      <c r="D354" s="62"/>
      <c r="E354" s="30"/>
      <c r="F354" s="54">
        <f t="shared" si="3"/>
        <v>0</v>
      </c>
      <c r="G354" s="177">
        <v>0.01</v>
      </c>
      <c r="H354" s="178">
        <f t="shared" si="2"/>
        <v>0</v>
      </c>
      <c r="I354" s="179"/>
    </row>
    <row r="355" ht="15.75" customHeight="1">
      <c r="A355" s="7"/>
      <c r="D355" s="62"/>
      <c r="E355" s="30"/>
      <c r="F355" s="54">
        <f t="shared" si="3"/>
        <v>0</v>
      </c>
      <c r="G355" s="177">
        <v>0.01</v>
      </c>
      <c r="H355" s="178">
        <f t="shared" si="2"/>
        <v>0</v>
      </c>
      <c r="I355" s="179"/>
    </row>
    <row r="356" ht="15.75" customHeight="1">
      <c r="A356" s="7"/>
      <c r="D356" s="62"/>
      <c r="E356" s="30"/>
      <c r="F356" s="54">
        <f t="shared" si="3"/>
        <v>0</v>
      </c>
      <c r="G356" s="177">
        <v>0.01</v>
      </c>
      <c r="H356" s="178">
        <f t="shared" si="2"/>
        <v>0</v>
      </c>
      <c r="I356" s="179"/>
    </row>
    <row r="357" ht="15.75" customHeight="1">
      <c r="A357" s="7"/>
      <c r="D357" s="62"/>
      <c r="E357" s="30"/>
      <c r="F357" s="54">
        <f t="shared" si="3"/>
        <v>0</v>
      </c>
      <c r="G357" s="177">
        <v>0.01</v>
      </c>
      <c r="H357" s="178">
        <f t="shared" si="2"/>
        <v>0</v>
      </c>
      <c r="I357" s="179"/>
    </row>
    <row r="358" ht="15.75" customHeight="1">
      <c r="A358" s="7"/>
      <c r="D358" s="62"/>
      <c r="E358" s="30"/>
      <c r="F358" s="54">
        <f t="shared" si="3"/>
        <v>0</v>
      </c>
      <c r="G358" s="177">
        <v>0.01</v>
      </c>
      <c r="H358" s="178">
        <f t="shared" si="2"/>
        <v>0</v>
      </c>
      <c r="I358" s="179"/>
    </row>
    <row r="359" ht="15.75" customHeight="1">
      <c r="A359" s="7"/>
      <c r="D359" s="62"/>
      <c r="E359" s="30"/>
      <c r="F359" s="54">
        <f t="shared" si="3"/>
        <v>0</v>
      </c>
      <c r="G359" s="177">
        <v>0.01</v>
      </c>
      <c r="H359" s="178">
        <f t="shared" si="2"/>
        <v>0</v>
      </c>
      <c r="I359" s="179"/>
    </row>
    <row r="360" ht="15.75" customHeight="1">
      <c r="A360" s="7"/>
      <c r="D360" s="62"/>
      <c r="E360" s="30"/>
      <c r="F360" s="54">
        <f t="shared" si="3"/>
        <v>0</v>
      </c>
      <c r="G360" s="177">
        <v>0.01</v>
      </c>
      <c r="H360" s="178">
        <f t="shared" si="2"/>
        <v>0</v>
      </c>
      <c r="I360" s="179"/>
    </row>
    <row r="361" ht="15.75" customHeight="1">
      <c r="A361" s="7"/>
      <c r="D361" s="62"/>
      <c r="E361" s="30"/>
      <c r="F361" s="54">
        <f t="shared" si="3"/>
        <v>0</v>
      </c>
      <c r="G361" s="177">
        <v>0.01</v>
      </c>
      <c r="H361" s="178">
        <f t="shared" si="2"/>
        <v>0</v>
      </c>
      <c r="I361" s="179"/>
    </row>
    <row r="362" ht="15.75" customHeight="1">
      <c r="A362" s="7"/>
      <c r="D362" s="62"/>
      <c r="E362" s="30"/>
      <c r="F362" s="54">
        <f t="shared" si="3"/>
        <v>0</v>
      </c>
      <c r="G362" s="177">
        <v>0.01</v>
      </c>
      <c r="H362" s="178">
        <f t="shared" si="2"/>
        <v>0</v>
      </c>
      <c r="I362" s="179"/>
    </row>
    <row r="363" ht="15.75" customHeight="1">
      <c r="A363" s="7"/>
      <c r="D363" s="62"/>
      <c r="E363" s="30"/>
      <c r="F363" s="54">
        <f t="shared" si="3"/>
        <v>0</v>
      </c>
      <c r="G363" s="177">
        <v>0.01</v>
      </c>
      <c r="H363" s="178">
        <f t="shared" si="2"/>
        <v>0</v>
      </c>
      <c r="I363" s="179"/>
    </row>
    <row r="364" ht="15.75" customHeight="1">
      <c r="A364" s="7"/>
      <c r="D364" s="62"/>
      <c r="E364" s="30"/>
      <c r="F364" s="54">
        <f t="shared" si="3"/>
        <v>0</v>
      </c>
      <c r="G364" s="177">
        <v>0.01</v>
      </c>
      <c r="H364" s="178">
        <f t="shared" si="2"/>
        <v>0</v>
      </c>
      <c r="I364" s="179"/>
    </row>
    <row r="365" ht="15.75" customHeight="1">
      <c r="A365" s="7"/>
      <c r="D365" s="62"/>
      <c r="E365" s="30"/>
      <c r="F365" s="54">
        <f t="shared" si="3"/>
        <v>0</v>
      </c>
      <c r="G365" s="177">
        <v>0.01</v>
      </c>
      <c r="H365" s="178">
        <f t="shared" si="2"/>
        <v>0</v>
      </c>
      <c r="I365" s="179"/>
    </row>
    <row r="366" ht="15.75" customHeight="1">
      <c r="A366" s="7"/>
      <c r="D366" s="62"/>
      <c r="E366" s="30"/>
      <c r="F366" s="54">
        <f t="shared" si="3"/>
        <v>0</v>
      </c>
      <c r="G366" s="177">
        <v>0.01</v>
      </c>
      <c r="H366" s="178">
        <f t="shared" si="2"/>
        <v>0</v>
      </c>
      <c r="I366" s="179"/>
    </row>
    <row r="367" ht="15.75" customHeight="1">
      <c r="A367" s="7"/>
      <c r="D367" s="62"/>
      <c r="E367" s="30"/>
      <c r="F367" s="54">
        <f t="shared" si="3"/>
        <v>0</v>
      </c>
      <c r="G367" s="177">
        <v>0.01</v>
      </c>
      <c r="H367" s="178">
        <f t="shared" si="2"/>
        <v>0</v>
      </c>
      <c r="I367" s="179"/>
    </row>
    <row r="368" ht="15.75" customHeight="1">
      <c r="A368" s="7"/>
      <c r="D368" s="62"/>
      <c r="E368" s="30"/>
      <c r="F368" s="54">
        <f t="shared" si="3"/>
        <v>0</v>
      </c>
      <c r="G368" s="177">
        <v>0.01</v>
      </c>
      <c r="H368" s="178">
        <f t="shared" si="2"/>
        <v>0</v>
      </c>
      <c r="I368" s="179"/>
    </row>
    <row r="369" ht="15.75" customHeight="1">
      <c r="A369" s="7"/>
      <c r="D369" s="62"/>
      <c r="E369" s="30"/>
      <c r="F369" s="54">
        <f t="shared" si="3"/>
        <v>0</v>
      </c>
      <c r="G369" s="47"/>
      <c r="H369" s="178">
        <f t="shared" si="2"/>
        <v>0</v>
      </c>
      <c r="I369" s="179"/>
    </row>
    <row r="370" ht="15.75" customHeight="1">
      <c r="A370" s="7"/>
      <c r="D370" s="62"/>
      <c r="E370" s="30"/>
      <c r="F370" s="54">
        <f t="shared" si="3"/>
        <v>0</v>
      </c>
      <c r="G370" s="47"/>
      <c r="H370" s="178">
        <f t="shared" si="2"/>
        <v>0</v>
      </c>
      <c r="I370" s="179"/>
    </row>
    <row r="371" ht="15.75" customHeight="1">
      <c r="A371" s="7"/>
      <c r="D371" s="62"/>
      <c r="E371" s="30"/>
      <c r="F371" s="54">
        <f t="shared" si="3"/>
        <v>0</v>
      </c>
      <c r="G371" s="47"/>
      <c r="H371" s="178">
        <f t="shared" si="2"/>
        <v>0</v>
      </c>
      <c r="I371" s="179"/>
    </row>
    <row r="372" ht="15.75" customHeight="1">
      <c r="A372" s="7"/>
      <c r="D372" s="62"/>
      <c r="E372" s="30"/>
      <c r="F372" s="54">
        <f t="shared" si="3"/>
        <v>0</v>
      </c>
      <c r="G372" s="47"/>
      <c r="H372" s="178">
        <f t="shared" si="2"/>
        <v>0</v>
      </c>
      <c r="I372" s="179"/>
    </row>
    <row r="373" ht="15.75" customHeight="1">
      <c r="A373" s="7"/>
      <c r="D373" s="62"/>
      <c r="E373" s="30"/>
      <c r="F373" s="54">
        <f t="shared" si="3"/>
        <v>0</v>
      </c>
      <c r="G373" s="47"/>
      <c r="H373" s="178">
        <f t="shared" si="2"/>
        <v>0</v>
      </c>
      <c r="I373" s="179"/>
    </row>
    <row r="374" ht="15.75" customHeight="1">
      <c r="A374" s="7"/>
      <c r="D374" s="62"/>
      <c r="E374" s="30"/>
      <c r="F374" s="54">
        <f t="shared" si="3"/>
        <v>0</v>
      </c>
      <c r="G374" s="47"/>
      <c r="H374" s="178">
        <f t="shared" si="2"/>
        <v>0</v>
      </c>
      <c r="I374" s="179"/>
    </row>
    <row r="375" ht="15.75" customHeight="1">
      <c r="A375" s="7"/>
      <c r="D375" s="62"/>
      <c r="E375" s="30"/>
      <c r="F375" s="54">
        <f t="shared" si="3"/>
        <v>0</v>
      </c>
      <c r="G375" s="47"/>
      <c r="H375" s="178">
        <f t="shared" si="2"/>
        <v>0</v>
      </c>
      <c r="I375" s="179"/>
    </row>
    <row r="376" ht="15.75" customHeight="1">
      <c r="A376" s="7"/>
      <c r="D376" s="62"/>
      <c r="E376" s="30"/>
      <c r="F376" s="54">
        <f t="shared" si="3"/>
        <v>0</v>
      </c>
      <c r="G376" s="47"/>
      <c r="H376" s="178">
        <f t="shared" si="2"/>
        <v>0</v>
      </c>
      <c r="I376" s="179"/>
    </row>
    <row r="377" ht="15.75" customHeight="1">
      <c r="A377" s="7"/>
      <c r="D377" s="62"/>
      <c r="E377" s="30"/>
      <c r="F377" s="54">
        <f t="shared" si="3"/>
        <v>0</v>
      </c>
      <c r="G377" s="47"/>
      <c r="H377" s="178">
        <f t="shared" si="2"/>
        <v>0</v>
      </c>
      <c r="I377" s="179"/>
    </row>
    <row r="378" ht="15.75" customHeight="1">
      <c r="A378" s="7"/>
      <c r="D378" s="62"/>
      <c r="E378" s="30"/>
      <c r="F378" s="54">
        <f t="shared" si="3"/>
        <v>0</v>
      </c>
      <c r="G378" s="47"/>
      <c r="H378" s="178">
        <f t="shared" si="2"/>
        <v>0</v>
      </c>
      <c r="I378" s="179"/>
    </row>
    <row r="379" ht="15.75" customHeight="1">
      <c r="A379" s="7"/>
      <c r="D379" s="62"/>
      <c r="E379" s="30"/>
      <c r="F379" s="54">
        <f t="shared" si="3"/>
        <v>0</v>
      </c>
      <c r="G379" s="47"/>
      <c r="H379" s="178">
        <f t="shared" si="2"/>
        <v>0</v>
      </c>
      <c r="I379" s="179"/>
    </row>
    <row r="380" ht="15.75" customHeight="1">
      <c r="A380" s="7"/>
      <c r="D380" s="62"/>
      <c r="E380" s="30"/>
      <c r="F380" s="54">
        <f t="shared" si="3"/>
        <v>0</v>
      </c>
      <c r="G380" s="47"/>
      <c r="H380" s="178">
        <f t="shared" si="2"/>
        <v>0</v>
      </c>
      <c r="I380" s="179"/>
    </row>
    <row r="381" ht="15.75" customHeight="1">
      <c r="A381" s="7"/>
      <c r="D381" s="62"/>
      <c r="E381" s="30"/>
      <c r="F381" s="54">
        <f t="shared" si="3"/>
        <v>0</v>
      </c>
      <c r="G381" s="47"/>
      <c r="H381" s="178">
        <f t="shared" si="2"/>
        <v>0</v>
      </c>
      <c r="I381" s="179"/>
    </row>
    <row r="382" ht="15.75" customHeight="1">
      <c r="A382" s="7"/>
      <c r="D382" s="62"/>
      <c r="E382" s="30"/>
      <c r="F382" s="54">
        <f t="shared" si="3"/>
        <v>0</v>
      </c>
      <c r="G382" s="47"/>
      <c r="H382" s="178">
        <f t="shared" si="2"/>
        <v>0</v>
      </c>
      <c r="I382" s="179"/>
    </row>
    <row r="383" ht="15.75" customHeight="1">
      <c r="A383" s="7"/>
      <c r="D383" s="62"/>
      <c r="E383" s="30"/>
      <c r="F383" s="54">
        <f t="shared" si="3"/>
        <v>0</v>
      </c>
      <c r="G383" s="47"/>
      <c r="H383" s="178">
        <f t="shared" si="2"/>
        <v>0</v>
      </c>
      <c r="I383" s="179"/>
    </row>
    <row r="384" ht="15.75" customHeight="1">
      <c r="A384" s="7"/>
      <c r="D384" s="62"/>
      <c r="E384" s="30"/>
      <c r="F384" s="54">
        <f t="shared" si="3"/>
        <v>0</v>
      </c>
      <c r="G384" s="47"/>
      <c r="H384" s="178">
        <f t="shared" si="2"/>
        <v>0</v>
      </c>
      <c r="I384" s="179"/>
    </row>
    <row r="385" ht="15.75" customHeight="1">
      <c r="A385" s="7"/>
      <c r="D385" s="62"/>
      <c r="E385" s="30"/>
      <c r="F385" s="54">
        <f t="shared" si="3"/>
        <v>0</v>
      </c>
      <c r="G385" s="47"/>
      <c r="H385" s="178">
        <f t="shared" si="2"/>
        <v>0</v>
      </c>
      <c r="I385" s="179"/>
    </row>
    <row r="386" ht="15.75" customHeight="1">
      <c r="A386" s="7"/>
      <c r="D386" s="62"/>
      <c r="E386" s="30"/>
      <c r="F386" s="54">
        <f t="shared" si="3"/>
        <v>0</v>
      </c>
      <c r="G386" s="47"/>
      <c r="H386" s="178">
        <f t="shared" si="2"/>
        <v>0</v>
      </c>
      <c r="I386" s="179"/>
    </row>
    <row r="387" ht="15.75" customHeight="1">
      <c r="A387" s="7"/>
      <c r="D387" s="62"/>
      <c r="E387" s="30"/>
      <c r="F387" s="54">
        <f t="shared" si="3"/>
        <v>0</v>
      </c>
      <c r="G387" s="47"/>
      <c r="H387" s="178">
        <f t="shared" si="2"/>
        <v>0</v>
      </c>
      <c r="I387" s="179"/>
    </row>
    <row r="388" ht="15.75" customHeight="1">
      <c r="A388" s="7"/>
      <c r="D388" s="62"/>
      <c r="E388" s="30"/>
      <c r="F388" s="54">
        <f t="shared" si="3"/>
        <v>0</v>
      </c>
      <c r="G388" s="47"/>
      <c r="H388" s="178">
        <f t="shared" si="2"/>
        <v>0</v>
      </c>
      <c r="I388" s="179"/>
    </row>
    <row r="389" ht="15.75" customHeight="1">
      <c r="A389" s="7"/>
      <c r="D389" s="62"/>
      <c r="E389" s="30"/>
      <c r="F389" s="54">
        <f t="shared" si="3"/>
        <v>0</v>
      </c>
      <c r="G389" s="47"/>
      <c r="H389" s="178">
        <f t="shared" si="2"/>
        <v>0</v>
      </c>
      <c r="I389" s="179"/>
    </row>
    <row r="390" ht="15.75" customHeight="1">
      <c r="A390" s="7"/>
      <c r="D390" s="62"/>
      <c r="E390" s="30"/>
      <c r="F390" s="54">
        <f t="shared" si="3"/>
        <v>0</v>
      </c>
      <c r="G390" s="47"/>
      <c r="H390" s="178">
        <f t="shared" si="2"/>
        <v>0</v>
      </c>
      <c r="I390" s="179"/>
    </row>
    <row r="391" ht="15.75" customHeight="1">
      <c r="A391" s="7"/>
      <c r="D391" s="62"/>
      <c r="E391" s="30"/>
      <c r="F391" s="54">
        <f t="shared" si="3"/>
        <v>0</v>
      </c>
      <c r="G391" s="47"/>
      <c r="H391" s="178">
        <f t="shared" si="2"/>
        <v>0</v>
      </c>
      <c r="I391" s="179"/>
    </row>
    <row r="392" ht="15.75" customHeight="1">
      <c r="A392" s="7"/>
      <c r="D392" s="62"/>
      <c r="E392" s="30"/>
      <c r="F392" s="54">
        <f t="shared" si="3"/>
        <v>0</v>
      </c>
      <c r="G392" s="47"/>
      <c r="H392" s="178">
        <f t="shared" si="2"/>
        <v>0</v>
      </c>
      <c r="I392" s="179"/>
    </row>
    <row r="393" ht="15.75" customHeight="1">
      <c r="A393" s="7"/>
      <c r="D393" s="62"/>
      <c r="E393" s="30"/>
      <c r="F393" s="54">
        <f t="shared" si="3"/>
        <v>0</v>
      </c>
      <c r="G393" s="47"/>
      <c r="H393" s="178">
        <f t="shared" si="2"/>
        <v>0</v>
      </c>
      <c r="I393" s="179"/>
    </row>
    <row r="394" ht="15.75" customHeight="1">
      <c r="A394" s="7"/>
      <c r="D394" s="62"/>
      <c r="E394" s="30"/>
      <c r="F394" s="54">
        <f t="shared" si="3"/>
        <v>0</v>
      </c>
      <c r="G394" s="47"/>
      <c r="H394" s="178">
        <f t="shared" si="2"/>
        <v>0</v>
      </c>
      <c r="I394" s="179"/>
    </row>
    <row r="395" ht="15.75" customHeight="1">
      <c r="A395" s="7"/>
      <c r="D395" s="62"/>
      <c r="E395" s="30"/>
      <c r="F395" s="54">
        <f t="shared" si="3"/>
        <v>0</v>
      </c>
      <c r="G395" s="47"/>
      <c r="H395" s="178">
        <f t="shared" si="2"/>
        <v>0</v>
      </c>
      <c r="I395" s="179"/>
    </row>
    <row r="396" ht="15.75" customHeight="1">
      <c r="A396" s="7"/>
      <c r="D396" s="62"/>
      <c r="E396" s="30"/>
      <c r="F396" s="54">
        <f t="shared" si="3"/>
        <v>0</v>
      </c>
      <c r="G396" s="47"/>
      <c r="H396" s="178">
        <f t="shared" si="2"/>
        <v>0</v>
      </c>
      <c r="I396" s="179"/>
    </row>
    <row r="397" ht="15.75" customHeight="1">
      <c r="A397" s="7"/>
      <c r="D397" s="62"/>
      <c r="E397" s="30"/>
      <c r="F397" s="54">
        <f t="shared" si="3"/>
        <v>0</v>
      </c>
      <c r="G397" s="47"/>
      <c r="H397" s="178">
        <f t="shared" si="2"/>
        <v>0</v>
      </c>
      <c r="I397" s="179"/>
    </row>
    <row r="398" ht="15.75" customHeight="1">
      <c r="A398" s="7"/>
      <c r="D398" s="62"/>
      <c r="E398" s="30"/>
      <c r="F398" s="54">
        <f t="shared" si="3"/>
        <v>0</v>
      </c>
      <c r="G398" s="47"/>
      <c r="H398" s="178">
        <f t="shared" si="2"/>
        <v>0</v>
      </c>
      <c r="I398" s="179"/>
    </row>
    <row r="399" ht="15.75" customHeight="1">
      <c r="A399" s="7"/>
      <c r="D399" s="62"/>
      <c r="E399" s="30"/>
      <c r="F399" s="54">
        <f t="shared" si="3"/>
        <v>0</v>
      </c>
      <c r="G399" s="47"/>
      <c r="H399" s="178">
        <f t="shared" si="2"/>
        <v>0</v>
      </c>
      <c r="I399" s="179"/>
    </row>
    <row r="400" ht="15.75" customHeight="1">
      <c r="A400" s="7"/>
      <c r="D400" s="62"/>
      <c r="E400" s="30"/>
      <c r="F400" s="54">
        <f t="shared" si="3"/>
        <v>0</v>
      </c>
      <c r="G400" s="47"/>
      <c r="H400" s="178">
        <f t="shared" si="2"/>
        <v>0</v>
      </c>
      <c r="I400" s="179"/>
    </row>
    <row r="401" ht="15.75" customHeight="1">
      <c r="A401" s="7"/>
      <c r="D401" s="62"/>
      <c r="E401" s="30"/>
      <c r="F401" s="54">
        <f t="shared" si="3"/>
        <v>0</v>
      </c>
      <c r="G401" s="47"/>
      <c r="H401" s="178">
        <f t="shared" si="2"/>
        <v>0</v>
      </c>
      <c r="I401" s="179"/>
    </row>
    <row r="402" ht="15.75" customHeight="1">
      <c r="A402" s="7"/>
      <c r="D402" s="62"/>
      <c r="E402" s="30"/>
      <c r="F402" s="54">
        <f t="shared" si="3"/>
        <v>0</v>
      </c>
      <c r="G402" s="47"/>
      <c r="H402" s="178">
        <f t="shared" si="2"/>
        <v>0</v>
      </c>
      <c r="I402" s="179"/>
    </row>
    <row r="403" ht="15.75" customHeight="1">
      <c r="A403" s="7"/>
      <c r="D403" s="62"/>
      <c r="E403" s="30"/>
      <c r="F403" s="54">
        <f t="shared" si="3"/>
        <v>0</v>
      </c>
      <c r="G403" s="47"/>
      <c r="H403" s="178">
        <f t="shared" si="2"/>
        <v>0</v>
      </c>
      <c r="I403" s="179"/>
    </row>
    <row r="404" ht="15.75" customHeight="1">
      <c r="A404" s="7"/>
      <c r="D404" s="62"/>
      <c r="E404" s="30"/>
      <c r="F404" s="54">
        <f t="shared" si="3"/>
        <v>0</v>
      </c>
      <c r="G404" s="47"/>
      <c r="H404" s="178">
        <f t="shared" si="2"/>
        <v>0</v>
      </c>
      <c r="I404" s="179"/>
    </row>
    <row r="405" ht="15.75" customHeight="1">
      <c r="A405" s="7"/>
      <c r="D405" s="62"/>
      <c r="E405" s="30"/>
      <c r="F405" s="54">
        <f t="shared" si="3"/>
        <v>0</v>
      </c>
      <c r="G405" s="47"/>
      <c r="H405" s="178">
        <f t="shared" si="2"/>
        <v>0</v>
      </c>
      <c r="I405" s="179"/>
    </row>
    <row r="406" ht="15.75" customHeight="1">
      <c r="A406" s="7"/>
      <c r="D406" s="62"/>
      <c r="E406" s="30"/>
      <c r="F406" s="54">
        <f t="shared" si="3"/>
        <v>0</v>
      </c>
      <c r="G406" s="47"/>
      <c r="H406" s="178">
        <f t="shared" si="2"/>
        <v>0</v>
      </c>
      <c r="I406" s="179"/>
    </row>
    <row r="407" ht="15.75" customHeight="1">
      <c r="A407" s="7"/>
      <c r="D407" s="62"/>
      <c r="E407" s="30"/>
      <c r="F407" s="54">
        <f t="shared" si="3"/>
        <v>0</v>
      </c>
      <c r="G407" s="47"/>
      <c r="H407" s="178">
        <f t="shared" si="2"/>
        <v>0</v>
      </c>
      <c r="I407" s="179"/>
    </row>
    <row r="408" ht="15.75" customHeight="1">
      <c r="A408" s="7"/>
      <c r="D408" s="62"/>
      <c r="E408" s="30"/>
      <c r="F408" s="54">
        <f t="shared" si="3"/>
        <v>0</v>
      </c>
      <c r="G408" s="47"/>
      <c r="H408" s="178">
        <f t="shared" si="2"/>
        <v>0</v>
      </c>
      <c r="I408" s="179"/>
    </row>
    <row r="409" ht="15.75" customHeight="1">
      <c r="A409" s="7"/>
      <c r="D409" s="62"/>
      <c r="E409" s="30"/>
      <c r="F409" s="54">
        <f t="shared" si="3"/>
        <v>0</v>
      </c>
      <c r="G409" s="47"/>
      <c r="H409" s="178">
        <f t="shared" si="2"/>
        <v>0</v>
      </c>
      <c r="I409" s="179"/>
    </row>
    <row r="410" ht="15.75" customHeight="1">
      <c r="A410" s="7"/>
      <c r="D410" s="62"/>
      <c r="E410" s="30"/>
      <c r="F410" s="54">
        <f t="shared" si="3"/>
        <v>0</v>
      </c>
      <c r="G410" s="47"/>
      <c r="H410" s="178">
        <f t="shared" si="2"/>
        <v>0</v>
      </c>
      <c r="I410" s="179"/>
    </row>
    <row r="411" ht="15.75" customHeight="1">
      <c r="A411" s="7"/>
      <c r="D411" s="62"/>
      <c r="E411" s="30"/>
      <c r="F411" s="54">
        <f t="shared" si="3"/>
        <v>0</v>
      </c>
      <c r="G411" s="47"/>
      <c r="H411" s="178">
        <f t="shared" si="2"/>
        <v>0</v>
      </c>
      <c r="I411" s="179"/>
    </row>
    <row r="412" ht="15.75" customHeight="1">
      <c r="A412" s="7"/>
      <c r="D412" s="62"/>
      <c r="E412" s="30"/>
      <c r="F412" s="54">
        <f t="shared" si="3"/>
        <v>0</v>
      </c>
      <c r="G412" s="47"/>
      <c r="H412" s="178">
        <f t="shared" si="2"/>
        <v>0</v>
      </c>
      <c r="I412" s="179"/>
    </row>
    <row r="413" ht="15.75" customHeight="1">
      <c r="A413" s="7"/>
      <c r="D413" s="62"/>
      <c r="E413" s="30"/>
      <c r="F413" s="54">
        <f t="shared" si="3"/>
        <v>0</v>
      </c>
      <c r="G413" s="47"/>
      <c r="H413" s="178">
        <f t="shared" si="2"/>
        <v>0</v>
      </c>
      <c r="I413" s="179"/>
    </row>
    <row r="414" ht="15.75" customHeight="1">
      <c r="A414" s="7"/>
      <c r="D414" s="62"/>
      <c r="E414" s="30"/>
      <c r="F414" s="54">
        <f t="shared" si="3"/>
        <v>0</v>
      </c>
      <c r="G414" s="47"/>
      <c r="H414" s="178">
        <f t="shared" si="2"/>
        <v>0</v>
      </c>
      <c r="I414" s="179"/>
    </row>
    <row r="415" ht="15.75" customHeight="1">
      <c r="A415" s="7"/>
      <c r="D415" s="62"/>
      <c r="E415" s="30"/>
      <c r="F415" s="54">
        <f t="shared" si="3"/>
        <v>0</v>
      </c>
      <c r="G415" s="47"/>
      <c r="H415" s="178">
        <f t="shared" si="2"/>
        <v>0</v>
      </c>
      <c r="I415" s="179"/>
    </row>
    <row r="416" ht="15.75" customHeight="1">
      <c r="A416" s="7"/>
      <c r="D416" s="62"/>
      <c r="E416" s="30"/>
      <c r="F416" s="54">
        <f t="shared" si="3"/>
        <v>0</v>
      </c>
      <c r="G416" s="47"/>
      <c r="H416" s="178">
        <f t="shared" si="2"/>
        <v>0</v>
      </c>
      <c r="I416" s="179"/>
    </row>
    <row r="417" ht="15.75" customHeight="1">
      <c r="A417" s="7"/>
      <c r="D417" s="62"/>
      <c r="E417" s="30"/>
      <c r="F417" s="54">
        <f t="shared" si="3"/>
        <v>0</v>
      </c>
      <c r="G417" s="47"/>
      <c r="H417" s="178">
        <f t="shared" si="2"/>
        <v>0</v>
      </c>
      <c r="I417" s="179"/>
    </row>
    <row r="418" ht="15.75" customHeight="1">
      <c r="A418" s="7"/>
      <c r="D418" s="62"/>
      <c r="E418" s="30"/>
      <c r="F418" s="54">
        <f t="shared" si="3"/>
        <v>0</v>
      </c>
      <c r="G418" s="47"/>
      <c r="H418" s="178">
        <f t="shared" si="2"/>
        <v>0</v>
      </c>
      <c r="I418" s="179"/>
    </row>
    <row r="419" ht="15.75" customHeight="1">
      <c r="A419" s="7"/>
      <c r="D419" s="62"/>
      <c r="E419" s="30"/>
      <c r="F419" s="54">
        <f t="shared" si="3"/>
        <v>0</v>
      </c>
      <c r="G419" s="47"/>
      <c r="H419" s="178">
        <f t="shared" si="2"/>
        <v>0</v>
      </c>
      <c r="I419" s="179"/>
    </row>
    <row r="420" ht="15.75" customHeight="1">
      <c r="A420" s="7"/>
      <c r="D420" s="62"/>
      <c r="E420" s="30"/>
      <c r="F420" s="54">
        <f t="shared" si="3"/>
        <v>0</v>
      </c>
      <c r="G420" s="47"/>
      <c r="H420" s="178">
        <f t="shared" si="2"/>
        <v>0</v>
      </c>
      <c r="I420" s="179"/>
    </row>
    <row r="421" ht="15.75" customHeight="1">
      <c r="A421" s="7"/>
      <c r="D421" s="62"/>
      <c r="E421" s="30"/>
      <c r="F421" s="54">
        <f t="shared" si="3"/>
        <v>0</v>
      </c>
      <c r="G421" s="47"/>
      <c r="H421" s="178">
        <f t="shared" si="2"/>
        <v>0</v>
      </c>
      <c r="I421" s="179"/>
    </row>
    <row r="422" ht="15.75" customHeight="1">
      <c r="A422" s="7"/>
      <c r="D422" s="62"/>
      <c r="E422" s="30"/>
      <c r="F422" s="54">
        <f t="shared" si="3"/>
        <v>0</v>
      </c>
      <c r="G422" s="47"/>
      <c r="H422" s="178">
        <f t="shared" si="2"/>
        <v>0</v>
      </c>
      <c r="I422" s="179"/>
    </row>
    <row r="423" ht="15.75" customHeight="1">
      <c r="A423" s="7"/>
      <c r="D423" s="62"/>
      <c r="E423" s="30"/>
      <c r="F423" s="54">
        <f t="shared" si="3"/>
        <v>0</v>
      </c>
      <c r="G423" s="47"/>
      <c r="H423" s="178">
        <f t="shared" si="2"/>
        <v>0</v>
      </c>
      <c r="I423" s="179"/>
    </row>
    <row r="424" ht="15.75" customHeight="1">
      <c r="A424" s="7"/>
      <c r="D424" s="62"/>
      <c r="E424" s="30"/>
      <c r="F424" s="54">
        <f t="shared" si="3"/>
        <v>0</v>
      </c>
      <c r="G424" s="47"/>
      <c r="H424" s="178">
        <f t="shared" si="2"/>
        <v>0</v>
      </c>
      <c r="I424" s="179"/>
    </row>
    <row r="425" ht="15.75" customHeight="1">
      <c r="A425" s="7"/>
      <c r="D425" s="62"/>
      <c r="E425" s="30"/>
      <c r="F425" s="54">
        <f t="shared" si="3"/>
        <v>0</v>
      </c>
      <c r="G425" s="47"/>
      <c r="H425" s="178">
        <f t="shared" si="2"/>
        <v>0</v>
      </c>
      <c r="I425" s="179"/>
    </row>
    <row r="426" ht="15.75" customHeight="1">
      <c r="A426" s="7"/>
      <c r="D426" s="62"/>
      <c r="E426" s="30"/>
      <c r="F426" s="54">
        <f t="shared" si="3"/>
        <v>0</v>
      </c>
      <c r="G426" s="47"/>
      <c r="H426" s="178">
        <f t="shared" si="2"/>
        <v>0</v>
      </c>
      <c r="I426" s="179"/>
    </row>
    <row r="427" ht="15.75" customHeight="1">
      <c r="A427" s="7"/>
      <c r="D427" s="62"/>
      <c r="E427" s="30"/>
      <c r="F427" s="54">
        <f t="shared" si="3"/>
        <v>0</v>
      </c>
      <c r="G427" s="47"/>
      <c r="H427" s="178">
        <f t="shared" si="2"/>
        <v>0</v>
      </c>
      <c r="I427" s="179"/>
    </row>
    <row r="428" ht="15.75" customHeight="1">
      <c r="A428" s="7"/>
      <c r="D428" s="62"/>
      <c r="E428" s="30"/>
      <c r="F428" s="54">
        <f t="shared" si="3"/>
        <v>0</v>
      </c>
      <c r="G428" s="47"/>
      <c r="H428" s="178">
        <f t="shared" si="2"/>
        <v>0</v>
      </c>
      <c r="I428" s="179"/>
    </row>
    <row r="429" ht="15.75" customHeight="1">
      <c r="A429" s="7"/>
      <c r="D429" s="62"/>
      <c r="E429" s="30"/>
      <c r="F429" s="54">
        <f t="shared" si="3"/>
        <v>0</v>
      </c>
      <c r="G429" s="47"/>
      <c r="H429" s="178">
        <f t="shared" si="2"/>
        <v>0</v>
      </c>
      <c r="I429" s="179"/>
    </row>
    <row r="430" ht="15.75" customHeight="1">
      <c r="A430" s="7"/>
      <c r="D430" s="62"/>
      <c r="E430" s="30"/>
      <c r="F430" s="54">
        <f t="shared" si="3"/>
        <v>0</v>
      </c>
      <c r="G430" s="47"/>
      <c r="H430" s="178">
        <f t="shared" si="2"/>
        <v>0</v>
      </c>
      <c r="I430" s="179"/>
    </row>
    <row r="431" ht="15.75" customHeight="1">
      <c r="A431" s="7"/>
      <c r="D431" s="62"/>
      <c r="E431" s="30"/>
      <c r="F431" s="54">
        <f t="shared" si="3"/>
        <v>0</v>
      </c>
      <c r="G431" s="47"/>
      <c r="H431" s="178">
        <f t="shared" si="2"/>
        <v>0</v>
      </c>
      <c r="I431" s="179"/>
    </row>
    <row r="432" ht="15.75" customHeight="1">
      <c r="A432" s="7"/>
      <c r="D432" s="62"/>
      <c r="E432" s="30"/>
      <c r="F432" s="54">
        <f t="shared" si="3"/>
        <v>0</v>
      </c>
      <c r="G432" s="47"/>
      <c r="H432" s="178">
        <f t="shared" si="2"/>
        <v>0</v>
      </c>
      <c r="I432" s="179"/>
    </row>
    <row r="433" ht="15.75" customHeight="1">
      <c r="A433" s="7"/>
      <c r="D433" s="62"/>
      <c r="E433" s="30"/>
      <c r="F433" s="54">
        <f t="shared" si="3"/>
        <v>0</v>
      </c>
      <c r="G433" s="47"/>
      <c r="H433" s="178">
        <f t="shared" si="2"/>
        <v>0</v>
      </c>
      <c r="I433" s="179"/>
    </row>
    <row r="434" ht="15.75" customHeight="1">
      <c r="A434" s="7"/>
      <c r="D434" s="62"/>
      <c r="E434" s="30"/>
      <c r="F434" s="54">
        <f t="shared" si="3"/>
        <v>0</v>
      </c>
      <c r="G434" s="47"/>
      <c r="H434" s="178">
        <f t="shared" si="2"/>
        <v>0</v>
      </c>
      <c r="I434" s="179"/>
    </row>
    <row r="435" ht="15.75" customHeight="1">
      <c r="A435" s="7"/>
      <c r="D435" s="62"/>
      <c r="E435" s="30"/>
      <c r="F435" s="54">
        <f t="shared" si="3"/>
        <v>0</v>
      </c>
      <c r="G435" s="47"/>
      <c r="H435" s="178">
        <f t="shared" si="2"/>
        <v>0</v>
      </c>
      <c r="I435" s="179"/>
    </row>
    <row r="436" ht="15.75" customHeight="1">
      <c r="A436" s="7"/>
      <c r="D436" s="62"/>
      <c r="E436" s="30"/>
      <c r="F436" s="54">
        <f t="shared" si="3"/>
        <v>0</v>
      </c>
      <c r="G436" s="47"/>
      <c r="H436" s="178">
        <f t="shared" si="2"/>
        <v>0</v>
      </c>
      <c r="I436" s="179"/>
    </row>
    <row r="437" ht="15.75" customHeight="1">
      <c r="A437" s="7"/>
      <c r="D437" s="62"/>
      <c r="E437" s="30"/>
      <c r="F437" s="54">
        <f t="shared" si="3"/>
        <v>0</v>
      </c>
      <c r="G437" s="47"/>
      <c r="H437" s="178">
        <f t="shared" si="2"/>
        <v>0</v>
      </c>
      <c r="I437" s="179"/>
    </row>
    <row r="438" ht="15.75" customHeight="1">
      <c r="A438" s="7"/>
      <c r="D438" s="62"/>
      <c r="E438" s="30"/>
      <c r="F438" s="54">
        <f t="shared" si="3"/>
        <v>0</v>
      </c>
      <c r="G438" s="47"/>
      <c r="H438" s="178">
        <f t="shared" si="2"/>
        <v>0</v>
      </c>
      <c r="I438" s="179"/>
    </row>
    <row r="439" ht="15.75" customHeight="1">
      <c r="A439" s="7"/>
      <c r="D439" s="62"/>
      <c r="E439" s="30"/>
      <c r="F439" s="54">
        <f t="shared" si="3"/>
        <v>0</v>
      </c>
      <c r="G439" s="47"/>
      <c r="H439" s="178">
        <f t="shared" si="2"/>
        <v>0</v>
      </c>
      <c r="I439" s="179"/>
    </row>
    <row r="440" ht="15.75" customHeight="1">
      <c r="A440" s="7"/>
      <c r="D440" s="62"/>
      <c r="E440" s="30"/>
      <c r="F440" s="54">
        <f t="shared" si="3"/>
        <v>0</v>
      </c>
      <c r="G440" s="47"/>
      <c r="H440" s="178">
        <f t="shared" si="2"/>
        <v>0</v>
      </c>
      <c r="I440" s="179"/>
    </row>
    <row r="441" ht="15.75" customHeight="1">
      <c r="A441" s="7"/>
      <c r="D441" s="62"/>
      <c r="E441" s="30"/>
      <c r="F441" s="54">
        <f t="shared" si="3"/>
        <v>0</v>
      </c>
      <c r="G441" s="47"/>
      <c r="H441" s="178">
        <f t="shared" si="2"/>
        <v>0</v>
      </c>
      <c r="I441" s="179"/>
    </row>
    <row r="442" ht="15.75" customHeight="1">
      <c r="A442" s="7"/>
      <c r="D442" s="62"/>
      <c r="E442" s="30"/>
      <c r="F442" s="54">
        <f t="shared" si="3"/>
        <v>0</v>
      </c>
      <c r="G442" s="47"/>
      <c r="H442" s="178">
        <f t="shared" si="2"/>
        <v>0</v>
      </c>
      <c r="I442" s="179"/>
    </row>
    <row r="443" ht="15.75" customHeight="1">
      <c r="A443" s="7"/>
      <c r="D443" s="62"/>
      <c r="E443" s="30"/>
      <c r="F443" s="54">
        <f t="shared" si="3"/>
        <v>0</v>
      </c>
      <c r="G443" s="47"/>
      <c r="H443" s="178">
        <f t="shared" si="2"/>
        <v>0</v>
      </c>
      <c r="I443" s="179"/>
    </row>
    <row r="444" ht="15.75" customHeight="1">
      <c r="A444" s="7"/>
      <c r="D444" s="62"/>
      <c r="E444" s="30"/>
      <c r="F444" s="54">
        <f t="shared" si="3"/>
        <v>0</v>
      </c>
      <c r="G444" s="47"/>
      <c r="H444" s="178">
        <f t="shared" si="2"/>
        <v>0</v>
      </c>
      <c r="I444" s="179"/>
    </row>
    <row r="445" ht="15.75" customHeight="1">
      <c r="A445" s="7"/>
      <c r="D445" s="62"/>
      <c r="E445" s="30"/>
      <c r="F445" s="54">
        <f t="shared" si="3"/>
        <v>0</v>
      </c>
      <c r="G445" s="47"/>
      <c r="H445" s="178">
        <f t="shared" si="2"/>
        <v>0</v>
      </c>
      <c r="I445" s="179"/>
    </row>
    <row r="446" ht="15.75" customHeight="1">
      <c r="A446" s="7"/>
      <c r="D446" s="62"/>
      <c r="E446" s="30"/>
      <c r="F446" s="54">
        <f t="shared" si="3"/>
        <v>0</v>
      </c>
      <c r="G446" s="47"/>
      <c r="H446" s="178">
        <f t="shared" si="2"/>
        <v>0</v>
      </c>
      <c r="I446" s="179"/>
    </row>
    <row r="447" ht="15.75" customHeight="1">
      <c r="A447" s="7"/>
      <c r="D447" s="62"/>
      <c r="E447" s="30"/>
      <c r="F447" s="54">
        <f t="shared" si="3"/>
        <v>0</v>
      </c>
      <c r="G447" s="47"/>
      <c r="H447" s="178">
        <f t="shared" si="2"/>
        <v>0</v>
      </c>
      <c r="I447" s="179"/>
    </row>
    <row r="448" ht="15.75" customHeight="1">
      <c r="A448" s="7"/>
      <c r="D448" s="62"/>
      <c r="E448" s="30"/>
      <c r="F448" s="54">
        <f t="shared" si="3"/>
        <v>0</v>
      </c>
      <c r="G448" s="47"/>
      <c r="H448" s="178">
        <f t="shared" si="2"/>
        <v>0</v>
      </c>
      <c r="I448" s="179"/>
    </row>
    <row r="449" ht="15.75" customHeight="1">
      <c r="A449" s="7"/>
      <c r="D449" s="62"/>
      <c r="E449" s="30"/>
      <c r="F449" s="54">
        <f t="shared" si="3"/>
        <v>0</v>
      </c>
      <c r="G449" s="47"/>
      <c r="H449" s="178">
        <f t="shared" si="2"/>
        <v>0</v>
      </c>
      <c r="I449" s="179"/>
    </row>
    <row r="450" ht="15.75" customHeight="1">
      <c r="A450" s="7"/>
      <c r="D450" s="62"/>
      <c r="E450" s="30"/>
      <c r="F450" s="54">
        <f t="shared" si="3"/>
        <v>0</v>
      </c>
      <c r="G450" s="47"/>
      <c r="H450" s="178">
        <f t="shared" si="2"/>
        <v>0</v>
      </c>
      <c r="I450" s="179"/>
    </row>
    <row r="451" ht="15.75" customHeight="1">
      <c r="A451" s="7"/>
      <c r="D451" s="62"/>
      <c r="E451" s="30"/>
      <c r="F451" s="54">
        <f t="shared" si="3"/>
        <v>0</v>
      </c>
      <c r="G451" s="47"/>
      <c r="H451" s="178">
        <f t="shared" si="2"/>
        <v>0</v>
      </c>
      <c r="I451" s="179"/>
    </row>
    <row r="452" ht="15.75" customHeight="1">
      <c r="A452" s="7"/>
      <c r="D452" s="62"/>
      <c r="E452" s="30"/>
      <c r="F452" s="54">
        <f t="shared" si="3"/>
        <v>0</v>
      </c>
      <c r="G452" s="47"/>
      <c r="H452" s="178">
        <f t="shared" si="2"/>
        <v>0</v>
      </c>
      <c r="I452" s="179"/>
    </row>
    <row r="453" ht="15.75" customHeight="1">
      <c r="A453" s="7"/>
      <c r="D453" s="62"/>
      <c r="E453" s="30"/>
      <c r="F453" s="54">
        <f t="shared" si="3"/>
        <v>0</v>
      </c>
      <c r="G453" s="47"/>
      <c r="H453" s="178">
        <f t="shared" si="2"/>
        <v>0</v>
      </c>
      <c r="I453" s="179"/>
    </row>
    <row r="454" ht="15.75" customHeight="1">
      <c r="A454" s="7"/>
      <c r="D454" s="62"/>
      <c r="E454" s="30"/>
      <c r="F454" s="54">
        <f t="shared" si="3"/>
        <v>0</v>
      </c>
      <c r="G454" s="47"/>
      <c r="H454" s="178">
        <f t="shared" si="2"/>
        <v>0</v>
      </c>
      <c r="I454" s="179"/>
    </row>
    <row r="455" ht="15.75" customHeight="1">
      <c r="A455" s="7"/>
      <c r="D455" s="62"/>
      <c r="E455" s="30"/>
      <c r="F455" s="54">
        <f t="shared" si="3"/>
        <v>0</v>
      </c>
      <c r="G455" s="47"/>
      <c r="H455" s="178">
        <f t="shared" si="2"/>
        <v>0</v>
      </c>
      <c r="I455" s="179"/>
    </row>
    <row r="456" ht="15.75" customHeight="1">
      <c r="A456" s="7"/>
      <c r="D456" s="62"/>
      <c r="E456" s="30"/>
      <c r="F456" s="54">
        <f t="shared" si="3"/>
        <v>0</v>
      </c>
      <c r="G456" s="47"/>
      <c r="H456" s="178">
        <f t="shared" si="2"/>
        <v>0</v>
      </c>
      <c r="I456" s="179"/>
    </row>
    <row r="457" ht="15.75" customHeight="1">
      <c r="A457" s="7"/>
      <c r="D457" s="62"/>
      <c r="E457" s="30"/>
      <c r="F457" s="54">
        <f t="shared" si="3"/>
        <v>0</v>
      </c>
      <c r="G457" s="47"/>
      <c r="H457" s="178">
        <f t="shared" si="2"/>
        <v>0</v>
      </c>
      <c r="I457" s="179"/>
    </row>
    <row r="458" ht="15.75" customHeight="1">
      <c r="A458" s="7"/>
      <c r="D458" s="62"/>
      <c r="E458" s="30"/>
      <c r="F458" s="54">
        <f t="shared" si="3"/>
        <v>0</v>
      </c>
      <c r="G458" s="47"/>
      <c r="H458" s="178">
        <f t="shared" si="2"/>
        <v>0</v>
      </c>
      <c r="I458" s="179"/>
    </row>
    <row r="459" ht="15.75" customHeight="1">
      <c r="A459" s="7"/>
      <c r="D459" s="62"/>
      <c r="E459" s="30"/>
      <c r="F459" s="54">
        <f t="shared" si="3"/>
        <v>0</v>
      </c>
      <c r="G459" s="47"/>
      <c r="H459" s="178">
        <f t="shared" si="2"/>
        <v>0</v>
      </c>
      <c r="I459" s="179"/>
    </row>
    <row r="460" ht="15.75" customHeight="1">
      <c r="A460" s="7"/>
      <c r="D460" s="62"/>
      <c r="E460" s="30"/>
      <c r="F460" s="54">
        <f t="shared" si="3"/>
        <v>0</v>
      </c>
      <c r="G460" s="47"/>
      <c r="H460" s="178">
        <f t="shared" si="2"/>
        <v>0</v>
      </c>
      <c r="I460" s="179"/>
    </row>
    <row r="461" ht="15.75" customHeight="1">
      <c r="A461" s="7"/>
      <c r="D461" s="62"/>
      <c r="E461" s="30"/>
      <c r="F461" s="54">
        <f t="shared" si="3"/>
        <v>0</v>
      </c>
      <c r="G461" s="47"/>
      <c r="H461" s="178">
        <f t="shared" si="2"/>
        <v>0</v>
      </c>
      <c r="I461" s="179"/>
    </row>
    <row r="462" ht="15.75" customHeight="1">
      <c r="A462" s="7"/>
      <c r="D462" s="62"/>
      <c r="E462" s="30"/>
      <c r="F462" s="54">
        <f t="shared" si="3"/>
        <v>0</v>
      </c>
      <c r="G462" s="47"/>
      <c r="H462" s="178">
        <f t="shared" si="2"/>
        <v>0</v>
      </c>
      <c r="I462" s="179"/>
    </row>
    <row r="463" ht="15.75" customHeight="1">
      <c r="A463" s="7"/>
      <c r="D463" s="62"/>
      <c r="E463" s="30"/>
      <c r="F463" s="54">
        <f t="shared" si="3"/>
        <v>0</v>
      </c>
      <c r="G463" s="47"/>
      <c r="H463" s="178">
        <f t="shared" si="2"/>
        <v>0</v>
      </c>
      <c r="I463" s="179"/>
    </row>
    <row r="464" ht="15.75" customHeight="1">
      <c r="A464" s="7"/>
      <c r="D464" s="62"/>
      <c r="E464" s="30"/>
      <c r="F464" s="54">
        <f t="shared" si="3"/>
        <v>0</v>
      </c>
      <c r="G464" s="47"/>
      <c r="H464" s="178">
        <f t="shared" si="2"/>
        <v>0</v>
      </c>
      <c r="I464" s="179"/>
    </row>
    <row r="465" ht="15.75" customHeight="1">
      <c r="A465" s="7"/>
      <c r="D465" s="62"/>
      <c r="E465" s="30"/>
      <c r="F465" s="54">
        <f t="shared" si="3"/>
        <v>0</v>
      </c>
      <c r="G465" s="47"/>
      <c r="H465" s="178">
        <f t="shared" si="2"/>
        <v>0</v>
      </c>
      <c r="I465" s="179"/>
    </row>
    <row r="466" ht="15.75" customHeight="1">
      <c r="A466" s="7"/>
      <c r="D466" s="62"/>
      <c r="E466" s="30"/>
      <c r="F466" s="54">
        <f t="shared" si="3"/>
        <v>0</v>
      </c>
      <c r="G466" s="47"/>
      <c r="H466" s="178">
        <f t="shared" si="2"/>
        <v>0</v>
      </c>
      <c r="I466" s="179"/>
    </row>
    <row r="467" ht="15.75" customHeight="1">
      <c r="A467" s="7"/>
      <c r="D467" s="62"/>
      <c r="E467" s="30"/>
      <c r="F467" s="54">
        <f t="shared" si="3"/>
        <v>0</v>
      </c>
      <c r="G467" s="47"/>
      <c r="H467" s="178">
        <f t="shared" si="2"/>
        <v>0</v>
      </c>
      <c r="I467" s="179"/>
    </row>
    <row r="468" ht="15.75" customHeight="1">
      <c r="A468" s="7"/>
      <c r="D468" s="62"/>
      <c r="E468" s="30"/>
      <c r="F468" s="54">
        <f t="shared" si="3"/>
        <v>0</v>
      </c>
      <c r="G468" s="47"/>
      <c r="H468" s="178">
        <f t="shared" si="2"/>
        <v>0</v>
      </c>
      <c r="I468" s="179"/>
    </row>
    <row r="469" ht="15.75" customHeight="1">
      <c r="A469" s="7"/>
      <c r="D469" s="62"/>
      <c r="E469" s="30"/>
      <c r="F469" s="54">
        <f t="shared" si="3"/>
        <v>0</v>
      </c>
      <c r="G469" s="47"/>
      <c r="H469" s="178">
        <f t="shared" si="2"/>
        <v>0</v>
      </c>
      <c r="I469" s="179"/>
    </row>
    <row r="470" ht="15.75" customHeight="1">
      <c r="A470" s="7"/>
      <c r="D470" s="62"/>
      <c r="E470" s="30"/>
      <c r="F470" s="54">
        <f t="shared" si="3"/>
        <v>0</v>
      </c>
      <c r="G470" s="47"/>
      <c r="H470" s="178">
        <f t="shared" si="2"/>
        <v>0</v>
      </c>
      <c r="I470" s="179"/>
    </row>
    <row r="471" ht="15.75" customHeight="1">
      <c r="A471" s="7"/>
      <c r="D471" s="62"/>
      <c r="E471" s="30"/>
      <c r="F471" s="54">
        <f t="shared" si="3"/>
        <v>0</v>
      </c>
      <c r="G471" s="47"/>
      <c r="H471" s="178">
        <f t="shared" si="2"/>
        <v>0</v>
      </c>
      <c r="I471" s="179"/>
    </row>
    <row r="472" ht="15.75" customHeight="1">
      <c r="A472" s="7"/>
      <c r="D472" s="62"/>
      <c r="E472" s="30"/>
      <c r="F472" s="54">
        <f t="shared" si="3"/>
        <v>0</v>
      </c>
      <c r="G472" s="47"/>
      <c r="H472" s="178">
        <f t="shared" si="2"/>
        <v>0</v>
      </c>
      <c r="I472" s="179"/>
    </row>
    <row r="473" ht="15.75" customHeight="1">
      <c r="A473" s="7"/>
      <c r="D473" s="62"/>
      <c r="E473" s="30"/>
      <c r="F473" s="54">
        <f t="shared" si="3"/>
        <v>0</v>
      </c>
      <c r="G473" s="47"/>
      <c r="H473" s="178">
        <f t="shared" si="2"/>
        <v>0</v>
      </c>
      <c r="I473" s="179"/>
    </row>
    <row r="474" ht="15.75" customHeight="1">
      <c r="A474" s="7"/>
      <c r="D474" s="62"/>
      <c r="E474" s="30"/>
      <c r="F474" s="54">
        <f t="shared" si="3"/>
        <v>0</v>
      </c>
      <c r="G474" s="47"/>
      <c r="H474" s="178">
        <f t="shared" si="2"/>
        <v>0</v>
      </c>
      <c r="I474" s="179"/>
    </row>
    <row r="475" ht="15.75" customHeight="1">
      <c r="A475" s="7"/>
      <c r="D475" s="62"/>
      <c r="E475" s="30"/>
      <c r="F475" s="54">
        <f t="shared" si="3"/>
        <v>0</v>
      </c>
      <c r="G475" s="47"/>
      <c r="H475" s="178">
        <f t="shared" si="2"/>
        <v>0</v>
      </c>
      <c r="I475" s="179"/>
    </row>
    <row r="476" ht="15.75" customHeight="1">
      <c r="A476" s="7"/>
      <c r="D476" s="62"/>
      <c r="E476" s="30"/>
      <c r="F476" s="54">
        <f t="shared" si="3"/>
        <v>0</v>
      </c>
      <c r="G476" s="47"/>
      <c r="H476" s="178">
        <f t="shared" si="2"/>
        <v>0</v>
      </c>
      <c r="I476" s="179"/>
    </row>
    <row r="477" ht="15.75" customHeight="1">
      <c r="A477" s="7"/>
      <c r="D477" s="62"/>
      <c r="E477" s="30"/>
      <c r="F477" s="54">
        <f t="shared" si="3"/>
        <v>0</v>
      </c>
      <c r="G477" s="47"/>
      <c r="H477" s="178">
        <f t="shared" si="2"/>
        <v>0</v>
      </c>
      <c r="I477" s="179"/>
    </row>
    <row r="478" ht="15.75" customHeight="1">
      <c r="A478" s="7"/>
      <c r="D478" s="62"/>
      <c r="E478" s="30"/>
      <c r="F478" s="54">
        <f t="shared" si="3"/>
        <v>0</v>
      </c>
      <c r="G478" s="47"/>
      <c r="H478" s="178">
        <f t="shared" si="2"/>
        <v>0</v>
      </c>
      <c r="I478" s="179"/>
    </row>
    <row r="479" ht="15.75" customHeight="1">
      <c r="A479" s="7"/>
      <c r="D479" s="62"/>
      <c r="E479" s="30"/>
      <c r="F479" s="54">
        <f t="shared" si="3"/>
        <v>0</v>
      </c>
      <c r="G479" s="47"/>
      <c r="H479" s="178">
        <f t="shared" si="2"/>
        <v>0</v>
      </c>
      <c r="I479" s="179"/>
    </row>
    <row r="480" ht="15.75" customHeight="1">
      <c r="A480" s="7"/>
      <c r="D480" s="62"/>
      <c r="E480" s="30"/>
      <c r="F480" s="54">
        <f t="shared" si="3"/>
        <v>0</v>
      </c>
      <c r="G480" s="47"/>
      <c r="H480" s="178">
        <f t="shared" si="2"/>
        <v>0</v>
      </c>
      <c r="I480" s="179"/>
    </row>
    <row r="481" ht="15.75" customHeight="1">
      <c r="A481" s="7"/>
      <c r="D481" s="62"/>
      <c r="E481" s="30"/>
      <c r="F481" s="54">
        <f t="shared" si="3"/>
        <v>0</v>
      </c>
      <c r="G481" s="47"/>
      <c r="H481" s="178">
        <f t="shared" si="2"/>
        <v>0</v>
      </c>
      <c r="I481" s="179"/>
    </row>
    <row r="482" ht="15.75" customHeight="1">
      <c r="A482" s="7"/>
      <c r="D482" s="62"/>
      <c r="E482" s="30"/>
      <c r="F482" s="54">
        <f t="shared" si="3"/>
        <v>0</v>
      </c>
      <c r="G482" s="47"/>
      <c r="H482" s="178">
        <f t="shared" si="2"/>
        <v>0</v>
      </c>
      <c r="I482" s="179"/>
    </row>
    <row r="483" ht="15.75" customHeight="1">
      <c r="A483" s="7"/>
      <c r="D483" s="62"/>
      <c r="E483" s="30"/>
      <c r="F483" s="54">
        <f t="shared" si="3"/>
        <v>0</v>
      </c>
      <c r="G483" s="47"/>
      <c r="H483" s="178">
        <f t="shared" si="2"/>
        <v>0</v>
      </c>
      <c r="I483" s="179"/>
    </row>
    <row r="484" ht="15.75" customHeight="1">
      <c r="A484" s="7"/>
      <c r="D484" s="62"/>
      <c r="E484" s="30"/>
      <c r="F484" s="54">
        <f t="shared" si="3"/>
        <v>0</v>
      </c>
      <c r="G484" s="47"/>
      <c r="H484" s="178">
        <f t="shared" si="2"/>
        <v>0</v>
      </c>
      <c r="I484" s="179"/>
    </row>
    <row r="485" ht="15.75" customHeight="1">
      <c r="A485" s="7"/>
      <c r="D485" s="62"/>
      <c r="E485" s="30"/>
      <c r="F485" s="54">
        <f t="shared" si="3"/>
        <v>0</v>
      </c>
      <c r="G485" s="47"/>
      <c r="H485" s="178">
        <f t="shared" si="2"/>
        <v>0</v>
      </c>
      <c r="I485" s="179"/>
    </row>
    <row r="486" ht="15.75" customHeight="1">
      <c r="A486" s="7"/>
      <c r="D486" s="62"/>
      <c r="E486" s="30"/>
      <c r="F486" s="54">
        <f t="shared" si="3"/>
        <v>0</v>
      </c>
      <c r="G486" s="47"/>
      <c r="H486" s="178">
        <f t="shared" si="2"/>
        <v>0</v>
      </c>
      <c r="I486" s="179"/>
    </row>
    <row r="487" ht="15.75" customHeight="1">
      <c r="A487" s="7"/>
      <c r="D487" s="62"/>
      <c r="E487" s="30"/>
      <c r="F487" s="54">
        <f t="shared" si="3"/>
        <v>0</v>
      </c>
      <c r="G487" s="47"/>
      <c r="H487" s="178">
        <f t="shared" si="2"/>
        <v>0</v>
      </c>
      <c r="I487" s="179"/>
    </row>
    <row r="488" ht="15.75" customHeight="1">
      <c r="A488" s="7"/>
      <c r="D488" s="62"/>
      <c r="E488" s="30"/>
      <c r="F488" s="54">
        <f t="shared" si="3"/>
        <v>0</v>
      </c>
      <c r="G488" s="47"/>
      <c r="H488" s="178">
        <f t="shared" si="2"/>
        <v>0</v>
      </c>
      <c r="I488" s="179"/>
    </row>
    <row r="489" ht="15.75" customHeight="1">
      <c r="A489" s="7"/>
      <c r="D489" s="62"/>
      <c r="E489" s="30"/>
      <c r="F489" s="54">
        <f t="shared" si="3"/>
        <v>0</v>
      </c>
      <c r="G489" s="47"/>
      <c r="H489" s="178">
        <f t="shared" si="2"/>
        <v>0</v>
      </c>
      <c r="I489" s="179"/>
    </row>
    <row r="490" ht="15.75" customHeight="1">
      <c r="A490" s="7"/>
      <c r="D490" s="62"/>
      <c r="E490" s="30"/>
      <c r="F490" s="54">
        <f t="shared" si="3"/>
        <v>0</v>
      </c>
      <c r="G490" s="47"/>
      <c r="H490" s="178">
        <f t="shared" si="2"/>
        <v>0</v>
      </c>
      <c r="I490" s="179"/>
    </row>
    <row r="491" ht="15.75" customHeight="1">
      <c r="A491" s="7"/>
      <c r="D491" s="62"/>
      <c r="E491" s="30"/>
      <c r="F491" s="54">
        <f t="shared" si="3"/>
        <v>0</v>
      </c>
      <c r="G491" s="47"/>
      <c r="H491" s="178">
        <f t="shared" si="2"/>
        <v>0</v>
      </c>
      <c r="I491" s="179"/>
    </row>
    <row r="492" ht="15.75" customHeight="1">
      <c r="A492" s="7"/>
      <c r="D492" s="62"/>
      <c r="E492" s="30"/>
      <c r="F492" s="54">
        <f t="shared" si="3"/>
        <v>0</v>
      </c>
      <c r="G492" s="47"/>
      <c r="H492" s="178">
        <f t="shared" si="2"/>
        <v>0</v>
      </c>
      <c r="I492" s="179"/>
    </row>
    <row r="493" ht="15.75" customHeight="1">
      <c r="A493" s="7"/>
      <c r="D493" s="62"/>
      <c r="E493" s="30"/>
      <c r="F493" s="54">
        <f t="shared" si="3"/>
        <v>0</v>
      </c>
      <c r="G493" s="47"/>
      <c r="H493" s="178">
        <f t="shared" si="2"/>
        <v>0</v>
      </c>
      <c r="I493" s="179"/>
    </row>
    <row r="494" ht="15.75" customHeight="1">
      <c r="A494" s="7"/>
      <c r="D494" s="62"/>
      <c r="E494" s="30"/>
      <c r="F494" s="54">
        <f t="shared" si="3"/>
        <v>0</v>
      </c>
      <c r="G494" s="47"/>
      <c r="H494" s="178">
        <f t="shared" si="2"/>
        <v>0</v>
      </c>
      <c r="I494" s="179"/>
    </row>
    <row r="495" ht="15.75" customHeight="1">
      <c r="A495" s="7"/>
      <c r="D495" s="62"/>
      <c r="E495" s="30"/>
      <c r="F495" s="54">
        <f t="shared" si="3"/>
        <v>0</v>
      </c>
      <c r="G495" s="47"/>
      <c r="H495" s="178">
        <f t="shared" si="2"/>
        <v>0</v>
      </c>
      <c r="I495" s="179"/>
    </row>
    <row r="496" ht="15.75" customHeight="1">
      <c r="A496" s="7"/>
      <c r="D496" s="62"/>
      <c r="E496" s="30"/>
      <c r="F496" s="54">
        <f t="shared" si="3"/>
        <v>0</v>
      </c>
      <c r="G496" s="47"/>
      <c r="H496" s="178">
        <f t="shared" si="2"/>
        <v>0</v>
      </c>
      <c r="I496" s="179"/>
    </row>
    <row r="497" ht="15.75" customHeight="1">
      <c r="A497" s="7"/>
      <c r="D497" s="62"/>
      <c r="E497" s="30"/>
      <c r="F497" s="54">
        <f t="shared" si="3"/>
        <v>0</v>
      </c>
      <c r="G497" s="47"/>
      <c r="H497" s="178">
        <f t="shared" si="2"/>
        <v>0</v>
      </c>
      <c r="I497" s="179"/>
    </row>
    <row r="498" ht="15.75" customHeight="1">
      <c r="A498" s="7"/>
      <c r="D498" s="62"/>
      <c r="E498" s="30"/>
      <c r="F498" s="54">
        <f t="shared" si="3"/>
        <v>0</v>
      </c>
      <c r="G498" s="47"/>
      <c r="H498" s="178">
        <f t="shared" si="2"/>
        <v>0</v>
      </c>
      <c r="I498" s="179"/>
    </row>
    <row r="499" ht="15.75" customHeight="1">
      <c r="A499" s="7"/>
      <c r="D499" s="62"/>
      <c r="E499" s="30"/>
      <c r="F499" s="54">
        <f t="shared" si="3"/>
        <v>0</v>
      </c>
      <c r="G499" s="47"/>
      <c r="H499" s="178">
        <f t="shared" si="2"/>
        <v>0</v>
      </c>
      <c r="I499" s="179"/>
    </row>
    <row r="500" ht="15.75" customHeight="1">
      <c r="A500" s="7"/>
      <c r="D500" s="62"/>
      <c r="E500" s="30"/>
      <c r="F500" s="54">
        <f t="shared" si="3"/>
        <v>0</v>
      </c>
      <c r="G500" s="47"/>
      <c r="H500" s="178">
        <f t="shared" si="2"/>
        <v>0</v>
      </c>
      <c r="I500" s="179"/>
    </row>
    <row r="501" ht="15.75" customHeight="1">
      <c r="A501" s="7"/>
      <c r="D501" s="62"/>
      <c r="E501" s="30"/>
      <c r="F501" s="54">
        <f t="shared" si="3"/>
        <v>0</v>
      </c>
      <c r="G501" s="47"/>
      <c r="H501" s="178">
        <f t="shared" si="2"/>
        <v>0</v>
      </c>
      <c r="I501" s="179"/>
    </row>
    <row r="502" ht="15.75" customHeight="1">
      <c r="A502" s="7"/>
      <c r="D502" s="62"/>
      <c r="E502" s="30"/>
      <c r="F502" s="54">
        <f t="shared" si="3"/>
        <v>0</v>
      </c>
      <c r="G502" s="47"/>
      <c r="H502" s="178">
        <f t="shared" si="2"/>
        <v>0</v>
      </c>
      <c r="I502" s="179"/>
    </row>
    <row r="503" ht="15.75" customHeight="1">
      <c r="A503" s="7"/>
      <c r="D503" s="62"/>
      <c r="E503" s="30"/>
      <c r="F503" s="54">
        <f t="shared" si="3"/>
        <v>0</v>
      </c>
      <c r="G503" s="47"/>
      <c r="H503" s="178">
        <f t="shared" si="2"/>
        <v>0</v>
      </c>
      <c r="I503" s="179"/>
    </row>
    <row r="504" ht="15.75" customHeight="1">
      <c r="A504" s="7"/>
      <c r="D504" s="62"/>
      <c r="E504" s="30"/>
      <c r="F504" s="54">
        <f t="shared" si="3"/>
        <v>0</v>
      </c>
      <c r="G504" s="47"/>
      <c r="H504" s="178">
        <f t="shared" si="2"/>
        <v>0</v>
      </c>
      <c r="I504" s="179"/>
    </row>
    <row r="505" ht="15.75" customHeight="1">
      <c r="A505" s="7"/>
      <c r="D505" s="62"/>
      <c r="E505" s="30"/>
      <c r="F505" s="54">
        <f t="shared" si="3"/>
        <v>0</v>
      </c>
      <c r="G505" s="47"/>
      <c r="H505" s="178">
        <f t="shared" si="2"/>
        <v>0</v>
      </c>
      <c r="I505" s="179"/>
    </row>
    <row r="506" ht="15.75" customHeight="1">
      <c r="A506" s="7"/>
      <c r="D506" s="62"/>
      <c r="E506" s="30"/>
      <c r="F506" s="54">
        <f t="shared" si="3"/>
        <v>0</v>
      </c>
      <c r="G506" s="47"/>
      <c r="H506" s="178">
        <f t="shared" si="2"/>
        <v>0</v>
      </c>
      <c r="I506" s="179"/>
    </row>
    <row r="507" ht="15.75" customHeight="1">
      <c r="A507" s="7"/>
      <c r="D507" s="62"/>
      <c r="E507" s="30"/>
      <c r="F507" s="54">
        <f t="shared" si="3"/>
        <v>0</v>
      </c>
      <c r="G507" s="47"/>
      <c r="H507" s="178">
        <f t="shared" si="2"/>
        <v>0</v>
      </c>
      <c r="I507" s="179"/>
    </row>
    <row r="508" ht="15.75" customHeight="1">
      <c r="A508" s="7"/>
      <c r="D508" s="62"/>
      <c r="E508" s="30"/>
      <c r="F508" s="54">
        <f t="shared" si="3"/>
        <v>0</v>
      </c>
      <c r="G508" s="47"/>
      <c r="H508" s="178">
        <f t="shared" si="2"/>
        <v>0</v>
      </c>
      <c r="I508" s="179"/>
    </row>
    <row r="509" ht="15.75" customHeight="1">
      <c r="A509" s="7"/>
      <c r="D509" s="62"/>
      <c r="E509" s="30"/>
      <c r="F509" s="54">
        <f t="shared" si="3"/>
        <v>0</v>
      </c>
      <c r="G509" s="47"/>
      <c r="H509" s="178">
        <f t="shared" si="2"/>
        <v>0</v>
      </c>
      <c r="I509" s="179"/>
    </row>
    <row r="510" ht="15.75" customHeight="1">
      <c r="A510" s="7"/>
      <c r="D510" s="62"/>
      <c r="E510" s="30"/>
      <c r="F510" s="54">
        <f t="shared" si="3"/>
        <v>0</v>
      </c>
      <c r="G510" s="47"/>
      <c r="H510" s="178">
        <f t="shared" si="2"/>
        <v>0</v>
      </c>
      <c r="I510" s="179"/>
    </row>
    <row r="511" ht="15.75" customHeight="1">
      <c r="A511" s="7"/>
      <c r="D511" s="62"/>
      <c r="E511" s="30"/>
      <c r="F511" s="54">
        <f t="shared" si="3"/>
        <v>0</v>
      </c>
      <c r="G511" s="47"/>
      <c r="H511" s="178">
        <f t="shared" si="2"/>
        <v>0</v>
      </c>
      <c r="I511" s="179"/>
    </row>
    <row r="512" ht="15.75" customHeight="1">
      <c r="A512" s="7"/>
      <c r="D512" s="62"/>
      <c r="E512" s="30"/>
      <c r="F512" s="54">
        <f t="shared" si="3"/>
        <v>0</v>
      </c>
      <c r="G512" s="47"/>
      <c r="H512" s="178">
        <f t="shared" si="2"/>
        <v>0</v>
      </c>
      <c r="I512" s="179"/>
    </row>
    <row r="513" ht="15.75" customHeight="1">
      <c r="A513" s="7"/>
      <c r="D513" s="62"/>
      <c r="E513" s="30"/>
      <c r="F513" s="54">
        <f t="shared" si="3"/>
        <v>0</v>
      </c>
      <c r="G513" s="47"/>
      <c r="H513" s="178">
        <f t="shared" si="2"/>
        <v>0</v>
      </c>
      <c r="I513" s="179"/>
    </row>
    <row r="514" ht="15.75" customHeight="1">
      <c r="A514" s="7"/>
      <c r="D514" s="62"/>
      <c r="E514" s="30"/>
      <c r="F514" s="54">
        <f t="shared" si="3"/>
        <v>0</v>
      </c>
      <c r="G514" s="47"/>
      <c r="H514" s="178">
        <f t="shared" si="2"/>
        <v>0</v>
      </c>
      <c r="I514" s="179"/>
    </row>
    <row r="515" ht="15.75" customHeight="1">
      <c r="A515" s="7"/>
      <c r="D515" s="62"/>
      <c r="E515" s="30"/>
      <c r="F515" s="54">
        <f t="shared" si="3"/>
        <v>0</v>
      </c>
      <c r="G515" s="47"/>
      <c r="H515" s="178">
        <f t="shared" si="2"/>
        <v>0</v>
      </c>
      <c r="I515" s="179"/>
    </row>
    <row r="516" ht="15.75" customHeight="1">
      <c r="A516" s="7"/>
      <c r="D516" s="62"/>
      <c r="E516" s="30"/>
      <c r="F516" s="54">
        <f t="shared" si="3"/>
        <v>0</v>
      </c>
      <c r="G516" s="47"/>
      <c r="H516" s="178">
        <f t="shared" si="2"/>
        <v>0</v>
      </c>
      <c r="I516" s="179"/>
    </row>
    <row r="517" ht="15.75" customHeight="1">
      <c r="A517" s="7"/>
      <c r="D517" s="62"/>
      <c r="E517" s="30"/>
      <c r="F517" s="54">
        <f t="shared" si="3"/>
        <v>0</v>
      </c>
      <c r="G517" s="47"/>
      <c r="H517" s="178">
        <f t="shared" si="2"/>
        <v>0</v>
      </c>
      <c r="I517" s="179"/>
    </row>
    <row r="518" ht="15.75" customHeight="1">
      <c r="A518" s="7"/>
      <c r="D518" s="62"/>
      <c r="E518" s="30"/>
      <c r="F518" s="54">
        <f t="shared" si="3"/>
        <v>0</v>
      </c>
      <c r="G518" s="47"/>
      <c r="H518" s="178">
        <f t="shared" si="2"/>
        <v>0</v>
      </c>
      <c r="I518" s="179"/>
    </row>
    <row r="519" ht="15.75" customHeight="1">
      <c r="A519" s="7"/>
      <c r="D519" s="62"/>
      <c r="E519" s="30"/>
      <c r="F519" s="54">
        <f t="shared" si="3"/>
        <v>0</v>
      </c>
      <c r="G519" s="47"/>
      <c r="H519" s="178">
        <f t="shared" si="2"/>
        <v>0</v>
      </c>
      <c r="I519" s="179"/>
    </row>
    <row r="520" ht="15.75" customHeight="1">
      <c r="A520" s="7"/>
      <c r="D520" s="62"/>
      <c r="E520" s="30"/>
      <c r="F520" s="54">
        <f t="shared" si="3"/>
        <v>0</v>
      </c>
      <c r="G520" s="47"/>
      <c r="H520" s="178">
        <f t="shared" si="2"/>
        <v>0</v>
      </c>
      <c r="I520" s="179"/>
    </row>
    <row r="521" ht="15.75" customHeight="1">
      <c r="A521" s="7"/>
      <c r="D521" s="62"/>
      <c r="E521" s="30"/>
      <c r="F521" s="54">
        <f t="shared" si="3"/>
        <v>0</v>
      </c>
      <c r="G521" s="47"/>
      <c r="H521" s="178">
        <f t="shared" si="2"/>
        <v>0</v>
      </c>
      <c r="I521" s="179"/>
    </row>
    <row r="522" ht="15.75" customHeight="1">
      <c r="A522" s="7"/>
      <c r="D522" s="62"/>
      <c r="E522" s="30"/>
      <c r="F522" s="54">
        <f t="shared" si="3"/>
        <v>0</v>
      </c>
      <c r="G522" s="47"/>
      <c r="H522" s="178">
        <f t="shared" si="2"/>
        <v>0</v>
      </c>
      <c r="I522" s="179"/>
    </row>
    <row r="523" ht="15.75" customHeight="1">
      <c r="A523" s="7"/>
      <c r="D523" s="62"/>
      <c r="E523" s="30"/>
      <c r="F523" s="54">
        <f t="shared" si="3"/>
        <v>0</v>
      </c>
      <c r="G523" s="47"/>
      <c r="H523" s="178">
        <f t="shared" si="2"/>
        <v>0</v>
      </c>
      <c r="I523" s="179"/>
    </row>
    <row r="524" ht="15.75" customHeight="1">
      <c r="A524" s="7"/>
      <c r="D524" s="62"/>
      <c r="E524" s="30"/>
      <c r="F524" s="54">
        <f t="shared" si="3"/>
        <v>0</v>
      </c>
      <c r="G524" s="47"/>
      <c r="H524" s="178">
        <f t="shared" si="2"/>
        <v>0</v>
      </c>
      <c r="I524" s="179"/>
    </row>
    <row r="525" ht="15.75" customHeight="1">
      <c r="A525" s="7"/>
      <c r="D525" s="62"/>
      <c r="E525" s="30"/>
      <c r="F525" s="54">
        <f t="shared" si="3"/>
        <v>0</v>
      </c>
      <c r="G525" s="47"/>
      <c r="H525" s="178">
        <f t="shared" si="2"/>
        <v>0</v>
      </c>
      <c r="I525" s="179"/>
    </row>
    <row r="526" ht="15.75" customHeight="1">
      <c r="A526" s="7"/>
      <c r="D526" s="62"/>
      <c r="E526" s="30"/>
      <c r="F526" s="54">
        <f t="shared" si="3"/>
        <v>0</v>
      </c>
      <c r="G526" s="47"/>
      <c r="H526" s="178">
        <f t="shared" si="2"/>
        <v>0</v>
      </c>
      <c r="I526" s="179"/>
    </row>
    <row r="527" ht="15.75" customHeight="1">
      <c r="A527" s="7"/>
      <c r="D527" s="62"/>
      <c r="E527" s="30"/>
      <c r="F527" s="54">
        <f t="shared" si="3"/>
        <v>0</v>
      </c>
      <c r="G527" s="47"/>
      <c r="H527" s="178">
        <f t="shared" si="2"/>
        <v>0</v>
      </c>
      <c r="I527" s="179"/>
    </row>
    <row r="528" ht="15.75" customHeight="1">
      <c r="A528" s="7"/>
      <c r="D528" s="62"/>
      <c r="E528" s="30"/>
      <c r="F528" s="54">
        <f t="shared" si="3"/>
        <v>0</v>
      </c>
      <c r="G528" s="47"/>
      <c r="H528" s="178">
        <f t="shared" si="2"/>
        <v>0</v>
      </c>
      <c r="I528" s="179"/>
    </row>
    <row r="529" ht="15.75" customHeight="1">
      <c r="A529" s="7"/>
      <c r="D529" s="62"/>
      <c r="E529" s="30"/>
      <c r="F529" s="54">
        <f t="shared" si="3"/>
        <v>0</v>
      </c>
      <c r="G529" s="47"/>
      <c r="H529" s="178">
        <f t="shared" si="2"/>
        <v>0</v>
      </c>
      <c r="I529" s="179"/>
    </row>
    <row r="530" ht="15.75" customHeight="1">
      <c r="A530" s="7"/>
      <c r="D530" s="62"/>
      <c r="E530" s="30"/>
      <c r="F530" s="54">
        <f t="shared" si="3"/>
        <v>0</v>
      </c>
      <c r="G530" s="47"/>
      <c r="H530" s="178">
        <f t="shared" si="2"/>
        <v>0</v>
      </c>
      <c r="I530" s="179"/>
    </row>
    <row r="531" ht="15.75" customHeight="1">
      <c r="A531" s="7"/>
      <c r="D531" s="62"/>
      <c r="E531" s="30"/>
      <c r="F531" s="54">
        <f t="shared" si="3"/>
        <v>0</v>
      </c>
      <c r="G531" s="47"/>
      <c r="H531" s="178">
        <f t="shared" si="2"/>
        <v>0</v>
      </c>
      <c r="I531" s="179"/>
    </row>
    <row r="532" ht="15.75" customHeight="1">
      <c r="A532" s="7"/>
      <c r="D532" s="62"/>
      <c r="E532" s="30"/>
      <c r="F532" s="54">
        <f t="shared" si="3"/>
        <v>0</v>
      </c>
      <c r="G532" s="47"/>
      <c r="H532" s="178">
        <f t="shared" si="2"/>
        <v>0</v>
      </c>
      <c r="I532" s="179"/>
    </row>
    <row r="533" ht="15.75" customHeight="1">
      <c r="A533" s="7"/>
      <c r="D533" s="62"/>
      <c r="E533" s="30"/>
      <c r="F533" s="54">
        <f t="shared" si="3"/>
        <v>0</v>
      </c>
      <c r="G533" s="47"/>
      <c r="H533" s="178">
        <f t="shared" si="2"/>
        <v>0</v>
      </c>
      <c r="I533" s="179"/>
    </row>
    <row r="534" ht="15.75" customHeight="1">
      <c r="A534" s="7"/>
      <c r="D534" s="62"/>
      <c r="E534" s="30"/>
      <c r="F534" s="54">
        <f t="shared" si="3"/>
        <v>0</v>
      </c>
      <c r="G534" s="47"/>
      <c r="H534" s="178">
        <f t="shared" si="2"/>
        <v>0</v>
      </c>
      <c r="I534" s="179"/>
    </row>
    <row r="535" ht="15.75" customHeight="1">
      <c r="A535" s="7"/>
      <c r="D535" s="62"/>
      <c r="E535" s="30"/>
      <c r="F535" s="54">
        <f t="shared" si="3"/>
        <v>0</v>
      </c>
      <c r="G535" s="47"/>
      <c r="H535" s="178">
        <f t="shared" si="2"/>
        <v>0</v>
      </c>
      <c r="I535" s="179"/>
    </row>
    <row r="536" ht="15.75" customHeight="1">
      <c r="A536" s="7"/>
      <c r="D536" s="62"/>
      <c r="E536" s="30"/>
      <c r="F536" s="54">
        <f t="shared" si="3"/>
        <v>0</v>
      </c>
      <c r="G536" s="47"/>
      <c r="H536" s="178">
        <f t="shared" si="2"/>
        <v>0</v>
      </c>
      <c r="I536" s="179"/>
    </row>
    <row r="537" ht="15.75" customHeight="1">
      <c r="A537" s="7"/>
      <c r="D537" s="62"/>
      <c r="E537" s="30"/>
      <c r="F537" s="54">
        <f t="shared" si="3"/>
        <v>0</v>
      </c>
      <c r="G537" s="47"/>
      <c r="H537" s="178">
        <f t="shared" si="2"/>
        <v>0</v>
      </c>
      <c r="I537" s="179"/>
    </row>
    <row r="538" ht="15.75" customHeight="1">
      <c r="A538" s="7"/>
      <c r="D538" s="62"/>
      <c r="E538" s="30"/>
      <c r="F538" s="54">
        <f t="shared" si="3"/>
        <v>0</v>
      </c>
      <c r="G538" s="47"/>
      <c r="H538" s="178">
        <f t="shared" si="2"/>
        <v>0</v>
      </c>
      <c r="I538" s="179"/>
    </row>
    <row r="539" ht="15.75" customHeight="1">
      <c r="A539" s="7"/>
      <c r="D539" s="62"/>
      <c r="E539" s="30"/>
      <c r="F539" s="54">
        <f t="shared" si="3"/>
        <v>0</v>
      </c>
      <c r="G539" s="47"/>
      <c r="H539" s="178">
        <f t="shared" si="2"/>
        <v>0</v>
      </c>
      <c r="I539" s="179"/>
    </row>
    <row r="540" ht="15.75" customHeight="1">
      <c r="A540" s="7"/>
      <c r="D540" s="62"/>
      <c r="E540" s="30"/>
      <c r="F540" s="54">
        <f t="shared" si="3"/>
        <v>0</v>
      </c>
      <c r="G540" s="47"/>
      <c r="H540" s="178">
        <f t="shared" si="2"/>
        <v>0</v>
      </c>
      <c r="I540" s="179"/>
    </row>
    <row r="541" ht="15.75" customHeight="1">
      <c r="A541" s="7"/>
      <c r="D541" s="62"/>
      <c r="E541" s="30"/>
      <c r="F541" s="54">
        <f t="shared" si="3"/>
        <v>0</v>
      </c>
      <c r="G541" s="47"/>
      <c r="H541" s="178">
        <f t="shared" si="2"/>
        <v>0</v>
      </c>
      <c r="I541" s="179"/>
    </row>
    <row r="542" ht="15.75" customHeight="1">
      <c r="A542" s="7"/>
      <c r="D542" s="62"/>
      <c r="E542" s="30"/>
      <c r="F542" s="54">
        <f t="shared" si="3"/>
        <v>0</v>
      </c>
      <c r="G542" s="47"/>
      <c r="H542" s="178">
        <f t="shared" si="2"/>
        <v>0</v>
      </c>
      <c r="I542" s="179"/>
    </row>
    <row r="543" ht="15.75" customHeight="1">
      <c r="A543" s="7"/>
      <c r="D543" s="62"/>
      <c r="E543" s="30"/>
      <c r="F543" s="54">
        <f t="shared" si="3"/>
        <v>0</v>
      </c>
      <c r="G543" s="47"/>
      <c r="H543" s="178">
        <f t="shared" si="2"/>
        <v>0</v>
      </c>
      <c r="I543" s="179"/>
    </row>
    <row r="544" ht="15.75" customHeight="1">
      <c r="A544" s="7"/>
      <c r="D544" s="62"/>
      <c r="E544" s="30"/>
      <c r="F544" s="54">
        <f t="shared" si="3"/>
        <v>0</v>
      </c>
      <c r="G544" s="47"/>
      <c r="H544" s="178">
        <f t="shared" si="2"/>
        <v>0</v>
      </c>
      <c r="I544" s="179"/>
    </row>
    <row r="545" ht="15.75" customHeight="1">
      <c r="A545" s="7"/>
      <c r="D545" s="62"/>
      <c r="E545" s="30"/>
      <c r="F545" s="54">
        <f t="shared" si="3"/>
        <v>0</v>
      </c>
      <c r="G545" s="47"/>
      <c r="H545" s="178">
        <f t="shared" si="2"/>
        <v>0</v>
      </c>
      <c r="I545" s="179"/>
    </row>
    <row r="546" ht="15.75" customHeight="1">
      <c r="A546" s="7"/>
      <c r="D546" s="62"/>
      <c r="E546" s="30"/>
      <c r="F546" s="54">
        <f t="shared" si="3"/>
        <v>0</v>
      </c>
      <c r="G546" s="47"/>
      <c r="H546" s="178">
        <f t="shared" si="2"/>
        <v>0</v>
      </c>
      <c r="I546" s="179"/>
    </row>
    <row r="547" ht="15.75" customHeight="1">
      <c r="A547" s="7"/>
      <c r="D547" s="62"/>
      <c r="E547" s="30"/>
      <c r="F547" s="54">
        <f t="shared" si="3"/>
        <v>0</v>
      </c>
      <c r="G547" s="47"/>
      <c r="H547" s="178">
        <f t="shared" si="2"/>
        <v>0</v>
      </c>
      <c r="I547" s="179"/>
    </row>
    <row r="548" ht="15.75" customHeight="1">
      <c r="A548" s="7"/>
      <c r="D548" s="62"/>
      <c r="E548" s="30"/>
      <c r="F548" s="54">
        <f t="shared" si="3"/>
        <v>0</v>
      </c>
      <c r="G548" s="47"/>
      <c r="H548" s="178">
        <f t="shared" si="2"/>
        <v>0</v>
      </c>
      <c r="I548" s="179"/>
    </row>
    <row r="549" ht="15.75" customHeight="1">
      <c r="A549" s="7"/>
      <c r="D549" s="62"/>
      <c r="E549" s="30"/>
      <c r="F549" s="54">
        <f t="shared" si="3"/>
        <v>0</v>
      </c>
      <c r="G549" s="47"/>
      <c r="H549" s="178">
        <f t="shared" si="2"/>
        <v>0</v>
      </c>
      <c r="I549" s="179"/>
    </row>
    <row r="550" ht="15.75" customHeight="1">
      <c r="A550" s="7"/>
      <c r="D550" s="62"/>
      <c r="E550" s="30"/>
      <c r="F550" s="54">
        <f t="shared" si="3"/>
        <v>0</v>
      </c>
      <c r="G550" s="47"/>
      <c r="H550" s="178">
        <f t="shared" si="2"/>
        <v>0</v>
      </c>
      <c r="I550" s="179"/>
    </row>
    <row r="551" ht="15.75" customHeight="1">
      <c r="A551" s="7"/>
      <c r="D551" s="62"/>
      <c r="E551" s="30"/>
      <c r="F551" s="54">
        <f t="shared" si="3"/>
        <v>0</v>
      </c>
      <c r="G551" s="47"/>
      <c r="H551" s="178">
        <f t="shared" si="2"/>
        <v>0</v>
      </c>
      <c r="I551" s="179"/>
    </row>
    <row r="552" ht="15.75" customHeight="1">
      <c r="A552" s="7"/>
      <c r="D552" s="62"/>
      <c r="E552" s="30"/>
      <c r="F552" s="54">
        <f t="shared" si="3"/>
        <v>0</v>
      </c>
      <c r="G552" s="47"/>
      <c r="H552" s="178">
        <f t="shared" si="2"/>
        <v>0</v>
      </c>
      <c r="I552" s="179"/>
    </row>
    <row r="553" ht="15.75" customHeight="1">
      <c r="A553" s="7"/>
      <c r="D553" s="62"/>
      <c r="E553" s="30"/>
      <c r="F553" s="54">
        <f t="shared" si="3"/>
        <v>0</v>
      </c>
      <c r="G553" s="47"/>
      <c r="H553" s="178">
        <f t="shared" si="2"/>
        <v>0</v>
      </c>
      <c r="I553" s="179"/>
    </row>
    <row r="554" ht="15.75" customHeight="1">
      <c r="A554" s="7"/>
      <c r="D554" s="62"/>
      <c r="E554" s="30"/>
      <c r="F554" s="54">
        <f t="shared" si="3"/>
        <v>0</v>
      </c>
      <c r="G554" s="47"/>
      <c r="H554" s="178">
        <f t="shared" si="2"/>
        <v>0</v>
      </c>
      <c r="I554" s="179"/>
    </row>
    <row r="555" ht="15.75" customHeight="1">
      <c r="A555" s="7"/>
      <c r="D555" s="62"/>
      <c r="E555" s="30"/>
      <c r="F555" s="54">
        <f t="shared" si="3"/>
        <v>0</v>
      </c>
      <c r="G555" s="47"/>
      <c r="H555" s="178">
        <f t="shared" si="2"/>
        <v>0</v>
      </c>
      <c r="I555" s="179"/>
    </row>
    <row r="556" ht="15.75" customHeight="1">
      <c r="A556" s="7"/>
      <c r="D556" s="62"/>
      <c r="E556" s="30"/>
      <c r="F556" s="54">
        <f t="shared" si="3"/>
        <v>0</v>
      </c>
      <c r="G556" s="47"/>
      <c r="H556" s="178">
        <f t="shared" si="2"/>
        <v>0</v>
      </c>
      <c r="I556" s="179"/>
    </row>
    <row r="557" ht="15.75" customHeight="1">
      <c r="A557" s="7"/>
      <c r="D557" s="62"/>
      <c r="E557" s="30"/>
      <c r="F557" s="54">
        <f t="shared" si="3"/>
        <v>0</v>
      </c>
      <c r="G557" s="47"/>
      <c r="H557" s="178">
        <f t="shared" si="2"/>
        <v>0</v>
      </c>
      <c r="I557" s="179"/>
    </row>
    <row r="558" ht="15.75" customHeight="1">
      <c r="A558" s="7"/>
      <c r="D558" s="62"/>
      <c r="E558" s="30"/>
      <c r="F558" s="54">
        <f t="shared" si="3"/>
        <v>0</v>
      </c>
      <c r="G558" s="47"/>
      <c r="H558" s="178">
        <f t="shared" si="2"/>
        <v>0</v>
      </c>
      <c r="I558" s="179"/>
    </row>
    <row r="559" ht="15.75" customHeight="1">
      <c r="A559" s="7"/>
      <c r="D559" s="62"/>
      <c r="E559" s="30"/>
      <c r="F559" s="54">
        <f t="shared" si="3"/>
        <v>0</v>
      </c>
      <c r="G559" s="47"/>
      <c r="H559" s="178">
        <f t="shared" si="2"/>
        <v>0</v>
      </c>
      <c r="I559" s="179"/>
    </row>
    <row r="560" ht="15.75" customHeight="1">
      <c r="A560" s="7"/>
      <c r="D560" s="62"/>
      <c r="E560" s="30"/>
      <c r="F560" s="54">
        <f t="shared" si="3"/>
        <v>0</v>
      </c>
      <c r="G560" s="47"/>
      <c r="H560" s="178">
        <f t="shared" si="2"/>
        <v>0</v>
      </c>
      <c r="I560" s="179"/>
    </row>
    <row r="561" ht="15.75" customHeight="1">
      <c r="A561" s="7"/>
      <c r="D561" s="62"/>
      <c r="E561" s="30"/>
      <c r="F561" s="54">
        <f t="shared" si="3"/>
        <v>0</v>
      </c>
      <c r="G561" s="47"/>
      <c r="H561" s="178">
        <f t="shared" si="2"/>
        <v>0</v>
      </c>
      <c r="I561" s="179"/>
    </row>
    <row r="562" ht="15.75" customHeight="1">
      <c r="A562" s="7"/>
      <c r="D562" s="62"/>
      <c r="E562" s="30"/>
      <c r="F562" s="54">
        <f t="shared" si="3"/>
        <v>0</v>
      </c>
      <c r="G562" s="47"/>
      <c r="H562" s="178">
        <f t="shared" si="2"/>
        <v>0</v>
      </c>
      <c r="I562" s="179"/>
    </row>
    <row r="563" ht="15.75" customHeight="1">
      <c r="A563" s="7"/>
      <c r="D563" s="62"/>
      <c r="E563" s="30"/>
      <c r="F563" s="54">
        <f t="shared" si="3"/>
        <v>0</v>
      </c>
      <c r="G563" s="47"/>
      <c r="H563" s="178">
        <f t="shared" si="2"/>
        <v>0</v>
      </c>
      <c r="I563" s="179"/>
    </row>
    <row r="564" ht="15.75" customHeight="1">
      <c r="A564" s="7"/>
      <c r="D564" s="62"/>
      <c r="E564" s="30"/>
      <c r="F564" s="54">
        <f t="shared" si="3"/>
        <v>0</v>
      </c>
      <c r="G564" s="47"/>
      <c r="H564" s="178">
        <f t="shared" si="2"/>
        <v>0</v>
      </c>
      <c r="I564" s="179"/>
    </row>
    <row r="565" ht="15.75" customHeight="1">
      <c r="A565" s="7"/>
      <c r="D565" s="62"/>
      <c r="E565" s="30"/>
      <c r="F565" s="54">
        <f t="shared" si="3"/>
        <v>0</v>
      </c>
      <c r="G565" s="47"/>
      <c r="H565" s="178">
        <f t="shared" si="2"/>
        <v>0</v>
      </c>
      <c r="I565" s="179"/>
    </row>
    <row r="566" ht="15.75" customHeight="1">
      <c r="A566" s="7"/>
      <c r="D566" s="62"/>
      <c r="E566" s="30"/>
      <c r="F566" s="54">
        <f t="shared" si="3"/>
        <v>0</v>
      </c>
      <c r="G566" s="47"/>
      <c r="H566" s="178">
        <f t="shared" si="2"/>
        <v>0</v>
      </c>
      <c r="I566" s="179"/>
    </row>
    <row r="567" ht="15.75" customHeight="1">
      <c r="A567" s="7"/>
      <c r="D567" s="62"/>
      <c r="E567" s="30"/>
      <c r="F567" s="54">
        <f t="shared" si="3"/>
        <v>0</v>
      </c>
      <c r="G567" s="47"/>
      <c r="H567" s="178">
        <f t="shared" si="2"/>
        <v>0</v>
      </c>
      <c r="I567" s="179"/>
    </row>
    <row r="568" ht="15.75" customHeight="1">
      <c r="A568" s="7"/>
      <c r="D568" s="62"/>
      <c r="E568" s="30"/>
      <c r="F568" s="54">
        <f t="shared" si="3"/>
        <v>0</v>
      </c>
      <c r="G568" s="47"/>
      <c r="H568" s="178">
        <f t="shared" si="2"/>
        <v>0</v>
      </c>
      <c r="I568" s="179"/>
    </row>
    <row r="569" ht="15.75" customHeight="1">
      <c r="A569" s="7"/>
      <c r="D569" s="62"/>
      <c r="E569" s="30"/>
      <c r="F569" s="54">
        <f t="shared" si="3"/>
        <v>0</v>
      </c>
      <c r="G569" s="47"/>
      <c r="H569" s="178">
        <f t="shared" si="2"/>
        <v>0</v>
      </c>
      <c r="I569" s="179"/>
    </row>
    <row r="570" ht="15.75" customHeight="1">
      <c r="A570" s="7"/>
      <c r="D570" s="62"/>
      <c r="E570" s="30"/>
      <c r="F570" s="54">
        <f t="shared" si="3"/>
        <v>0</v>
      </c>
      <c r="G570" s="47"/>
      <c r="H570" s="178">
        <f t="shared" si="2"/>
        <v>0</v>
      </c>
      <c r="I570" s="179"/>
    </row>
    <row r="571" ht="15.75" customHeight="1">
      <c r="A571" s="7"/>
      <c r="D571" s="62"/>
      <c r="E571" s="30"/>
      <c r="F571" s="54">
        <f t="shared" si="3"/>
        <v>0</v>
      </c>
      <c r="G571" s="47"/>
      <c r="H571" s="178">
        <f t="shared" si="2"/>
        <v>0</v>
      </c>
      <c r="I571" s="179"/>
    </row>
    <row r="572" ht="15.75" customHeight="1">
      <c r="A572" s="7"/>
      <c r="D572" s="62"/>
      <c r="E572" s="30"/>
      <c r="F572" s="54">
        <f t="shared" si="3"/>
        <v>0</v>
      </c>
      <c r="G572" s="47"/>
      <c r="H572" s="178">
        <f t="shared" si="2"/>
        <v>0</v>
      </c>
      <c r="I572" s="179"/>
    </row>
    <row r="573" ht="15.75" customHeight="1">
      <c r="A573" s="7"/>
      <c r="D573" s="62"/>
      <c r="E573" s="30"/>
      <c r="F573" s="54">
        <f t="shared" si="3"/>
        <v>0</v>
      </c>
      <c r="G573" s="47"/>
      <c r="H573" s="178">
        <f t="shared" si="2"/>
        <v>0</v>
      </c>
      <c r="I573" s="179"/>
    </row>
    <row r="574" ht="15.75" customHeight="1">
      <c r="A574" s="7"/>
      <c r="D574" s="62"/>
      <c r="E574" s="30"/>
      <c r="F574" s="54">
        <f t="shared" si="3"/>
        <v>0</v>
      </c>
      <c r="G574" s="47"/>
      <c r="H574" s="178">
        <f t="shared" si="2"/>
        <v>0</v>
      </c>
      <c r="I574" s="179"/>
    </row>
    <row r="575" ht="15.75" customHeight="1">
      <c r="A575" s="7"/>
      <c r="D575" s="62"/>
      <c r="E575" s="30"/>
      <c r="F575" s="54">
        <f t="shared" si="3"/>
        <v>0</v>
      </c>
      <c r="G575" s="47"/>
      <c r="H575" s="178">
        <f t="shared" si="2"/>
        <v>0</v>
      </c>
      <c r="I575" s="179"/>
    </row>
    <row r="576" ht="15.75" customHeight="1">
      <c r="A576" s="7"/>
      <c r="D576" s="62"/>
      <c r="E576" s="30"/>
      <c r="F576" s="54">
        <f t="shared" si="3"/>
        <v>0</v>
      </c>
      <c r="G576" s="47"/>
      <c r="H576" s="178">
        <f t="shared" si="2"/>
        <v>0</v>
      </c>
      <c r="I576" s="179"/>
    </row>
    <row r="577" ht="15.75" customHeight="1">
      <c r="A577" s="7"/>
      <c r="D577" s="62"/>
      <c r="E577" s="30"/>
      <c r="F577" s="54">
        <f t="shared" si="3"/>
        <v>0</v>
      </c>
      <c r="G577" s="47"/>
      <c r="H577" s="178">
        <f t="shared" si="2"/>
        <v>0</v>
      </c>
      <c r="I577" s="179"/>
    </row>
    <row r="578" ht="15.75" customHeight="1">
      <c r="A578" s="7"/>
      <c r="D578" s="62"/>
      <c r="E578" s="30"/>
      <c r="F578" s="54">
        <f t="shared" si="3"/>
        <v>0</v>
      </c>
      <c r="G578" s="47"/>
      <c r="H578" s="178">
        <f t="shared" si="2"/>
        <v>0</v>
      </c>
      <c r="I578" s="179"/>
    </row>
    <row r="579" ht="15.75" customHeight="1">
      <c r="A579" s="7"/>
      <c r="D579" s="62"/>
      <c r="E579" s="30"/>
      <c r="F579" s="54">
        <f t="shared" si="3"/>
        <v>0</v>
      </c>
      <c r="G579" s="47"/>
      <c r="H579" s="178">
        <f t="shared" si="2"/>
        <v>0</v>
      </c>
      <c r="I579" s="179"/>
    </row>
    <row r="580" ht="15.75" customHeight="1">
      <c r="A580" s="7"/>
      <c r="D580" s="62"/>
      <c r="E580" s="30"/>
      <c r="F580" s="54">
        <f t="shared" si="3"/>
        <v>0</v>
      </c>
      <c r="G580" s="47"/>
      <c r="H580" s="178">
        <f t="shared" si="2"/>
        <v>0</v>
      </c>
      <c r="I580" s="179"/>
    </row>
    <row r="581" ht="15.75" customHeight="1">
      <c r="A581" s="7"/>
      <c r="D581" s="62"/>
      <c r="E581" s="30"/>
      <c r="F581" s="54">
        <f t="shared" si="3"/>
        <v>0</v>
      </c>
      <c r="G581" s="47"/>
      <c r="H581" s="178">
        <f t="shared" si="2"/>
        <v>0</v>
      </c>
      <c r="I581" s="179"/>
    </row>
    <row r="582" ht="15.75" customHeight="1">
      <c r="A582" s="7"/>
      <c r="D582" s="62"/>
      <c r="E582" s="30"/>
      <c r="F582" s="54">
        <f t="shared" si="3"/>
        <v>0</v>
      </c>
      <c r="G582" s="47"/>
      <c r="H582" s="178">
        <f t="shared" si="2"/>
        <v>0</v>
      </c>
      <c r="I582" s="179"/>
    </row>
    <row r="583" ht="15.75" customHeight="1">
      <c r="A583" s="7"/>
      <c r="D583" s="62"/>
      <c r="E583" s="30"/>
      <c r="F583" s="54">
        <f t="shared" si="3"/>
        <v>0</v>
      </c>
      <c r="G583" s="47"/>
      <c r="H583" s="178">
        <f t="shared" si="2"/>
        <v>0</v>
      </c>
      <c r="I583" s="179"/>
    </row>
    <row r="584" ht="15.75" customHeight="1">
      <c r="A584" s="7"/>
      <c r="D584" s="62"/>
      <c r="E584" s="30"/>
      <c r="F584" s="54">
        <f t="shared" si="3"/>
        <v>0</v>
      </c>
      <c r="G584" s="47"/>
      <c r="H584" s="178">
        <f t="shared" si="2"/>
        <v>0</v>
      </c>
      <c r="I584" s="179"/>
    </row>
    <row r="585" ht="15.75" customHeight="1">
      <c r="A585" s="7"/>
      <c r="D585" s="62"/>
      <c r="E585" s="30"/>
      <c r="F585" s="54">
        <f t="shared" si="3"/>
        <v>0</v>
      </c>
      <c r="G585" s="47"/>
      <c r="H585" s="178">
        <f t="shared" si="2"/>
        <v>0</v>
      </c>
      <c r="I585" s="179"/>
    </row>
    <row r="586" ht="15.75" customHeight="1">
      <c r="A586" s="7"/>
      <c r="D586" s="62"/>
      <c r="E586" s="30"/>
      <c r="F586" s="54">
        <f t="shared" si="3"/>
        <v>0</v>
      </c>
      <c r="G586" s="47"/>
      <c r="H586" s="178">
        <f t="shared" si="2"/>
        <v>0</v>
      </c>
      <c r="I586" s="179"/>
    </row>
    <row r="587" ht="15.75" customHeight="1">
      <c r="A587" s="7"/>
      <c r="D587" s="62"/>
      <c r="E587" s="30"/>
      <c r="F587" s="54">
        <f t="shared" si="3"/>
        <v>0</v>
      </c>
      <c r="G587" s="47"/>
      <c r="H587" s="178">
        <f t="shared" si="2"/>
        <v>0</v>
      </c>
      <c r="I587" s="179"/>
    </row>
    <row r="588" ht="15.75" customHeight="1">
      <c r="A588" s="7"/>
      <c r="D588" s="62"/>
      <c r="E588" s="30"/>
      <c r="F588" s="54">
        <f t="shared" si="3"/>
        <v>0</v>
      </c>
      <c r="G588" s="47"/>
      <c r="H588" s="178">
        <f t="shared" si="2"/>
        <v>0</v>
      </c>
      <c r="I588" s="179"/>
    </row>
    <row r="589" ht="15.75" customHeight="1">
      <c r="A589" s="7"/>
      <c r="D589" s="62"/>
      <c r="E589" s="30"/>
      <c r="F589" s="54">
        <f t="shared" si="3"/>
        <v>0</v>
      </c>
      <c r="G589" s="47"/>
      <c r="H589" s="178">
        <f t="shared" si="2"/>
        <v>0</v>
      </c>
      <c r="I589" s="179"/>
    </row>
    <row r="590" ht="15.75" customHeight="1">
      <c r="A590" s="7"/>
      <c r="D590" s="62"/>
      <c r="E590" s="30"/>
      <c r="F590" s="54">
        <f t="shared" si="3"/>
        <v>0</v>
      </c>
      <c r="G590" s="47"/>
      <c r="H590" s="178">
        <f t="shared" si="2"/>
        <v>0</v>
      </c>
      <c r="I590" s="179"/>
    </row>
    <row r="591" ht="15.75" customHeight="1">
      <c r="A591" s="7"/>
      <c r="D591" s="62"/>
      <c r="E591" s="30"/>
      <c r="F591" s="54">
        <f t="shared" si="3"/>
        <v>0</v>
      </c>
      <c r="G591" s="47"/>
      <c r="H591" s="178">
        <f t="shared" si="2"/>
        <v>0</v>
      </c>
      <c r="I591" s="179"/>
    </row>
    <row r="592" ht="15.75" customHeight="1">
      <c r="A592" s="7"/>
      <c r="D592" s="62"/>
      <c r="E592" s="30"/>
      <c r="F592" s="54">
        <f t="shared" si="3"/>
        <v>0</v>
      </c>
      <c r="G592" s="47"/>
      <c r="H592" s="178">
        <f t="shared" si="2"/>
        <v>0</v>
      </c>
      <c r="I592" s="179"/>
    </row>
    <row r="593" ht="15.75" customHeight="1">
      <c r="A593" s="7"/>
      <c r="D593" s="62"/>
      <c r="E593" s="30"/>
      <c r="F593" s="54">
        <f t="shared" si="3"/>
        <v>0</v>
      </c>
      <c r="G593" s="47"/>
      <c r="H593" s="178">
        <f t="shared" si="2"/>
        <v>0</v>
      </c>
      <c r="I593" s="179"/>
    </row>
    <row r="594" ht="15.75" customHeight="1">
      <c r="A594" s="7"/>
      <c r="D594" s="62"/>
      <c r="E594" s="30"/>
      <c r="F594" s="54">
        <f t="shared" si="3"/>
        <v>0</v>
      </c>
      <c r="G594" s="47"/>
      <c r="H594" s="178">
        <f t="shared" si="2"/>
        <v>0</v>
      </c>
      <c r="I594" s="179"/>
    </row>
    <row r="595" ht="15.75" customHeight="1">
      <c r="A595" s="7"/>
      <c r="D595" s="62"/>
      <c r="E595" s="30"/>
      <c r="F595" s="54">
        <f t="shared" si="3"/>
        <v>0</v>
      </c>
      <c r="G595" s="47"/>
      <c r="H595" s="178">
        <f t="shared" si="2"/>
        <v>0</v>
      </c>
      <c r="I595" s="179"/>
    </row>
    <row r="596" ht="15.75" customHeight="1">
      <c r="A596" s="7"/>
      <c r="D596" s="62"/>
      <c r="E596" s="30"/>
      <c r="F596" s="54">
        <f t="shared" si="3"/>
        <v>0</v>
      </c>
      <c r="G596" s="47"/>
      <c r="H596" s="178">
        <f t="shared" si="2"/>
        <v>0</v>
      </c>
      <c r="I596" s="179"/>
    </row>
    <row r="597" ht="15.75" customHeight="1">
      <c r="A597" s="7"/>
      <c r="D597" s="62"/>
      <c r="E597" s="30"/>
      <c r="F597" s="54">
        <f t="shared" si="3"/>
        <v>0</v>
      </c>
      <c r="G597" s="47"/>
      <c r="H597" s="178">
        <f t="shared" si="2"/>
        <v>0</v>
      </c>
      <c r="I597" s="179"/>
    </row>
    <row r="598" ht="15.75" customHeight="1">
      <c r="A598" s="7"/>
      <c r="D598" s="62"/>
      <c r="E598" s="30"/>
      <c r="F598" s="54">
        <f t="shared" si="3"/>
        <v>0</v>
      </c>
      <c r="G598" s="47"/>
      <c r="H598" s="178">
        <f t="shared" si="2"/>
        <v>0</v>
      </c>
      <c r="I598" s="179"/>
    </row>
    <row r="599" ht="15.75" customHeight="1">
      <c r="A599" s="7"/>
      <c r="D599" s="62"/>
      <c r="E599" s="30"/>
      <c r="F599" s="54">
        <f t="shared" si="3"/>
        <v>0</v>
      </c>
      <c r="G599" s="47"/>
      <c r="H599" s="178">
        <f t="shared" si="2"/>
        <v>0</v>
      </c>
      <c r="I599" s="179"/>
    </row>
    <row r="600" ht="15.75" customHeight="1">
      <c r="A600" s="7"/>
      <c r="D600" s="62"/>
      <c r="E600" s="30"/>
      <c r="F600" s="54">
        <f t="shared" si="3"/>
        <v>0</v>
      </c>
      <c r="G600" s="47"/>
      <c r="H600" s="178">
        <f t="shared" si="2"/>
        <v>0</v>
      </c>
      <c r="I600" s="179"/>
    </row>
    <row r="601" ht="15.75" customHeight="1">
      <c r="A601" s="7"/>
      <c r="D601" s="62"/>
      <c r="E601" s="30"/>
      <c r="F601" s="54">
        <f t="shared" si="3"/>
        <v>0</v>
      </c>
      <c r="G601" s="47"/>
      <c r="H601" s="178">
        <f t="shared" si="2"/>
        <v>0</v>
      </c>
      <c r="I601" s="179"/>
    </row>
    <row r="602" ht="15.75" customHeight="1">
      <c r="A602" s="7"/>
      <c r="D602" s="62"/>
      <c r="E602" s="30"/>
      <c r="F602" s="54">
        <f t="shared" si="3"/>
        <v>0</v>
      </c>
      <c r="G602" s="47"/>
      <c r="H602" s="178">
        <f t="shared" si="2"/>
        <v>0</v>
      </c>
      <c r="I602" s="179"/>
    </row>
    <row r="603" ht="15.75" customHeight="1">
      <c r="A603" s="7"/>
      <c r="D603" s="62"/>
      <c r="E603" s="30"/>
      <c r="F603" s="54">
        <f t="shared" si="3"/>
        <v>0</v>
      </c>
      <c r="G603" s="47"/>
      <c r="H603" s="178">
        <f t="shared" si="2"/>
        <v>0</v>
      </c>
      <c r="I603" s="179"/>
    </row>
    <row r="604" ht="15.75" customHeight="1">
      <c r="A604" s="7"/>
      <c r="D604" s="62"/>
      <c r="E604" s="30"/>
      <c r="F604" s="54">
        <f t="shared" si="3"/>
        <v>0</v>
      </c>
      <c r="G604" s="47"/>
      <c r="H604" s="178">
        <f t="shared" si="2"/>
        <v>0</v>
      </c>
      <c r="I604" s="179"/>
    </row>
    <row r="605" ht="15.75" customHeight="1">
      <c r="A605" s="7"/>
      <c r="D605" s="62"/>
      <c r="E605" s="30"/>
      <c r="F605" s="54">
        <f t="shared" si="3"/>
        <v>0</v>
      </c>
      <c r="G605" s="47"/>
      <c r="H605" s="178">
        <f t="shared" si="2"/>
        <v>0</v>
      </c>
      <c r="I605" s="179"/>
    </row>
    <row r="606" ht="15.75" customHeight="1">
      <c r="A606" s="7"/>
      <c r="D606" s="62"/>
      <c r="E606" s="30"/>
      <c r="F606" s="54">
        <f t="shared" si="3"/>
        <v>0</v>
      </c>
      <c r="G606" s="47"/>
      <c r="H606" s="178">
        <f t="shared" si="2"/>
        <v>0</v>
      </c>
      <c r="I606" s="179"/>
    </row>
    <row r="607" ht="15.75" customHeight="1">
      <c r="A607" s="7"/>
      <c r="D607" s="62"/>
      <c r="E607" s="30"/>
      <c r="F607" s="54">
        <f t="shared" si="3"/>
        <v>0</v>
      </c>
      <c r="G607" s="47"/>
      <c r="H607" s="178">
        <f t="shared" si="2"/>
        <v>0</v>
      </c>
      <c r="I607" s="179"/>
    </row>
    <row r="608" ht="15.75" customHeight="1">
      <c r="A608" s="7"/>
      <c r="D608" s="62"/>
      <c r="E608" s="30"/>
      <c r="F608" s="54">
        <f t="shared" si="3"/>
        <v>0</v>
      </c>
      <c r="G608" s="47"/>
      <c r="H608" s="178">
        <f t="shared" si="2"/>
        <v>0</v>
      </c>
      <c r="I608" s="179"/>
    </row>
    <row r="609" ht="15.75" customHeight="1">
      <c r="A609" s="7"/>
      <c r="D609" s="62"/>
      <c r="E609" s="30"/>
      <c r="F609" s="54">
        <f t="shared" si="3"/>
        <v>0</v>
      </c>
      <c r="G609" s="47"/>
      <c r="H609" s="178">
        <f t="shared" si="2"/>
        <v>0</v>
      </c>
      <c r="I609" s="179"/>
    </row>
    <row r="610" ht="15.75" customHeight="1">
      <c r="A610" s="7"/>
      <c r="D610" s="62"/>
      <c r="E610" s="30"/>
      <c r="F610" s="54">
        <f t="shared" si="3"/>
        <v>0</v>
      </c>
      <c r="G610" s="47"/>
      <c r="H610" s="178">
        <f t="shared" si="2"/>
        <v>0</v>
      </c>
      <c r="I610" s="179"/>
    </row>
    <row r="611" ht="15.75" customHeight="1">
      <c r="A611" s="7"/>
      <c r="D611" s="62"/>
      <c r="E611" s="30"/>
      <c r="F611" s="54">
        <f t="shared" si="3"/>
        <v>0</v>
      </c>
      <c r="G611" s="47"/>
      <c r="H611" s="178">
        <f t="shared" si="2"/>
        <v>0</v>
      </c>
      <c r="I611" s="179"/>
    </row>
    <row r="612" ht="15.75" customHeight="1">
      <c r="A612" s="7"/>
      <c r="D612" s="62"/>
      <c r="E612" s="30"/>
      <c r="F612" s="54">
        <f t="shared" si="3"/>
        <v>0</v>
      </c>
      <c r="G612" s="47"/>
      <c r="H612" s="178">
        <f t="shared" si="2"/>
        <v>0</v>
      </c>
      <c r="I612" s="179"/>
    </row>
    <row r="613" ht="15.75" customHeight="1">
      <c r="A613" s="7"/>
      <c r="D613" s="62"/>
      <c r="E613" s="30"/>
      <c r="F613" s="54">
        <f t="shared" si="3"/>
        <v>0</v>
      </c>
      <c r="G613" s="47"/>
      <c r="H613" s="178">
        <f t="shared" si="2"/>
        <v>0</v>
      </c>
      <c r="I613" s="179"/>
    </row>
    <row r="614" ht="15.75" customHeight="1">
      <c r="A614" s="7"/>
      <c r="D614" s="62"/>
      <c r="E614" s="30"/>
      <c r="F614" s="54">
        <f t="shared" si="3"/>
        <v>0</v>
      </c>
      <c r="G614" s="47"/>
      <c r="H614" s="178">
        <f t="shared" si="2"/>
        <v>0</v>
      </c>
      <c r="I614" s="179"/>
    </row>
    <row r="615" ht="15.75" customHeight="1">
      <c r="A615" s="7"/>
      <c r="D615" s="62"/>
      <c r="E615" s="30"/>
      <c r="F615" s="54">
        <f t="shared" si="3"/>
        <v>0</v>
      </c>
      <c r="G615" s="47"/>
      <c r="H615" s="178">
        <f t="shared" si="2"/>
        <v>0</v>
      </c>
      <c r="I615" s="179"/>
    </row>
    <row r="616" ht="15.75" customHeight="1">
      <c r="A616" s="7"/>
      <c r="D616" s="62"/>
      <c r="E616" s="30"/>
      <c r="F616" s="54">
        <f t="shared" si="3"/>
        <v>0</v>
      </c>
      <c r="G616" s="47"/>
      <c r="H616" s="178">
        <f t="shared" si="2"/>
        <v>0</v>
      </c>
      <c r="I616" s="179"/>
    </row>
    <row r="617" ht="15.75" customHeight="1">
      <c r="A617" s="7"/>
      <c r="D617" s="62"/>
      <c r="E617" s="30"/>
      <c r="F617" s="54">
        <f t="shared" si="3"/>
        <v>0</v>
      </c>
      <c r="G617" s="47"/>
      <c r="H617" s="178">
        <f t="shared" si="2"/>
        <v>0</v>
      </c>
      <c r="I617" s="179"/>
    </row>
    <row r="618" ht="15.75" customHeight="1">
      <c r="A618" s="7"/>
      <c r="D618" s="62"/>
      <c r="E618" s="30"/>
      <c r="F618" s="54">
        <f t="shared" si="3"/>
        <v>0</v>
      </c>
      <c r="G618" s="47"/>
      <c r="H618" s="178">
        <f t="shared" si="2"/>
        <v>0</v>
      </c>
      <c r="I618" s="179"/>
    </row>
    <row r="619" ht="15.75" customHeight="1">
      <c r="A619" s="7"/>
      <c r="D619" s="62"/>
      <c r="E619" s="30"/>
      <c r="F619" s="54">
        <f t="shared" si="3"/>
        <v>0</v>
      </c>
      <c r="G619" s="47"/>
      <c r="H619" s="178">
        <f t="shared" si="2"/>
        <v>0</v>
      </c>
      <c r="I619" s="179"/>
    </row>
    <row r="620" ht="15.75" customHeight="1">
      <c r="A620" s="7"/>
      <c r="D620" s="62"/>
      <c r="E620" s="30"/>
      <c r="F620" s="54">
        <f t="shared" si="3"/>
        <v>0</v>
      </c>
      <c r="G620" s="47"/>
      <c r="H620" s="178">
        <f t="shared" si="2"/>
        <v>0</v>
      </c>
      <c r="I620" s="179"/>
    </row>
    <row r="621" ht="15.75" customHeight="1">
      <c r="A621" s="7"/>
      <c r="D621" s="62"/>
      <c r="E621" s="30"/>
      <c r="F621" s="54">
        <f t="shared" si="3"/>
        <v>0</v>
      </c>
      <c r="G621" s="47"/>
      <c r="H621" s="178">
        <f t="shared" si="2"/>
        <v>0</v>
      </c>
      <c r="I621" s="179"/>
    </row>
    <row r="622" ht="15.75" customHeight="1">
      <c r="A622" s="7"/>
      <c r="D622" s="62"/>
      <c r="E622" s="30"/>
      <c r="F622" s="54">
        <f t="shared" si="3"/>
        <v>0</v>
      </c>
      <c r="G622" s="47"/>
      <c r="H622" s="178">
        <f t="shared" si="2"/>
        <v>0</v>
      </c>
      <c r="I622" s="179"/>
    </row>
    <row r="623" ht="15.75" customHeight="1">
      <c r="A623" s="7"/>
      <c r="D623" s="62"/>
      <c r="E623" s="30"/>
      <c r="F623" s="54">
        <f t="shared" si="3"/>
        <v>0</v>
      </c>
      <c r="G623" s="47"/>
      <c r="H623" s="178">
        <f t="shared" si="2"/>
        <v>0</v>
      </c>
      <c r="I623" s="179"/>
    </row>
    <row r="624" ht="15.75" customHeight="1">
      <c r="A624" s="7"/>
      <c r="D624" s="62"/>
      <c r="E624" s="30"/>
      <c r="F624" s="54">
        <f t="shared" si="3"/>
        <v>0</v>
      </c>
      <c r="G624" s="47"/>
      <c r="H624" s="178">
        <f t="shared" si="2"/>
        <v>0</v>
      </c>
      <c r="I624" s="179"/>
    </row>
    <row r="625" ht="15.75" customHeight="1">
      <c r="A625" s="7"/>
      <c r="D625" s="62"/>
      <c r="E625" s="30"/>
      <c r="F625" s="54">
        <f t="shared" si="3"/>
        <v>0</v>
      </c>
      <c r="G625" s="47"/>
      <c r="H625" s="178">
        <f t="shared" si="2"/>
        <v>0</v>
      </c>
      <c r="I625" s="179"/>
    </row>
    <row r="626" ht="15.75" customHeight="1">
      <c r="A626" s="7"/>
      <c r="D626" s="62"/>
      <c r="E626" s="30"/>
      <c r="F626" s="54">
        <f t="shared" si="3"/>
        <v>0</v>
      </c>
      <c r="G626" s="47"/>
      <c r="H626" s="178">
        <f t="shared" si="2"/>
        <v>0</v>
      </c>
      <c r="I626" s="179"/>
    </row>
    <row r="627" ht="15.75" customHeight="1">
      <c r="A627" s="7"/>
      <c r="D627" s="62"/>
      <c r="E627" s="30"/>
      <c r="F627" s="54">
        <f t="shared" si="3"/>
        <v>0</v>
      </c>
      <c r="G627" s="47"/>
      <c r="H627" s="178">
        <f t="shared" si="2"/>
        <v>0</v>
      </c>
      <c r="I627" s="179"/>
    </row>
    <row r="628" ht="15.75" customHeight="1">
      <c r="A628" s="7"/>
      <c r="D628" s="62"/>
      <c r="E628" s="30"/>
      <c r="F628" s="54">
        <f t="shared" si="3"/>
        <v>0</v>
      </c>
      <c r="G628" s="47"/>
      <c r="H628" s="178">
        <f t="shared" si="2"/>
        <v>0</v>
      </c>
      <c r="I628" s="179"/>
    </row>
    <row r="629" ht="15.75" customHeight="1">
      <c r="A629" s="7"/>
      <c r="D629" s="62"/>
      <c r="E629" s="30"/>
      <c r="F629" s="54">
        <f t="shared" si="3"/>
        <v>0</v>
      </c>
      <c r="G629" s="47"/>
      <c r="H629" s="178">
        <f t="shared" si="2"/>
        <v>0</v>
      </c>
      <c r="I629" s="179"/>
    </row>
    <row r="630" ht="15.75" customHeight="1">
      <c r="A630" s="7"/>
      <c r="D630" s="62"/>
      <c r="E630" s="30"/>
      <c r="F630" s="54">
        <f t="shared" si="3"/>
        <v>0</v>
      </c>
      <c r="G630" s="47"/>
      <c r="H630" s="178">
        <f t="shared" si="2"/>
        <v>0</v>
      </c>
      <c r="I630" s="179"/>
    </row>
    <row r="631" ht="15.75" customHeight="1">
      <c r="A631" s="7"/>
      <c r="D631" s="62"/>
      <c r="E631" s="30"/>
      <c r="F631" s="54">
        <f t="shared" si="3"/>
        <v>0</v>
      </c>
      <c r="G631" s="47"/>
      <c r="H631" s="178">
        <f t="shared" si="2"/>
        <v>0</v>
      </c>
      <c r="I631" s="179"/>
    </row>
    <row r="632" ht="15.75" customHeight="1">
      <c r="A632" s="7"/>
      <c r="D632" s="62"/>
      <c r="E632" s="30"/>
      <c r="F632" s="54">
        <f t="shared" si="3"/>
        <v>0</v>
      </c>
      <c r="G632" s="47"/>
      <c r="H632" s="178">
        <f t="shared" si="2"/>
        <v>0</v>
      </c>
      <c r="I632" s="179"/>
    </row>
    <row r="633" ht="15.75" customHeight="1">
      <c r="A633" s="7"/>
      <c r="D633" s="62"/>
      <c r="E633" s="30"/>
      <c r="F633" s="54">
        <f t="shared" si="3"/>
        <v>0</v>
      </c>
      <c r="G633" s="47"/>
      <c r="H633" s="178">
        <f t="shared" si="2"/>
        <v>0</v>
      </c>
      <c r="I633" s="179"/>
    </row>
    <row r="634" ht="15.75" customHeight="1">
      <c r="A634" s="7"/>
      <c r="D634" s="62"/>
      <c r="E634" s="30"/>
      <c r="F634" s="54">
        <f t="shared" si="3"/>
        <v>0</v>
      </c>
      <c r="G634" s="47"/>
      <c r="H634" s="178">
        <f t="shared" si="2"/>
        <v>0</v>
      </c>
      <c r="I634" s="179"/>
    </row>
    <row r="635" ht="15.75" customHeight="1">
      <c r="A635" s="7"/>
      <c r="D635" s="62"/>
      <c r="E635" s="30"/>
      <c r="F635" s="54">
        <f t="shared" si="3"/>
        <v>0</v>
      </c>
      <c r="G635" s="47"/>
      <c r="H635" s="178">
        <f t="shared" si="2"/>
        <v>0</v>
      </c>
      <c r="I635" s="179"/>
    </row>
    <row r="636" ht="15.75" customHeight="1">
      <c r="A636" s="7"/>
      <c r="D636" s="62"/>
      <c r="E636" s="30"/>
      <c r="F636" s="54">
        <f t="shared" si="3"/>
        <v>0</v>
      </c>
      <c r="G636" s="47"/>
      <c r="H636" s="178">
        <f t="shared" si="2"/>
        <v>0</v>
      </c>
      <c r="I636" s="179"/>
    </row>
    <row r="637" ht="15.75" customHeight="1">
      <c r="A637" s="7"/>
      <c r="D637" s="62"/>
      <c r="E637" s="30"/>
      <c r="F637" s="54">
        <f t="shared" si="3"/>
        <v>0</v>
      </c>
      <c r="G637" s="47"/>
      <c r="H637" s="178">
        <f t="shared" si="2"/>
        <v>0</v>
      </c>
      <c r="I637" s="179"/>
    </row>
    <row r="638" ht="15.75" customHeight="1">
      <c r="A638" s="7"/>
      <c r="D638" s="62"/>
      <c r="E638" s="30"/>
      <c r="F638" s="54">
        <f t="shared" si="3"/>
        <v>0</v>
      </c>
      <c r="G638" s="47"/>
      <c r="H638" s="178">
        <f t="shared" si="2"/>
        <v>0</v>
      </c>
      <c r="I638" s="179"/>
    </row>
    <row r="639" ht="15.75" customHeight="1">
      <c r="A639" s="7"/>
      <c r="D639" s="62"/>
      <c r="E639" s="30"/>
      <c r="F639" s="54">
        <f t="shared" si="3"/>
        <v>0</v>
      </c>
      <c r="G639" s="47"/>
      <c r="H639" s="178">
        <f t="shared" si="2"/>
        <v>0</v>
      </c>
      <c r="I639" s="179"/>
    </row>
    <row r="640" ht="15.75" customHeight="1">
      <c r="A640" s="7"/>
      <c r="D640" s="62"/>
      <c r="E640" s="30"/>
      <c r="F640" s="54">
        <f t="shared" si="3"/>
        <v>0</v>
      </c>
      <c r="G640" s="47"/>
      <c r="H640" s="178">
        <f t="shared" si="2"/>
        <v>0</v>
      </c>
      <c r="I640" s="179"/>
    </row>
    <row r="641" ht="15.75" customHeight="1">
      <c r="A641" s="7"/>
      <c r="D641" s="62"/>
      <c r="E641" s="30"/>
      <c r="F641" s="54">
        <f t="shared" si="3"/>
        <v>0</v>
      </c>
      <c r="G641" s="47"/>
      <c r="H641" s="178">
        <f t="shared" si="2"/>
        <v>0</v>
      </c>
      <c r="I641" s="179"/>
    </row>
    <row r="642" ht="15.75" customHeight="1">
      <c r="A642" s="7"/>
      <c r="D642" s="62"/>
      <c r="E642" s="30"/>
      <c r="F642" s="54">
        <f t="shared" si="3"/>
        <v>0</v>
      </c>
      <c r="G642" s="47"/>
      <c r="H642" s="178">
        <f t="shared" si="2"/>
        <v>0</v>
      </c>
      <c r="I642" s="179"/>
    </row>
    <row r="643" ht="15.75" customHeight="1">
      <c r="A643" s="7"/>
      <c r="D643" s="62"/>
      <c r="E643" s="30"/>
      <c r="F643" s="54">
        <f t="shared" si="3"/>
        <v>0</v>
      </c>
      <c r="G643" s="47"/>
      <c r="H643" s="178">
        <f t="shared" si="2"/>
        <v>0</v>
      </c>
      <c r="I643" s="179"/>
    </row>
    <row r="644" ht="15.75" customHeight="1">
      <c r="A644" s="7"/>
      <c r="D644" s="62"/>
      <c r="E644" s="30"/>
      <c r="F644" s="54">
        <f t="shared" si="3"/>
        <v>0</v>
      </c>
      <c r="G644" s="47"/>
      <c r="H644" s="178">
        <f t="shared" si="2"/>
        <v>0</v>
      </c>
      <c r="I644" s="179"/>
    </row>
    <row r="645" ht="15.75" customHeight="1">
      <c r="A645" s="7"/>
      <c r="D645" s="62"/>
      <c r="E645" s="30"/>
      <c r="F645" s="54">
        <f t="shared" si="3"/>
        <v>0</v>
      </c>
      <c r="G645" s="47"/>
      <c r="H645" s="178">
        <f t="shared" si="2"/>
        <v>0</v>
      </c>
      <c r="I645" s="179"/>
    </row>
    <row r="646" ht="15.75" customHeight="1">
      <c r="A646" s="7"/>
      <c r="D646" s="62"/>
      <c r="E646" s="30"/>
      <c r="F646" s="54">
        <f t="shared" si="3"/>
        <v>0</v>
      </c>
      <c r="G646" s="47"/>
      <c r="H646" s="178">
        <f t="shared" si="2"/>
        <v>0</v>
      </c>
      <c r="I646" s="179"/>
    </row>
    <row r="647" ht="15.75" customHeight="1">
      <c r="A647" s="7"/>
      <c r="D647" s="62"/>
      <c r="E647" s="30"/>
      <c r="F647" s="54">
        <f t="shared" si="3"/>
        <v>0</v>
      </c>
      <c r="G647" s="47"/>
      <c r="H647" s="178">
        <f t="shared" si="2"/>
        <v>0</v>
      </c>
      <c r="I647" s="179"/>
    </row>
    <row r="648" ht="15.75" customHeight="1">
      <c r="A648" s="7"/>
      <c r="D648" s="62"/>
      <c r="E648" s="30"/>
      <c r="F648" s="54">
        <f t="shared" si="3"/>
        <v>0</v>
      </c>
      <c r="G648" s="47"/>
      <c r="H648" s="178">
        <f t="shared" si="2"/>
        <v>0</v>
      </c>
      <c r="I648" s="179"/>
    </row>
    <row r="649" ht="15.75" customHeight="1">
      <c r="A649" s="7"/>
      <c r="D649" s="62"/>
      <c r="E649" s="30"/>
      <c r="F649" s="54">
        <f t="shared" si="3"/>
        <v>0</v>
      </c>
      <c r="G649" s="47"/>
      <c r="H649" s="178">
        <f t="shared" si="2"/>
        <v>0</v>
      </c>
      <c r="I649" s="179"/>
    </row>
    <row r="650" ht="15.75" customHeight="1">
      <c r="A650" s="7"/>
      <c r="D650" s="62"/>
      <c r="E650" s="30"/>
      <c r="F650" s="54">
        <f t="shared" si="3"/>
        <v>0</v>
      </c>
      <c r="G650" s="47"/>
      <c r="H650" s="178">
        <f t="shared" si="2"/>
        <v>0</v>
      </c>
      <c r="I650" s="179"/>
    </row>
    <row r="651" ht="15.75" customHeight="1">
      <c r="A651" s="7"/>
      <c r="D651" s="62"/>
      <c r="E651" s="30"/>
      <c r="F651" s="54">
        <f t="shared" si="3"/>
        <v>0</v>
      </c>
      <c r="G651" s="47"/>
      <c r="H651" s="178">
        <f t="shared" si="2"/>
        <v>0</v>
      </c>
      <c r="I651" s="179"/>
    </row>
    <row r="652" ht="15.75" customHeight="1">
      <c r="A652" s="7"/>
      <c r="D652" s="62"/>
      <c r="E652" s="30"/>
      <c r="F652" s="54">
        <f t="shared" si="3"/>
        <v>0</v>
      </c>
      <c r="G652" s="47"/>
      <c r="H652" s="178">
        <f t="shared" si="2"/>
        <v>0</v>
      </c>
      <c r="I652" s="179"/>
    </row>
    <row r="653" ht="15.75" customHeight="1">
      <c r="A653" s="7"/>
      <c r="D653" s="62"/>
      <c r="E653" s="30"/>
      <c r="F653" s="54">
        <f t="shared" si="3"/>
        <v>0</v>
      </c>
      <c r="G653" s="47"/>
      <c r="H653" s="178">
        <f t="shared" si="2"/>
        <v>0</v>
      </c>
      <c r="I653" s="179"/>
    </row>
    <row r="654" ht="15.75" customHeight="1">
      <c r="A654" s="7"/>
      <c r="D654" s="62"/>
      <c r="E654" s="30"/>
      <c r="F654" s="54">
        <f t="shared" si="3"/>
        <v>0</v>
      </c>
      <c r="G654" s="47"/>
      <c r="H654" s="178">
        <f t="shared" si="2"/>
        <v>0</v>
      </c>
      <c r="I654" s="179"/>
    </row>
    <row r="655" ht="15.75" customHeight="1">
      <c r="A655" s="7"/>
      <c r="D655" s="62"/>
      <c r="E655" s="30"/>
      <c r="F655" s="54">
        <f t="shared" si="3"/>
        <v>0</v>
      </c>
      <c r="G655" s="47"/>
      <c r="H655" s="178">
        <f t="shared" si="2"/>
        <v>0</v>
      </c>
      <c r="I655" s="179"/>
    </row>
    <row r="656" ht="15.75" customHeight="1">
      <c r="A656" s="7"/>
      <c r="D656" s="62"/>
      <c r="E656" s="30"/>
      <c r="F656" s="54">
        <f t="shared" si="3"/>
        <v>0</v>
      </c>
      <c r="G656" s="47"/>
      <c r="H656" s="178">
        <f t="shared" si="2"/>
        <v>0</v>
      </c>
      <c r="I656" s="179"/>
    </row>
    <row r="657" ht="15.75" customHeight="1">
      <c r="A657" s="7"/>
      <c r="D657" s="62"/>
      <c r="E657" s="30"/>
      <c r="F657" s="54">
        <f t="shared" si="3"/>
        <v>0</v>
      </c>
      <c r="G657" s="47"/>
      <c r="H657" s="178">
        <f t="shared" si="2"/>
        <v>0</v>
      </c>
      <c r="I657" s="179"/>
    </row>
    <row r="658" ht="15.75" customHeight="1">
      <c r="A658" s="7"/>
      <c r="D658" s="62"/>
      <c r="E658" s="30"/>
      <c r="F658" s="54">
        <f t="shared" si="3"/>
        <v>0</v>
      </c>
      <c r="G658" s="47"/>
      <c r="H658" s="178">
        <f t="shared" si="2"/>
        <v>0</v>
      </c>
      <c r="I658" s="179"/>
    </row>
    <row r="659" ht="15.75" customHeight="1">
      <c r="A659" s="7"/>
      <c r="D659" s="62"/>
      <c r="E659" s="30"/>
      <c r="F659" s="54">
        <f t="shared" si="3"/>
        <v>0</v>
      </c>
      <c r="G659" s="47"/>
      <c r="H659" s="178">
        <f t="shared" si="2"/>
        <v>0</v>
      </c>
      <c r="I659" s="179"/>
    </row>
    <row r="660" ht="15.75" customHeight="1">
      <c r="A660" s="7"/>
      <c r="D660" s="62"/>
      <c r="E660" s="30"/>
      <c r="F660" s="54">
        <f t="shared" si="3"/>
        <v>0</v>
      </c>
      <c r="G660" s="47"/>
      <c r="H660" s="178">
        <f t="shared" si="2"/>
        <v>0</v>
      </c>
      <c r="I660" s="179"/>
    </row>
    <row r="661" ht="15.75" customHeight="1">
      <c r="A661" s="7"/>
      <c r="D661" s="62"/>
      <c r="E661" s="30"/>
      <c r="F661" s="54">
        <f t="shared" si="3"/>
        <v>0</v>
      </c>
      <c r="G661" s="47"/>
      <c r="H661" s="178">
        <f t="shared" si="2"/>
        <v>0</v>
      </c>
      <c r="I661" s="179"/>
    </row>
    <row r="662" ht="15.75" customHeight="1">
      <c r="A662" s="7"/>
      <c r="D662" s="62"/>
      <c r="E662" s="30"/>
      <c r="F662" s="54">
        <f t="shared" si="3"/>
        <v>0</v>
      </c>
      <c r="G662" s="47"/>
      <c r="H662" s="178">
        <f t="shared" si="2"/>
        <v>0</v>
      </c>
      <c r="I662" s="179"/>
    </row>
    <row r="663" ht="15.75" customHeight="1">
      <c r="A663" s="7"/>
      <c r="D663" s="62"/>
      <c r="E663" s="30"/>
      <c r="F663" s="54">
        <f t="shared" si="3"/>
        <v>0</v>
      </c>
      <c r="G663" s="47"/>
      <c r="H663" s="178">
        <f t="shared" si="2"/>
        <v>0</v>
      </c>
      <c r="I663" s="179"/>
    </row>
    <row r="664" ht="15.75" customHeight="1">
      <c r="A664" s="7"/>
      <c r="D664" s="62"/>
      <c r="E664" s="30"/>
      <c r="F664" s="54">
        <f t="shared" si="3"/>
        <v>0</v>
      </c>
      <c r="G664" s="47"/>
      <c r="H664" s="178">
        <f t="shared" si="2"/>
        <v>0</v>
      </c>
      <c r="I664" s="179"/>
    </row>
    <row r="665" ht="15.75" customHeight="1">
      <c r="A665" s="7"/>
      <c r="D665" s="62"/>
      <c r="E665" s="30"/>
      <c r="F665" s="54">
        <f t="shared" si="3"/>
        <v>0</v>
      </c>
      <c r="G665" s="47"/>
      <c r="H665" s="178">
        <f t="shared" si="2"/>
        <v>0</v>
      </c>
      <c r="I665" s="179"/>
    </row>
    <row r="666" ht="15.75" customHeight="1">
      <c r="A666" s="7"/>
      <c r="D666" s="62"/>
      <c r="E666" s="30"/>
      <c r="F666" s="54">
        <f t="shared" si="3"/>
        <v>0</v>
      </c>
      <c r="G666" s="47"/>
      <c r="H666" s="178">
        <f t="shared" si="2"/>
        <v>0</v>
      </c>
      <c r="I666" s="179"/>
    </row>
    <row r="667" ht="15.75" customHeight="1">
      <c r="A667" s="7"/>
      <c r="D667" s="62"/>
      <c r="E667" s="30"/>
      <c r="F667" s="54">
        <f t="shared" si="3"/>
        <v>0</v>
      </c>
      <c r="G667" s="47"/>
      <c r="H667" s="178">
        <f t="shared" si="2"/>
        <v>0</v>
      </c>
      <c r="I667" s="179"/>
    </row>
    <row r="668" ht="15.75" customHeight="1">
      <c r="A668" s="7"/>
      <c r="D668" s="62"/>
      <c r="E668" s="30"/>
      <c r="F668" s="54">
        <f t="shared" si="3"/>
        <v>0</v>
      </c>
      <c r="G668" s="47"/>
      <c r="H668" s="178">
        <f t="shared" si="2"/>
        <v>0</v>
      </c>
      <c r="I668" s="179"/>
    </row>
    <row r="669" ht="15.75" customHeight="1">
      <c r="A669" s="7"/>
      <c r="D669" s="62"/>
      <c r="E669" s="30"/>
      <c r="F669" s="54">
        <f t="shared" si="3"/>
        <v>0</v>
      </c>
      <c r="G669" s="47"/>
      <c r="H669" s="178">
        <f t="shared" si="2"/>
        <v>0</v>
      </c>
      <c r="I669" s="179"/>
    </row>
    <row r="670" ht="15.75" customHeight="1">
      <c r="A670" s="7"/>
      <c r="D670" s="62"/>
      <c r="E670" s="30"/>
      <c r="F670" s="54">
        <f t="shared" si="3"/>
        <v>0</v>
      </c>
      <c r="G670" s="47"/>
      <c r="H670" s="178">
        <f t="shared" si="2"/>
        <v>0</v>
      </c>
      <c r="I670" s="179"/>
    </row>
    <row r="671" ht="15.75" customHeight="1">
      <c r="A671" s="7"/>
      <c r="D671" s="62"/>
      <c r="E671" s="30"/>
      <c r="F671" s="54">
        <f t="shared" si="3"/>
        <v>0</v>
      </c>
      <c r="G671" s="47"/>
      <c r="H671" s="178">
        <f t="shared" si="2"/>
        <v>0</v>
      </c>
      <c r="I671" s="179"/>
    </row>
    <row r="672" ht="15.75" customHeight="1">
      <c r="A672" s="7"/>
      <c r="D672" s="62"/>
      <c r="E672" s="30"/>
      <c r="F672" s="54">
        <f t="shared" si="3"/>
        <v>0</v>
      </c>
      <c r="G672" s="47"/>
      <c r="H672" s="178">
        <f t="shared" si="2"/>
        <v>0</v>
      </c>
      <c r="I672" s="179"/>
    </row>
    <row r="673" ht="15.75" customHeight="1">
      <c r="A673" s="7"/>
      <c r="D673" s="62"/>
      <c r="E673" s="30"/>
      <c r="F673" s="54">
        <f t="shared" si="3"/>
        <v>0</v>
      </c>
      <c r="G673" s="47"/>
      <c r="H673" s="178">
        <f t="shared" si="2"/>
        <v>0</v>
      </c>
      <c r="I673" s="179"/>
    </row>
    <row r="674" ht="15.75" customHeight="1">
      <c r="A674" s="7"/>
      <c r="D674" s="62"/>
      <c r="E674" s="30"/>
      <c r="F674" s="54">
        <f t="shared" si="3"/>
        <v>0</v>
      </c>
      <c r="G674" s="47"/>
      <c r="H674" s="178">
        <f t="shared" si="2"/>
        <v>0</v>
      </c>
      <c r="I674" s="179"/>
    </row>
    <row r="675" ht="15.75" customHeight="1">
      <c r="A675" s="7"/>
      <c r="D675" s="62"/>
      <c r="E675" s="30"/>
      <c r="F675" s="54">
        <f t="shared" si="3"/>
        <v>0</v>
      </c>
      <c r="G675" s="47"/>
      <c r="H675" s="178">
        <f t="shared" si="2"/>
        <v>0</v>
      </c>
      <c r="I675" s="179"/>
    </row>
    <row r="676" ht="15.75" customHeight="1">
      <c r="A676" s="7"/>
      <c r="D676" s="62"/>
      <c r="E676" s="30"/>
      <c r="F676" s="54">
        <f t="shared" si="3"/>
        <v>0</v>
      </c>
      <c r="G676" s="47"/>
      <c r="H676" s="178">
        <f t="shared" si="2"/>
        <v>0</v>
      </c>
      <c r="I676" s="179"/>
    </row>
    <row r="677" ht="15.75" customHeight="1">
      <c r="A677" s="7"/>
      <c r="D677" s="62"/>
      <c r="E677" s="30"/>
      <c r="F677" s="54">
        <f t="shared" si="3"/>
        <v>0</v>
      </c>
      <c r="G677" s="47"/>
      <c r="H677" s="178">
        <f t="shared" si="2"/>
        <v>0</v>
      </c>
      <c r="I677" s="179"/>
    </row>
    <row r="678" ht="15.75" customHeight="1">
      <c r="A678" s="7"/>
      <c r="D678" s="62"/>
      <c r="E678" s="30"/>
      <c r="F678" s="54">
        <f t="shared" si="3"/>
        <v>0</v>
      </c>
      <c r="G678" s="47"/>
      <c r="H678" s="178">
        <f t="shared" si="2"/>
        <v>0</v>
      </c>
      <c r="I678" s="179"/>
    </row>
    <row r="679" ht="15.75" customHeight="1">
      <c r="A679" s="7"/>
      <c r="D679" s="62"/>
      <c r="E679" s="30"/>
      <c r="F679" s="54">
        <f t="shared" si="3"/>
        <v>0</v>
      </c>
      <c r="G679" s="47"/>
      <c r="H679" s="178">
        <f t="shared" si="2"/>
        <v>0</v>
      </c>
      <c r="I679" s="179"/>
    </row>
    <row r="680" ht="15.75" customHeight="1">
      <c r="A680" s="7"/>
      <c r="D680" s="62"/>
      <c r="E680" s="30"/>
      <c r="F680" s="54">
        <f t="shared" si="3"/>
        <v>0</v>
      </c>
      <c r="G680" s="47"/>
      <c r="H680" s="178">
        <f t="shared" si="2"/>
        <v>0</v>
      </c>
      <c r="I680" s="179"/>
    </row>
    <row r="681" ht="15.75" customHeight="1">
      <c r="A681" s="7"/>
      <c r="D681" s="62"/>
      <c r="E681" s="30"/>
      <c r="F681" s="54">
        <f t="shared" si="3"/>
        <v>0</v>
      </c>
      <c r="G681" s="47"/>
      <c r="H681" s="178">
        <f t="shared" si="2"/>
        <v>0</v>
      </c>
      <c r="I681" s="179"/>
    </row>
    <row r="682" ht="15.75" customHeight="1">
      <c r="A682" s="7"/>
      <c r="D682" s="62"/>
      <c r="E682" s="30"/>
      <c r="F682" s="54">
        <f t="shared" si="3"/>
        <v>0</v>
      </c>
      <c r="G682" s="47"/>
      <c r="H682" s="178">
        <f t="shared" si="2"/>
        <v>0</v>
      </c>
      <c r="I682" s="179"/>
    </row>
    <row r="683" ht="15.75" customHeight="1">
      <c r="A683" s="7"/>
      <c r="D683" s="62"/>
      <c r="E683" s="30"/>
      <c r="F683" s="54">
        <f t="shared" si="3"/>
        <v>0</v>
      </c>
      <c r="G683" s="47"/>
      <c r="H683" s="178">
        <f t="shared" si="2"/>
        <v>0</v>
      </c>
      <c r="I683" s="179"/>
    </row>
    <row r="684" ht="15.75" customHeight="1">
      <c r="A684" s="7"/>
      <c r="D684" s="62"/>
      <c r="E684" s="30"/>
      <c r="F684" s="54">
        <f t="shared" si="3"/>
        <v>0</v>
      </c>
      <c r="G684" s="47"/>
      <c r="H684" s="178">
        <f t="shared" si="2"/>
        <v>0</v>
      </c>
      <c r="I684" s="179"/>
    </row>
    <row r="685" ht="15.75" customHeight="1">
      <c r="A685" s="7"/>
      <c r="D685" s="62"/>
      <c r="E685" s="30"/>
      <c r="F685" s="54">
        <f t="shared" si="3"/>
        <v>0</v>
      </c>
      <c r="G685" s="47"/>
      <c r="H685" s="178">
        <f t="shared" si="2"/>
        <v>0</v>
      </c>
      <c r="I685" s="179"/>
    </row>
    <row r="686" ht="15.75" customHeight="1">
      <c r="A686" s="7"/>
      <c r="D686" s="62"/>
      <c r="E686" s="30"/>
      <c r="F686" s="54">
        <f t="shared" si="3"/>
        <v>0</v>
      </c>
      <c r="G686" s="47"/>
      <c r="H686" s="178">
        <f t="shared" si="2"/>
        <v>0</v>
      </c>
      <c r="I686" s="179"/>
    </row>
    <row r="687" ht="15.75" customHeight="1">
      <c r="A687" s="7"/>
      <c r="D687" s="62"/>
      <c r="E687" s="30"/>
      <c r="F687" s="54">
        <f t="shared" si="3"/>
        <v>0</v>
      </c>
      <c r="G687" s="47"/>
      <c r="H687" s="178">
        <f t="shared" si="2"/>
        <v>0</v>
      </c>
      <c r="I687" s="179"/>
    </row>
    <row r="688" ht="15.75" customHeight="1">
      <c r="A688" s="7"/>
      <c r="D688" s="62"/>
      <c r="E688" s="30"/>
      <c r="F688" s="54">
        <f t="shared" si="3"/>
        <v>0</v>
      </c>
      <c r="G688" s="47"/>
      <c r="H688" s="178">
        <f t="shared" si="2"/>
        <v>0</v>
      </c>
      <c r="I688" s="179"/>
    </row>
    <row r="689" ht="15.75" customHeight="1">
      <c r="A689" s="7"/>
      <c r="D689" s="62"/>
      <c r="E689" s="30"/>
      <c r="F689" s="54">
        <f t="shared" si="3"/>
        <v>0</v>
      </c>
      <c r="G689" s="47"/>
      <c r="H689" s="178">
        <f t="shared" si="2"/>
        <v>0</v>
      </c>
      <c r="I689" s="179"/>
    </row>
    <row r="690" ht="15.75" customHeight="1">
      <c r="A690" s="7"/>
      <c r="D690" s="62"/>
      <c r="E690" s="30"/>
      <c r="F690" s="54">
        <f t="shared" si="3"/>
        <v>0</v>
      </c>
      <c r="G690" s="47"/>
      <c r="H690" s="178">
        <f t="shared" si="2"/>
        <v>0</v>
      </c>
      <c r="I690" s="179"/>
    </row>
    <row r="691" ht="15.75" customHeight="1">
      <c r="A691" s="7"/>
      <c r="D691" s="62"/>
      <c r="E691" s="30"/>
      <c r="F691" s="54">
        <f t="shared" si="3"/>
        <v>0</v>
      </c>
      <c r="G691" s="47"/>
      <c r="H691" s="178">
        <f t="shared" si="2"/>
        <v>0</v>
      </c>
      <c r="I691" s="179"/>
    </row>
    <row r="692" ht="15.75" customHeight="1">
      <c r="A692" s="7"/>
      <c r="D692" s="62"/>
      <c r="E692" s="30"/>
      <c r="F692" s="54">
        <f t="shared" si="3"/>
        <v>0</v>
      </c>
      <c r="G692" s="47"/>
      <c r="H692" s="178">
        <f t="shared" si="2"/>
        <v>0</v>
      </c>
      <c r="I692" s="179"/>
    </row>
    <row r="693" ht="15.75" customHeight="1">
      <c r="A693" s="7"/>
      <c r="D693" s="62"/>
      <c r="E693" s="30"/>
      <c r="F693" s="54">
        <f t="shared" si="3"/>
        <v>0</v>
      </c>
      <c r="G693" s="47"/>
      <c r="H693" s="178">
        <f t="shared" si="2"/>
        <v>0</v>
      </c>
      <c r="I693" s="179"/>
    </row>
    <row r="694" ht="15.75" customHeight="1">
      <c r="A694" s="7"/>
      <c r="D694" s="62"/>
      <c r="E694" s="30"/>
      <c r="F694" s="54">
        <f t="shared" si="3"/>
        <v>0</v>
      </c>
      <c r="G694" s="47"/>
      <c r="H694" s="178">
        <f t="shared" si="2"/>
        <v>0</v>
      </c>
      <c r="I694" s="179"/>
    </row>
    <row r="695" ht="15.75" customHeight="1">
      <c r="A695" s="7"/>
      <c r="D695" s="62"/>
      <c r="E695" s="30"/>
      <c r="F695" s="54">
        <f t="shared" si="3"/>
        <v>0</v>
      </c>
      <c r="G695" s="47"/>
      <c r="H695" s="178">
        <f t="shared" si="2"/>
        <v>0</v>
      </c>
      <c r="I695" s="179"/>
    </row>
    <row r="696" ht="15.75" customHeight="1">
      <c r="A696" s="7"/>
      <c r="D696" s="62"/>
      <c r="E696" s="30"/>
      <c r="F696" s="54">
        <f t="shared" si="3"/>
        <v>0</v>
      </c>
      <c r="G696" s="47"/>
      <c r="H696" s="178">
        <f t="shared" si="2"/>
        <v>0</v>
      </c>
      <c r="I696" s="179"/>
    </row>
    <row r="697" ht="15.75" customHeight="1">
      <c r="A697" s="7"/>
      <c r="D697" s="62"/>
      <c r="E697" s="30"/>
      <c r="F697" s="54">
        <f t="shared" si="3"/>
        <v>0</v>
      </c>
      <c r="G697" s="47"/>
      <c r="H697" s="178">
        <f t="shared" si="2"/>
        <v>0</v>
      </c>
      <c r="I697" s="179"/>
    </row>
    <row r="698" ht="15.75" customHeight="1">
      <c r="A698" s="7"/>
      <c r="D698" s="62"/>
      <c r="E698" s="30"/>
      <c r="F698" s="54">
        <f t="shared" si="3"/>
        <v>0</v>
      </c>
      <c r="G698" s="47"/>
      <c r="H698" s="178">
        <f t="shared" si="2"/>
        <v>0</v>
      </c>
      <c r="I698" s="179"/>
    </row>
    <row r="699" ht="15.75" customHeight="1">
      <c r="A699" s="7"/>
      <c r="D699" s="62"/>
      <c r="E699" s="30"/>
      <c r="F699" s="54">
        <f t="shared" si="3"/>
        <v>0</v>
      </c>
      <c r="G699" s="47"/>
      <c r="H699" s="178">
        <f t="shared" si="2"/>
        <v>0</v>
      </c>
      <c r="I699" s="179"/>
    </row>
    <row r="700" ht="15.75" customHeight="1">
      <c r="A700" s="7"/>
      <c r="D700" s="62"/>
      <c r="E700" s="30"/>
      <c r="F700" s="54">
        <f t="shared" si="3"/>
        <v>0</v>
      </c>
      <c r="G700" s="47"/>
      <c r="H700" s="178">
        <f t="shared" si="2"/>
        <v>0</v>
      </c>
      <c r="I700" s="179"/>
    </row>
    <row r="701" ht="15.75" customHeight="1">
      <c r="A701" s="7"/>
      <c r="D701" s="62"/>
      <c r="E701" s="30"/>
      <c r="F701" s="54">
        <f t="shared" si="3"/>
        <v>0</v>
      </c>
      <c r="G701" s="47"/>
      <c r="H701" s="178">
        <f t="shared" si="2"/>
        <v>0</v>
      </c>
      <c r="I701" s="179"/>
    </row>
    <row r="702" ht="15.75" customHeight="1">
      <c r="A702" s="7"/>
      <c r="D702" s="62"/>
      <c r="E702" s="30"/>
      <c r="F702" s="54">
        <f t="shared" si="3"/>
        <v>0</v>
      </c>
      <c r="G702" s="47"/>
      <c r="H702" s="178">
        <f t="shared" si="2"/>
        <v>0</v>
      </c>
      <c r="I702" s="179"/>
    </row>
    <row r="703" ht="15.75" customHeight="1">
      <c r="A703" s="7"/>
      <c r="D703" s="62"/>
      <c r="E703" s="30"/>
      <c r="F703" s="54">
        <f t="shared" si="3"/>
        <v>0</v>
      </c>
      <c r="G703" s="47"/>
      <c r="H703" s="178">
        <f t="shared" si="2"/>
        <v>0</v>
      </c>
      <c r="I703" s="179"/>
    </row>
    <row r="704" ht="15.75" customHeight="1">
      <c r="A704" s="7"/>
      <c r="D704" s="62"/>
      <c r="E704" s="30"/>
      <c r="F704" s="54">
        <f t="shared" si="3"/>
        <v>0</v>
      </c>
      <c r="G704" s="47"/>
      <c r="H704" s="178">
        <f t="shared" si="2"/>
        <v>0</v>
      </c>
      <c r="I704" s="179"/>
    </row>
    <row r="705" ht="15.75" customHeight="1">
      <c r="A705" s="7"/>
      <c r="D705" s="62"/>
      <c r="E705" s="30"/>
      <c r="F705" s="54">
        <f t="shared" si="3"/>
        <v>0</v>
      </c>
      <c r="G705" s="47"/>
      <c r="H705" s="178">
        <f t="shared" si="2"/>
        <v>0</v>
      </c>
      <c r="I705" s="179"/>
    </row>
    <row r="706" ht="15.75" customHeight="1">
      <c r="A706" s="7"/>
      <c r="D706" s="62"/>
      <c r="E706" s="30"/>
      <c r="F706" s="54">
        <f t="shared" si="3"/>
        <v>0</v>
      </c>
      <c r="G706" s="47"/>
      <c r="H706" s="178">
        <f t="shared" si="2"/>
        <v>0</v>
      </c>
      <c r="I706" s="179"/>
    </row>
    <row r="707" ht="15.75" customHeight="1">
      <c r="A707" s="7"/>
      <c r="D707" s="62"/>
      <c r="E707" s="30"/>
      <c r="F707" s="54">
        <f t="shared" si="3"/>
        <v>0</v>
      </c>
      <c r="G707" s="47"/>
      <c r="H707" s="178">
        <f t="shared" si="2"/>
        <v>0</v>
      </c>
      <c r="I707" s="179"/>
    </row>
    <row r="708" ht="15.75" customHeight="1">
      <c r="A708" s="7"/>
      <c r="D708" s="62"/>
      <c r="E708" s="30"/>
      <c r="F708" s="54">
        <f t="shared" si="3"/>
        <v>0</v>
      </c>
      <c r="G708" s="47"/>
      <c r="H708" s="178">
        <f t="shared" si="2"/>
        <v>0</v>
      </c>
      <c r="I708" s="179"/>
    </row>
    <row r="709" ht="15.75" customHeight="1">
      <c r="A709" s="7"/>
      <c r="D709" s="62"/>
      <c r="E709" s="30"/>
      <c r="F709" s="54">
        <f t="shared" si="3"/>
        <v>0</v>
      </c>
      <c r="G709" s="47"/>
      <c r="H709" s="178">
        <f t="shared" si="2"/>
        <v>0</v>
      </c>
      <c r="I709" s="179"/>
    </row>
    <row r="710" ht="15.75" customHeight="1">
      <c r="A710" s="7"/>
      <c r="D710" s="62"/>
      <c r="E710" s="30"/>
      <c r="F710" s="54">
        <f t="shared" si="3"/>
        <v>0</v>
      </c>
      <c r="G710" s="47"/>
      <c r="H710" s="178">
        <f t="shared" si="2"/>
        <v>0</v>
      </c>
      <c r="I710" s="179"/>
    </row>
    <row r="711" ht="15.75" customHeight="1">
      <c r="A711" s="7"/>
      <c r="D711" s="62"/>
      <c r="E711" s="30"/>
      <c r="F711" s="54">
        <f t="shared" si="3"/>
        <v>0</v>
      </c>
      <c r="G711" s="47"/>
      <c r="H711" s="178">
        <f t="shared" si="2"/>
        <v>0</v>
      </c>
      <c r="I711" s="179"/>
    </row>
    <row r="712" ht="15.75" customHeight="1">
      <c r="A712" s="7"/>
      <c r="D712" s="62"/>
      <c r="E712" s="30"/>
      <c r="F712" s="54">
        <f t="shared" si="3"/>
        <v>0</v>
      </c>
      <c r="G712" s="47"/>
      <c r="H712" s="178">
        <f t="shared" si="2"/>
        <v>0</v>
      </c>
      <c r="I712" s="179"/>
    </row>
    <row r="713" ht="15.75" customHeight="1">
      <c r="A713" s="7"/>
      <c r="D713" s="62"/>
      <c r="E713" s="30"/>
      <c r="F713" s="54">
        <f t="shared" si="3"/>
        <v>0</v>
      </c>
      <c r="G713" s="47"/>
      <c r="H713" s="178">
        <f t="shared" si="2"/>
        <v>0</v>
      </c>
      <c r="I713" s="179"/>
    </row>
    <row r="714" ht="15.75" customHeight="1">
      <c r="A714" s="7"/>
      <c r="D714" s="62"/>
      <c r="E714" s="30"/>
      <c r="F714" s="54">
        <f t="shared" si="3"/>
        <v>0</v>
      </c>
      <c r="G714" s="47"/>
      <c r="H714" s="178">
        <f t="shared" si="2"/>
        <v>0</v>
      </c>
      <c r="I714" s="179"/>
    </row>
    <row r="715" ht="15.75" customHeight="1">
      <c r="A715" s="7"/>
      <c r="D715" s="62"/>
      <c r="E715" s="30"/>
      <c r="F715" s="54">
        <f t="shared" si="3"/>
        <v>0</v>
      </c>
      <c r="G715" s="47"/>
      <c r="H715" s="178">
        <f t="shared" si="2"/>
        <v>0</v>
      </c>
      <c r="I715" s="179"/>
    </row>
    <row r="716" ht="15.75" customHeight="1">
      <c r="A716" s="7"/>
      <c r="D716" s="62"/>
      <c r="E716" s="30"/>
      <c r="F716" s="54">
        <f t="shared" si="3"/>
        <v>0</v>
      </c>
      <c r="G716" s="47"/>
      <c r="H716" s="178">
        <f t="shared" si="2"/>
        <v>0</v>
      </c>
      <c r="I716" s="179"/>
    </row>
    <row r="717" ht="15.75" customHeight="1">
      <c r="A717" s="7"/>
      <c r="D717" s="62"/>
      <c r="E717" s="30"/>
      <c r="F717" s="54">
        <f t="shared" si="3"/>
        <v>0</v>
      </c>
      <c r="G717" s="47"/>
      <c r="H717" s="178">
        <f t="shared" si="2"/>
        <v>0</v>
      </c>
      <c r="I717" s="179"/>
    </row>
    <row r="718" ht="15.75" customHeight="1">
      <c r="A718" s="7"/>
      <c r="D718" s="62"/>
      <c r="E718" s="30"/>
      <c r="F718" s="54">
        <f t="shared" si="3"/>
        <v>0</v>
      </c>
      <c r="G718" s="47"/>
      <c r="H718" s="178">
        <f t="shared" si="2"/>
        <v>0</v>
      </c>
      <c r="I718" s="179"/>
    </row>
    <row r="719" ht="15.75" customHeight="1">
      <c r="A719" s="7"/>
      <c r="D719" s="62"/>
      <c r="E719" s="30"/>
      <c r="F719" s="54">
        <f t="shared" si="3"/>
        <v>0</v>
      </c>
      <c r="G719" s="47"/>
      <c r="H719" s="178">
        <f t="shared" si="2"/>
        <v>0</v>
      </c>
      <c r="I719" s="179"/>
    </row>
    <row r="720" ht="15.75" customHeight="1">
      <c r="A720" s="7"/>
      <c r="D720" s="62"/>
      <c r="E720" s="30"/>
      <c r="F720" s="54">
        <f t="shared" si="3"/>
        <v>0</v>
      </c>
      <c r="G720" s="47"/>
      <c r="H720" s="178">
        <f t="shared" si="2"/>
        <v>0</v>
      </c>
      <c r="I720" s="179"/>
    </row>
    <row r="721" ht="15.75" customHeight="1">
      <c r="A721" s="7"/>
      <c r="D721" s="62"/>
      <c r="E721" s="30"/>
      <c r="F721" s="54">
        <f t="shared" si="3"/>
        <v>0</v>
      </c>
      <c r="G721" s="47"/>
      <c r="H721" s="178">
        <f t="shared" si="2"/>
        <v>0</v>
      </c>
      <c r="I721" s="179"/>
    </row>
    <row r="722" ht="15.75" customHeight="1">
      <c r="A722" s="7"/>
      <c r="D722" s="62"/>
      <c r="E722" s="30"/>
      <c r="F722" s="54">
        <f t="shared" si="3"/>
        <v>0</v>
      </c>
      <c r="G722" s="47"/>
      <c r="H722" s="178">
        <f t="shared" si="2"/>
        <v>0</v>
      </c>
      <c r="I722" s="179"/>
    </row>
    <row r="723" ht="15.75" customHeight="1">
      <c r="A723" s="7"/>
      <c r="D723" s="62"/>
      <c r="E723" s="30"/>
      <c r="F723" s="54">
        <f t="shared" si="3"/>
        <v>0</v>
      </c>
      <c r="G723" s="47"/>
      <c r="H723" s="178">
        <f t="shared" si="2"/>
        <v>0</v>
      </c>
      <c r="I723" s="179"/>
    </row>
    <row r="724" ht="15.75" customHeight="1">
      <c r="A724" s="7"/>
      <c r="D724" s="62"/>
      <c r="E724" s="30"/>
      <c r="F724" s="54">
        <f t="shared" si="3"/>
        <v>0</v>
      </c>
      <c r="G724" s="47"/>
      <c r="H724" s="178">
        <f t="shared" si="2"/>
        <v>0</v>
      </c>
      <c r="I724" s="179"/>
    </row>
    <row r="725" ht="15.75" customHeight="1">
      <c r="A725" s="7"/>
      <c r="D725" s="62"/>
      <c r="E725" s="30"/>
      <c r="F725" s="54">
        <f t="shared" si="3"/>
        <v>0</v>
      </c>
      <c r="G725" s="47"/>
      <c r="H725" s="178">
        <f t="shared" si="2"/>
        <v>0</v>
      </c>
      <c r="I725" s="179"/>
    </row>
    <row r="726" ht="15.75" customHeight="1">
      <c r="A726" s="7"/>
      <c r="D726" s="62"/>
      <c r="E726" s="30"/>
      <c r="F726" s="54">
        <f t="shared" si="3"/>
        <v>0</v>
      </c>
      <c r="G726" s="47"/>
      <c r="H726" s="178">
        <f t="shared" si="2"/>
        <v>0</v>
      </c>
      <c r="I726" s="179"/>
    </row>
    <row r="727" ht="15.75" customHeight="1">
      <c r="A727" s="7"/>
      <c r="D727" s="62"/>
      <c r="E727" s="30"/>
      <c r="F727" s="54">
        <f t="shared" si="3"/>
        <v>0</v>
      </c>
      <c r="G727" s="47"/>
      <c r="H727" s="178">
        <f t="shared" si="2"/>
        <v>0</v>
      </c>
      <c r="I727" s="179"/>
    </row>
    <row r="728" ht="15.75" customHeight="1">
      <c r="A728" s="7"/>
      <c r="D728" s="62"/>
      <c r="E728" s="30"/>
      <c r="F728" s="54">
        <f t="shared" si="3"/>
        <v>0</v>
      </c>
      <c r="G728" s="47"/>
      <c r="H728" s="178">
        <f t="shared" si="2"/>
        <v>0</v>
      </c>
      <c r="I728" s="179"/>
    </row>
    <row r="729" ht="15.75" customHeight="1">
      <c r="A729" s="7"/>
      <c r="D729" s="62"/>
      <c r="E729" s="30"/>
      <c r="F729" s="54">
        <f t="shared" si="3"/>
        <v>0</v>
      </c>
      <c r="G729" s="47"/>
      <c r="H729" s="178">
        <f t="shared" si="2"/>
        <v>0</v>
      </c>
      <c r="I729" s="179"/>
    </row>
    <row r="730" ht="15.75" customHeight="1">
      <c r="A730" s="7"/>
      <c r="D730" s="62"/>
      <c r="E730" s="30"/>
      <c r="F730" s="54">
        <f t="shared" si="3"/>
        <v>0</v>
      </c>
      <c r="G730" s="47"/>
      <c r="H730" s="178">
        <f t="shared" si="2"/>
        <v>0</v>
      </c>
      <c r="I730" s="179"/>
    </row>
    <row r="731" ht="15.75" customHeight="1">
      <c r="A731" s="7"/>
      <c r="D731" s="62"/>
      <c r="E731" s="30"/>
      <c r="F731" s="54">
        <f t="shared" si="3"/>
        <v>0</v>
      </c>
      <c r="G731" s="47"/>
      <c r="H731" s="178">
        <f t="shared" si="2"/>
        <v>0</v>
      </c>
      <c r="I731" s="179"/>
    </row>
    <row r="732" ht="15.75" customHeight="1">
      <c r="A732" s="7"/>
      <c r="D732" s="62"/>
      <c r="E732" s="30"/>
      <c r="F732" s="54">
        <f t="shared" si="3"/>
        <v>0</v>
      </c>
      <c r="G732" s="47"/>
      <c r="H732" s="178">
        <f t="shared" si="2"/>
        <v>0</v>
      </c>
      <c r="I732" s="179"/>
    </row>
    <row r="733" ht="15.75" customHeight="1">
      <c r="A733" s="7"/>
      <c r="D733" s="62"/>
      <c r="E733" s="30"/>
      <c r="F733" s="54">
        <f t="shared" si="3"/>
        <v>0</v>
      </c>
      <c r="G733" s="47"/>
      <c r="H733" s="178">
        <f t="shared" si="2"/>
        <v>0</v>
      </c>
      <c r="I733" s="179"/>
    </row>
    <row r="734" ht="15.75" customHeight="1">
      <c r="A734" s="7"/>
      <c r="D734" s="62"/>
      <c r="E734" s="30"/>
      <c r="F734" s="54">
        <f t="shared" si="3"/>
        <v>0</v>
      </c>
      <c r="G734" s="47"/>
      <c r="H734" s="178">
        <f t="shared" si="2"/>
        <v>0</v>
      </c>
      <c r="I734" s="179"/>
    </row>
    <row r="735" ht="15.75" customHeight="1">
      <c r="A735" s="7"/>
      <c r="D735" s="62"/>
      <c r="E735" s="30"/>
      <c r="F735" s="54">
        <f t="shared" si="3"/>
        <v>0</v>
      </c>
      <c r="G735" s="47"/>
      <c r="H735" s="178">
        <f t="shared" si="2"/>
        <v>0</v>
      </c>
      <c r="I735" s="179"/>
    </row>
    <row r="736" ht="15.75" customHeight="1">
      <c r="A736" s="7"/>
      <c r="D736" s="62"/>
      <c r="E736" s="30"/>
      <c r="F736" s="54">
        <f t="shared" si="3"/>
        <v>0</v>
      </c>
      <c r="G736" s="47"/>
      <c r="H736" s="178">
        <f t="shared" si="2"/>
        <v>0</v>
      </c>
      <c r="I736" s="179"/>
    </row>
    <row r="737" ht="15.75" customHeight="1">
      <c r="A737" s="7"/>
      <c r="D737" s="62"/>
      <c r="E737" s="30"/>
      <c r="F737" s="54">
        <f t="shared" si="3"/>
        <v>0</v>
      </c>
      <c r="G737" s="47"/>
      <c r="H737" s="178">
        <f t="shared" si="2"/>
        <v>0</v>
      </c>
      <c r="I737" s="179"/>
    </row>
    <row r="738" ht="15.75" customHeight="1">
      <c r="A738" s="7"/>
      <c r="D738" s="62"/>
      <c r="E738" s="30"/>
      <c r="F738" s="54">
        <f t="shared" si="3"/>
        <v>0</v>
      </c>
      <c r="G738" s="47"/>
      <c r="H738" s="178">
        <f t="shared" si="2"/>
        <v>0</v>
      </c>
      <c r="I738" s="179"/>
    </row>
    <row r="739" ht="15.75" customHeight="1">
      <c r="A739" s="7"/>
      <c r="D739" s="62"/>
      <c r="E739" s="30"/>
      <c r="F739" s="54">
        <f t="shared" si="3"/>
        <v>0</v>
      </c>
      <c r="G739" s="47"/>
      <c r="H739" s="178">
        <f t="shared" si="2"/>
        <v>0</v>
      </c>
      <c r="I739" s="179"/>
    </row>
    <row r="740" ht="15.75" customHeight="1">
      <c r="A740" s="7"/>
      <c r="D740" s="62"/>
      <c r="E740" s="30"/>
      <c r="F740" s="54">
        <f t="shared" si="3"/>
        <v>0</v>
      </c>
      <c r="G740" s="47"/>
      <c r="H740" s="178">
        <f t="shared" si="2"/>
        <v>0</v>
      </c>
      <c r="I740" s="179"/>
    </row>
    <row r="741" ht="15.75" customHeight="1">
      <c r="A741" s="7"/>
      <c r="D741" s="62"/>
      <c r="E741" s="30"/>
      <c r="F741" s="54">
        <f t="shared" si="3"/>
        <v>0</v>
      </c>
      <c r="G741" s="47"/>
      <c r="H741" s="178">
        <f t="shared" si="2"/>
        <v>0</v>
      </c>
      <c r="I741" s="179"/>
    </row>
    <row r="742" ht="15.75" customHeight="1">
      <c r="A742" s="7"/>
      <c r="D742" s="62"/>
      <c r="E742" s="30"/>
      <c r="F742" s="54">
        <f t="shared" si="3"/>
        <v>0</v>
      </c>
      <c r="G742" s="47"/>
      <c r="H742" s="178">
        <f t="shared" si="2"/>
        <v>0</v>
      </c>
      <c r="I742" s="179"/>
    </row>
    <row r="743" ht="15.75" customHeight="1">
      <c r="A743" s="7"/>
      <c r="D743" s="62"/>
      <c r="E743" s="30"/>
      <c r="F743" s="54">
        <f t="shared" si="3"/>
        <v>0</v>
      </c>
      <c r="G743" s="47"/>
      <c r="H743" s="178">
        <f t="shared" si="2"/>
        <v>0</v>
      </c>
      <c r="I743" s="179"/>
    </row>
    <row r="744" ht="15.75" customHeight="1">
      <c r="A744" s="7"/>
      <c r="D744" s="62"/>
      <c r="E744" s="30"/>
      <c r="F744" s="54">
        <f t="shared" si="3"/>
        <v>0</v>
      </c>
      <c r="G744" s="47"/>
      <c r="H744" s="178">
        <f t="shared" si="2"/>
        <v>0</v>
      </c>
      <c r="I744" s="179"/>
    </row>
    <row r="745" ht="15.75" customHeight="1">
      <c r="A745" s="7"/>
      <c r="D745" s="62"/>
      <c r="E745" s="30"/>
      <c r="F745" s="54">
        <f t="shared" si="3"/>
        <v>0</v>
      </c>
      <c r="G745" s="47"/>
      <c r="H745" s="178">
        <f t="shared" si="2"/>
        <v>0</v>
      </c>
      <c r="I745" s="179"/>
    </row>
    <row r="746" ht="15.75" customHeight="1">
      <c r="A746" s="7"/>
      <c r="D746" s="62"/>
      <c r="E746" s="30"/>
      <c r="F746" s="54">
        <f t="shared" si="3"/>
        <v>0</v>
      </c>
      <c r="G746" s="47"/>
      <c r="H746" s="178">
        <f t="shared" si="2"/>
        <v>0</v>
      </c>
      <c r="I746" s="179"/>
    </row>
    <row r="747" ht="15.75" customHeight="1">
      <c r="A747" s="7"/>
      <c r="D747" s="62"/>
      <c r="E747" s="30"/>
      <c r="F747" s="54">
        <f t="shared" si="3"/>
        <v>0</v>
      </c>
      <c r="G747" s="47"/>
      <c r="H747" s="178">
        <f t="shared" si="2"/>
        <v>0</v>
      </c>
      <c r="I747" s="179"/>
    </row>
    <row r="748" ht="15.75" customHeight="1">
      <c r="A748" s="7"/>
      <c r="D748" s="62"/>
      <c r="E748" s="30"/>
      <c r="F748" s="54">
        <f t="shared" si="3"/>
        <v>0</v>
      </c>
      <c r="G748" s="47"/>
      <c r="H748" s="178">
        <f t="shared" si="2"/>
        <v>0</v>
      </c>
      <c r="I748" s="179"/>
    </row>
    <row r="749" ht="15.75" customHeight="1">
      <c r="A749" s="7"/>
      <c r="D749" s="62"/>
      <c r="E749" s="30"/>
      <c r="F749" s="54">
        <f t="shared" si="3"/>
        <v>0</v>
      </c>
      <c r="G749" s="47"/>
      <c r="H749" s="178">
        <f t="shared" si="2"/>
        <v>0</v>
      </c>
      <c r="I749" s="179"/>
    </row>
    <row r="750" ht="15.75" customHeight="1">
      <c r="A750" s="7"/>
      <c r="D750" s="62"/>
      <c r="E750" s="30"/>
      <c r="F750" s="54">
        <f t="shared" si="3"/>
        <v>0</v>
      </c>
      <c r="G750" s="47"/>
      <c r="H750" s="178">
        <f t="shared" si="2"/>
        <v>0</v>
      </c>
      <c r="I750" s="179"/>
    </row>
    <row r="751" ht="15.75" customHeight="1">
      <c r="A751" s="7"/>
      <c r="D751" s="62"/>
      <c r="E751" s="30"/>
      <c r="F751" s="54">
        <f t="shared" si="3"/>
        <v>0</v>
      </c>
      <c r="G751" s="47"/>
      <c r="H751" s="178">
        <f t="shared" si="2"/>
        <v>0</v>
      </c>
      <c r="I751" s="179"/>
    </row>
    <row r="752" ht="15.75" customHeight="1">
      <c r="A752" s="7"/>
      <c r="D752" s="62"/>
      <c r="E752" s="30"/>
      <c r="F752" s="54">
        <f t="shared" si="3"/>
        <v>0</v>
      </c>
      <c r="G752" s="47"/>
      <c r="H752" s="178">
        <f t="shared" si="2"/>
        <v>0</v>
      </c>
      <c r="I752" s="179"/>
    </row>
    <row r="753" ht="15.75" customHeight="1">
      <c r="A753" s="7"/>
      <c r="D753" s="62"/>
      <c r="E753" s="30"/>
      <c r="F753" s="54">
        <f t="shared" si="3"/>
        <v>0</v>
      </c>
      <c r="G753" s="47"/>
      <c r="H753" s="178">
        <f t="shared" si="2"/>
        <v>0</v>
      </c>
      <c r="I753" s="179"/>
    </row>
    <row r="754" ht="15.75" customHeight="1">
      <c r="A754" s="7"/>
      <c r="D754" s="62"/>
      <c r="E754" s="30"/>
      <c r="F754" s="54">
        <f t="shared" si="3"/>
        <v>0</v>
      </c>
      <c r="G754" s="47"/>
      <c r="H754" s="178">
        <f t="shared" si="2"/>
        <v>0</v>
      </c>
      <c r="I754" s="179"/>
    </row>
    <row r="755" ht="15.75" customHeight="1">
      <c r="A755" s="7"/>
      <c r="D755" s="62"/>
      <c r="E755" s="30"/>
      <c r="F755" s="54">
        <f t="shared" si="3"/>
        <v>0</v>
      </c>
      <c r="G755" s="47"/>
      <c r="H755" s="178">
        <f t="shared" si="2"/>
        <v>0</v>
      </c>
      <c r="I755" s="179"/>
    </row>
    <row r="756" ht="15.75" customHeight="1">
      <c r="A756" s="7"/>
      <c r="D756" s="62"/>
      <c r="E756" s="30"/>
      <c r="F756" s="54">
        <f t="shared" si="3"/>
        <v>0</v>
      </c>
      <c r="G756" s="47"/>
      <c r="H756" s="178">
        <f t="shared" si="2"/>
        <v>0</v>
      </c>
      <c r="I756" s="179"/>
    </row>
    <row r="757" ht="15.75" customHeight="1">
      <c r="A757" s="7"/>
      <c r="D757" s="62"/>
      <c r="E757" s="30"/>
      <c r="F757" s="54">
        <f t="shared" si="3"/>
        <v>0</v>
      </c>
      <c r="G757" s="47"/>
      <c r="H757" s="178">
        <f t="shared" si="2"/>
        <v>0</v>
      </c>
      <c r="I757" s="179"/>
    </row>
    <row r="758" ht="15.75" customHeight="1">
      <c r="A758" s="7"/>
      <c r="D758" s="62"/>
      <c r="E758" s="30"/>
      <c r="F758" s="54">
        <f t="shared" si="3"/>
        <v>0</v>
      </c>
      <c r="G758" s="47"/>
      <c r="H758" s="178">
        <f t="shared" si="2"/>
        <v>0</v>
      </c>
      <c r="I758" s="179"/>
    </row>
    <row r="759" ht="15.75" customHeight="1">
      <c r="A759" s="7"/>
      <c r="D759" s="62"/>
      <c r="E759" s="30"/>
      <c r="F759" s="54">
        <f t="shared" si="3"/>
        <v>0</v>
      </c>
      <c r="G759" s="47"/>
      <c r="H759" s="178">
        <f t="shared" si="2"/>
        <v>0</v>
      </c>
      <c r="I759" s="179"/>
    </row>
    <row r="760" ht="15.75" customHeight="1">
      <c r="A760" s="7"/>
      <c r="D760" s="62"/>
      <c r="E760" s="30"/>
      <c r="F760" s="54">
        <f t="shared" si="3"/>
        <v>0</v>
      </c>
      <c r="G760" s="47"/>
      <c r="H760" s="178">
        <f t="shared" si="2"/>
        <v>0</v>
      </c>
      <c r="I760" s="179"/>
    </row>
    <row r="761" ht="15.75" customHeight="1">
      <c r="A761" s="7"/>
      <c r="D761" s="62"/>
      <c r="E761" s="30"/>
      <c r="F761" s="54">
        <f t="shared" si="3"/>
        <v>0</v>
      </c>
      <c r="G761" s="47"/>
      <c r="H761" s="178">
        <f t="shared" si="2"/>
        <v>0</v>
      </c>
      <c r="I761" s="179"/>
    </row>
    <row r="762" ht="15.75" customHeight="1">
      <c r="A762" s="7"/>
      <c r="D762" s="62"/>
      <c r="E762" s="30"/>
      <c r="F762" s="54">
        <f t="shared" si="3"/>
        <v>0</v>
      </c>
      <c r="G762" s="47"/>
      <c r="H762" s="178">
        <f t="shared" si="2"/>
        <v>0</v>
      </c>
      <c r="I762" s="179"/>
    </row>
    <row r="763" ht="15.75" customHeight="1">
      <c r="A763" s="7"/>
      <c r="D763" s="62"/>
      <c r="E763" s="30"/>
      <c r="F763" s="54">
        <f t="shared" si="3"/>
        <v>0</v>
      </c>
      <c r="G763" s="47"/>
      <c r="H763" s="178">
        <f t="shared" si="2"/>
        <v>0</v>
      </c>
      <c r="I763" s="179"/>
    </row>
    <row r="764" ht="15.75" customHeight="1">
      <c r="A764" s="7"/>
      <c r="D764" s="62"/>
      <c r="E764" s="30"/>
      <c r="F764" s="54">
        <f t="shared" si="3"/>
        <v>0</v>
      </c>
      <c r="G764" s="47"/>
      <c r="H764" s="178">
        <f t="shared" si="2"/>
        <v>0</v>
      </c>
      <c r="I764" s="179"/>
    </row>
    <row r="765" ht="15.75" customHeight="1">
      <c r="A765" s="7"/>
      <c r="D765" s="62"/>
      <c r="E765" s="30"/>
      <c r="F765" s="54">
        <f t="shared" si="3"/>
        <v>0</v>
      </c>
      <c r="G765" s="47"/>
      <c r="H765" s="178">
        <f t="shared" si="2"/>
        <v>0</v>
      </c>
      <c r="I765" s="179"/>
    </row>
    <row r="766" ht="15.75" customHeight="1">
      <c r="A766" s="7"/>
      <c r="D766" s="62"/>
      <c r="E766" s="30"/>
      <c r="F766" s="54">
        <f t="shared" si="3"/>
        <v>0</v>
      </c>
      <c r="G766" s="47"/>
      <c r="H766" s="178">
        <f t="shared" si="2"/>
        <v>0</v>
      </c>
      <c r="I766" s="179"/>
    </row>
    <row r="767" ht="15.75" customHeight="1">
      <c r="A767" s="7"/>
      <c r="D767" s="62"/>
      <c r="E767" s="30"/>
      <c r="F767" s="54">
        <f t="shared" si="3"/>
        <v>0</v>
      </c>
      <c r="G767" s="47"/>
      <c r="H767" s="178">
        <f t="shared" si="2"/>
        <v>0</v>
      </c>
      <c r="I767" s="179"/>
    </row>
    <row r="768" ht="15.75" customHeight="1">
      <c r="A768" s="7"/>
      <c r="D768" s="62"/>
      <c r="E768" s="30"/>
      <c r="F768" s="54">
        <f t="shared" si="3"/>
        <v>0</v>
      </c>
      <c r="G768" s="47"/>
      <c r="H768" s="178">
        <f t="shared" si="2"/>
        <v>0</v>
      </c>
      <c r="I768" s="179"/>
    </row>
    <row r="769" ht="15.75" customHeight="1">
      <c r="A769" s="7"/>
      <c r="D769" s="62"/>
      <c r="E769" s="30"/>
      <c r="F769" s="54">
        <f t="shared" si="3"/>
        <v>0</v>
      </c>
      <c r="G769" s="47"/>
      <c r="H769" s="178">
        <f t="shared" si="2"/>
        <v>0</v>
      </c>
      <c r="I769" s="179"/>
    </row>
    <row r="770" ht="15.75" customHeight="1">
      <c r="A770" s="7"/>
      <c r="D770" s="62"/>
      <c r="E770" s="30"/>
      <c r="F770" s="54">
        <f t="shared" si="3"/>
        <v>0</v>
      </c>
      <c r="G770" s="47"/>
      <c r="H770" s="178">
        <f t="shared" si="2"/>
        <v>0</v>
      </c>
      <c r="I770" s="179"/>
    </row>
    <row r="771" ht="15.75" customHeight="1">
      <c r="A771" s="7"/>
      <c r="D771" s="62"/>
      <c r="E771" s="30"/>
      <c r="F771" s="54">
        <f t="shared" si="3"/>
        <v>0</v>
      </c>
      <c r="G771" s="47"/>
      <c r="H771" s="178">
        <f t="shared" si="2"/>
        <v>0</v>
      </c>
      <c r="I771" s="179"/>
    </row>
    <row r="772" ht="15.75" customHeight="1">
      <c r="A772" s="7"/>
      <c r="D772" s="62"/>
      <c r="E772" s="30"/>
      <c r="F772" s="54">
        <f t="shared" si="3"/>
        <v>0</v>
      </c>
      <c r="G772" s="47"/>
      <c r="H772" s="178">
        <f t="shared" si="2"/>
        <v>0</v>
      </c>
      <c r="I772" s="179"/>
    </row>
    <row r="773" ht="15.75" customHeight="1">
      <c r="A773" s="7"/>
      <c r="D773" s="62"/>
      <c r="E773" s="30"/>
      <c r="F773" s="54">
        <f t="shared" si="3"/>
        <v>0</v>
      </c>
      <c r="G773" s="47"/>
      <c r="H773" s="178">
        <f t="shared" si="2"/>
        <v>0</v>
      </c>
      <c r="I773" s="179"/>
    </row>
    <row r="774" ht="15.75" customHeight="1">
      <c r="A774" s="7"/>
      <c r="D774" s="62"/>
      <c r="E774" s="30"/>
      <c r="F774" s="54">
        <f t="shared" si="3"/>
        <v>0</v>
      </c>
      <c r="G774" s="47"/>
      <c r="H774" s="178">
        <f t="shared" si="2"/>
        <v>0</v>
      </c>
      <c r="I774" s="179"/>
    </row>
    <row r="775" ht="15.75" customHeight="1">
      <c r="A775" s="7"/>
      <c r="D775" s="62"/>
      <c r="E775" s="30"/>
      <c r="F775" s="54">
        <f t="shared" si="3"/>
        <v>0</v>
      </c>
      <c r="G775" s="47"/>
      <c r="H775" s="178">
        <f t="shared" si="2"/>
        <v>0</v>
      </c>
      <c r="I775" s="179"/>
    </row>
    <row r="776" ht="15.75" customHeight="1">
      <c r="A776" s="7"/>
      <c r="D776" s="62"/>
      <c r="E776" s="30"/>
      <c r="F776" s="54">
        <f t="shared" si="3"/>
        <v>0</v>
      </c>
      <c r="G776" s="47"/>
      <c r="H776" s="178">
        <f t="shared" si="2"/>
        <v>0</v>
      </c>
      <c r="I776" s="179"/>
    </row>
    <row r="777" ht="15.75" customHeight="1">
      <c r="A777" s="7"/>
      <c r="D777" s="62"/>
      <c r="E777" s="30"/>
      <c r="F777" s="54">
        <f t="shared" si="3"/>
        <v>0</v>
      </c>
      <c r="G777" s="47"/>
      <c r="H777" s="178">
        <f t="shared" si="2"/>
        <v>0</v>
      </c>
      <c r="I777" s="179"/>
    </row>
    <row r="778" ht="15.75" customHeight="1">
      <c r="A778" s="7"/>
      <c r="D778" s="62"/>
      <c r="E778" s="30"/>
      <c r="F778" s="54">
        <f t="shared" si="3"/>
        <v>0</v>
      </c>
      <c r="G778" s="47"/>
      <c r="H778" s="178">
        <f t="shared" si="2"/>
        <v>0</v>
      </c>
      <c r="I778" s="179"/>
    </row>
    <row r="779" ht="15.75" customHeight="1">
      <c r="A779" s="7"/>
      <c r="D779" s="62"/>
      <c r="E779" s="30"/>
      <c r="F779" s="54">
        <f t="shared" si="3"/>
        <v>0</v>
      </c>
      <c r="G779" s="47"/>
      <c r="H779" s="178">
        <f t="shared" si="2"/>
        <v>0</v>
      </c>
      <c r="I779" s="179"/>
    </row>
    <row r="780" ht="15.75" customHeight="1">
      <c r="A780" s="7"/>
      <c r="D780" s="62"/>
      <c r="E780" s="30"/>
      <c r="F780" s="54">
        <f t="shared" si="3"/>
        <v>0</v>
      </c>
      <c r="G780" s="47"/>
      <c r="H780" s="178">
        <f t="shared" si="2"/>
        <v>0</v>
      </c>
      <c r="I780" s="179"/>
    </row>
    <row r="781" ht="15.75" customHeight="1">
      <c r="A781" s="7"/>
      <c r="D781" s="62"/>
      <c r="E781" s="30"/>
      <c r="F781" s="54">
        <f t="shared" si="3"/>
        <v>0</v>
      </c>
      <c r="G781" s="47"/>
      <c r="H781" s="178">
        <f t="shared" si="2"/>
        <v>0</v>
      </c>
      <c r="I781" s="179"/>
    </row>
    <row r="782" ht="15.75" customHeight="1">
      <c r="A782" s="7"/>
      <c r="D782" s="62"/>
      <c r="E782" s="30"/>
      <c r="F782" s="54">
        <f t="shared" si="3"/>
        <v>0</v>
      </c>
      <c r="G782" s="47"/>
      <c r="H782" s="178">
        <f t="shared" si="2"/>
        <v>0</v>
      </c>
      <c r="I782" s="179"/>
    </row>
    <row r="783" ht="15.75" customHeight="1">
      <c r="A783" s="7"/>
      <c r="D783" s="62"/>
      <c r="E783" s="30"/>
      <c r="F783" s="54">
        <f t="shared" si="3"/>
        <v>0</v>
      </c>
      <c r="G783" s="47"/>
      <c r="H783" s="178">
        <f t="shared" si="2"/>
        <v>0</v>
      </c>
      <c r="I783" s="179"/>
    </row>
    <row r="784" ht="15.75" customHeight="1">
      <c r="A784" s="7"/>
      <c r="D784" s="62"/>
      <c r="E784" s="30"/>
      <c r="F784" s="54">
        <f t="shared" si="3"/>
        <v>0</v>
      </c>
      <c r="G784" s="47"/>
      <c r="H784" s="178">
        <f t="shared" si="2"/>
        <v>0</v>
      </c>
      <c r="I784" s="179"/>
    </row>
    <row r="785" ht="15.75" customHeight="1">
      <c r="A785" s="7"/>
      <c r="D785" s="62"/>
      <c r="E785" s="30"/>
      <c r="F785" s="54">
        <f t="shared" si="3"/>
        <v>0</v>
      </c>
      <c r="G785" s="47"/>
      <c r="H785" s="178">
        <f t="shared" si="2"/>
        <v>0</v>
      </c>
      <c r="I785" s="179"/>
    </row>
    <row r="786" ht="15.75" customHeight="1">
      <c r="A786" s="7"/>
      <c r="D786" s="62"/>
      <c r="E786" s="30"/>
      <c r="F786" s="54">
        <f t="shared" si="3"/>
        <v>0</v>
      </c>
      <c r="G786" s="47"/>
      <c r="H786" s="178">
        <f t="shared" si="2"/>
        <v>0</v>
      </c>
      <c r="I786" s="179"/>
    </row>
    <row r="787" ht="15.75" customHeight="1">
      <c r="A787" s="7"/>
      <c r="D787" s="62"/>
      <c r="E787" s="30"/>
      <c r="F787" s="54">
        <f t="shared" si="3"/>
        <v>0</v>
      </c>
      <c r="G787" s="47"/>
      <c r="H787" s="178">
        <f t="shared" si="2"/>
        <v>0</v>
      </c>
      <c r="I787" s="179"/>
    </row>
    <row r="788" ht="15.75" customHeight="1">
      <c r="A788" s="7"/>
      <c r="D788" s="62"/>
      <c r="E788" s="30"/>
      <c r="F788" s="54">
        <f t="shared" si="3"/>
        <v>0</v>
      </c>
      <c r="G788" s="47"/>
      <c r="H788" s="178">
        <f t="shared" si="2"/>
        <v>0</v>
      </c>
      <c r="I788" s="179"/>
    </row>
    <row r="789" ht="15.75" customHeight="1">
      <c r="A789" s="7"/>
      <c r="D789" s="62"/>
      <c r="E789" s="30"/>
      <c r="F789" s="54">
        <f t="shared" si="3"/>
        <v>0</v>
      </c>
      <c r="G789" s="47"/>
      <c r="H789" s="178">
        <f t="shared" si="2"/>
        <v>0</v>
      </c>
      <c r="I789" s="179"/>
    </row>
    <row r="790" ht="15.75" customHeight="1">
      <c r="A790" s="7"/>
      <c r="D790" s="62"/>
      <c r="E790" s="30"/>
      <c r="F790" s="54">
        <f t="shared" si="3"/>
        <v>0</v>
      </c>
      <c r="G790" s="47"/>
      <c r="H790" s="178">
        <f t="shared" si="2"/>
        <v>0</v>
      </c>
      <c r="I790" s="179"/>
    </row>
    <row r="791" ht="15.75" customHeight="1">
      <c r="A791" s="7"/>
      <c r="D791" s="62"/>
      <c r="E791" s="30"/>
      <c r="F791" s="54">
        <f t="shared" si="3"/>
        <v>0</v>
      </c>
      <c r="G791" s="47"/>
      <c r="H791" s="178">
        <f t="shared" si="2"/>
        <v>0</v>
      </c>
      <c r="I791" s="179"/>
    </row>
    <row r="792" ht="15.75" customHeight="1">
      <c r="A792" s="7"/>
      <c r="D792" s="62"/>
      <c r="E792" s="30"/>
      <c r="F792" s="54">
        <f t="shared" si="3"/>
        <v>0</v>
      </c>
      <c r="G792" s="47"/>
      <c r="H792" s="178">
        <f t="shared" si="2"/>
        <v>0</v>
      </c>
      <c r="I792" s="179"/>
    </row>
    <row r="793" ht="15.75" customHeight="1">
      <c r="A793" s="7"/>
      <c r="D793" s="62"/>
      <c r="E793" s="30"/>
      <c r="F793" s="54">
        <f t="shared" si="3"/>
        <v>0</v>
      </c>
      <c r="G793" s="47"/>
      <c r="H793" s="178">
        <f t="shared" si="2"/>
        <v>0</v>
      </c>
      <c r="I793" s="179"/>
    </row>
    <row r="794" ht="15.75" customHeight="1">
      <c r="A794" s="7"/>
      <c r="D794" s="62"/>
      <c r="E794" s="30"/>
      <c r="F794" s="54">
        <f t="shared" si="3"/>
        <v>0</v>
      </c>
      <c r="G794" s="47"/>
      <c r="H794" s="178">
        <f t="shared" si="2"/>
        <v>0</v>
      </c>
      <c r="I794" s="179"/>
    </row>
    <row r="795" ht="15.75" customHeight="1">
      <c r="A795" s="7"/>
      <c r="D795" s="62"/>
      <c r="E795" s="30"/>
      <c r="F795" s="54">
        <f t="shared" si="3"/>
        <v>0</v>
      </c>
      <c r="G795" s="47"/>
      <c r="H795" s="178">
        <f t="shared" si="2"/>
        <v>0</v>
      </c>
      <c r="I795" s="179"/>
    </row>
    <row r="796" ht="15.75" customHeight="1">
      <c r="A796" s="7"/>
      <c r="D796" s="62"/>
      <c r="E796" s="30"/>
      <c r="F796" s="54">
        <f t="shared" si="3"/>
        <v>0</v>
      </c>
      <c r="G796" s="47"/>
      <c r="H796" s="178">
        <f t="shared" si="2"/>
        <v>0</v>
      </c>
      <c r="I796" s="179"/>
    </row>
    <row r="797" ht="15.75" customHeight="1">
      <c r="A797" s="7"/>
      <c r="D797" s="62"/>
      <c r="E797" s="30"/>
      <c r="F797" s="54">
        <f t="shared" si="3"/>
        <v>0</v>
      </c>
      <c r="G797" s="47"/>
      <c r="H797" s="178">
        <f t="shared" si="2"/>
        <v>0</v>
      </c>
      <c r="I797" s="179"/>
    </row>
    <row r="798" ht="15.75" customHeight="1">
      <c r="A798" s="7"/>
      <c r="D798" s="62"/>
      <c r="E798" s="30"/>
      <c r="F798" s="54">
        <f t="shared" si="3"/>
        <v>0</v>
      </c>
      <c r="G798" s="47"/>
      <c r="H798" s="178">
        <f t="shared" si="2"/>
        <v>0</v>
      </c>
      <c r="I798" s="179"/>
    </row>
    <row r="799" ht="15.75" customHeight="1">
      <c r="A799" s="7"/>
      <c r="D799" s="62"/>
      <c r="E799" s="30"/>
      <c r="F799" s="54">
        <f t="shared" si="3"/>
        <v>0</v>
      </c>
      <c r="G799" s="47"/>
      <c r="H799" s="178">
        <f t="shared" si="2"/>
        <v>0</v>
      </c>
      <c r="I799" s="179"/>
    </row>
    <row r="800" ht="15.75" customHeight="1">
      <c r="A800" s="7"/>
      <c r="D800" s="62"/>
      <c r="E800" s="30"/>
      <c r="F800" s="54">
        <f t="shared" si="3"/>
        <v>0</v>
      </c>
      <c r="G800" s="47"/>
      <c r="H800" s="178">
        <f t="shared" si="2"/>
        <v>0</v>
      </c>
      <c r="I800" s="179"/>
    </row>
    <row r="801" ht="15.75" customHeight="1">
      <c r="A801" s="7"/>
      <c r="D801" s="62"/>
      <c r="E801" s="30"/>
      <c r="F801" s="54">
        <f t="shared" si="3"/>
        <v>0</v>
      </c>
      <c r="G801" s="47"/>
      <c r="H801" s="178">
        <f t="shared" si="2"/>
        <v>0</v>
      </c>
      <c r="I801" s="179"/>
    </row>
    <row r="802" ht="15.75" customHeight="1">
      <c r="A802" s="7"/>
      <c r="D802" s="62"/>
      <c r="E802" s="30"/>
      <c r="F802" s="54">
        <f t="shared" si="3"/>
        <v>0</v>
      </c>
      <c r="G802" s="47"/>
      <c r="H802" s="178">
        <f t="shared" si="2"/>
        <v>0</v>
      </c>
      <c r="I802" s="179"/>
    </row>
    <row r="803" ht="15.75" customHeight="1">
      <c r="A803" s="7"/>
      <c r="D803" s="62"/>
      <c r="E803" s="30"/>
      <c r="F803" s="54">
        <f t="shared" si="3"/>
        <v>0</v>
      </c>
      <c r="G803" s="47"/>
      <c r="H803" s="178">
        <f t="shared" si="2"/>
        <v>0</v>
      </c>
      <c r="I803" s="179"/>
    </row>
    <row r="804" ht="15.75" customHeight="1">
      <c r="A804" s="7"/>
      <c r="D804" s="62"/>
      <c r="E804" s="30"/>
      <c r="F804" s="54">
        <f t="shared" si="3"/>
        <v>0</v>
      </c>
      <c r="G804" s="47"/>
      <c r="H804" s="178">
        <f t="shared" si="2"/>
        <v>0</v>
      </c>
      <c r="I804" s="179"/>
    </row>
    <row r="805" ht="15.75" customHeight="1">
      <c r="A805" s="7"/>
      <c r="D805" s="62"/>
      <c r="E805" s="30"/>
      <c r="F805" s="54">
        <f t="shared" si="3"/>
        <v>0</v>
      </c>
      <c r="G805" s="47"/>
      <c r="H805" s="178">
        <f t="shared" si="2"/>
        <v>0</v>
      </c>
      <c r="I805" s="179"/>
    </row>
    <row r="806" ht="15.75" customHeight="1">
      <c r="A806" s="7"/>
      <c r="D806" s="62"/>
      <c r="E806" s="30"/>
      <c r="F806" s="54">
        <f t="shared" si="3"/>
        <v>0</v>
      </c>
      <c r="G806" s="47"/>
      <c r="H806" s="178">
        <f t="shared" si="2"/>
        <v>0</v>
      </c>
      <c r="I806" s="179"/>
    </row>
    <row r="807" ht="15.75" customHeight="1">
      <c r="A807" s="7"/>
      <c r="D807" s="62"/>
      <c r="E807" s="30"/>
      <c r="F807" s="54">
        <f t="shared" si="3"/>
        <v>0</v>
      </c>
      <c r="G807" s="47"/>
      <c r="H807" s="178">
        <f t="shared" si="2"/>
        <v>0</v>
      </c>
      <c r="I807" s="179"/>
    </row>
    <row r="808" ht="15.75" customHeight="1">
      <c r="A808" s="7"/>
      <c r="D808" s="62"/>
      <c r="E808" s="30"/>
      <c r="F808" s="54">
        <f t="shared" si="3"/>
        <v>0</v>
      </c>
      <c r="G808" s="47"/>
      <c r="H808" s="178">
        <f t="shared" si="2"/>
        <v>0</v>
      </c>
      <c r="I808" s="179"/>
    </row>
    <row r="809" ht="15.75" customHeight="1">
      <c r="A809" s="7"/>
      <c r="D809" s="62"/>
      <c r="E809" s="30"/>
      <c r="F809" s="54">
        <f t="shared" si="3"/>
        <v>0</v>
      </c>
      <c r="G809" s="47"/>
      <c r="H809" s="178">
        <f t="shared" si="2"/>
        <v>0</v>
      </c>
      <c r="I809" s="179"/>
    </row>
    <row r="810" ht="15.75" customHeight="1">
      <c r="A810" s="7"/>
      <c r="D810" s="62"/>
      <c r="E810" s="30"/>
      <c r="F810" s="54">
        <f t="shared" si="3"/>
        <v>0</v>
      </c>
      <c r="G810" s="47"/>
      <c r="H810" s="178">
        <f t="shared" si="2"/>
        <v>0</v>
      </c>
      <c r="I810" s="179"/>
    </row>
    <row r="811" ht="15.75" customHeight="1">
      <c r="A811" s="7"/>
      <c r="D811" s="62"/>
      <c r="E811" s="30"/>
      <c r="F811" s="54">
        <f t="shared" si="3"/>
        <v>0</v>
      </c>
      <c r="G811" s="47"/>
      <c r="H811" s="178">
        <f t="shared" si="2"/>
        <v>0</v>
      </c>
      <c r="I811" s="179"/>
    </row>
    <row r="812" ht="15.75" customHeight="1">
      <c r="A812" s="7"/>
      <c r="D812" s="62"/>
      <c r="E812" s="30"/>
      <c r="F812" s="54">
        <f t="shared" si="3"/>
        <v>0</v>
      </c>
      <c r="G812" s="47"/>
      <c r="H812" s="178">
        <f t="shared" si="2"/>
        <v>0</v>
      </c>
      <c r="I812" s="179"/>
    </row>
    <row r="813" ht="15.75" customHeight="1">
      <c r="A813" s="7"/>
      <c r="D813" s="62"/>
      <c r="E813" s="30"/>
      <c r="F813" s="54">
        <f t="shared" si="3"/>
        <v>0</v>
      </c>
      <c r="G813" s="47"/>
      <c r="H813" s="178">
        <f t="shared" si="2"/>
        <v>0</v>
      </c>
      <c r="I813" s="179"/>
    </row>
    <row r="814" ht="15.75" customHeight="1">
      <c r="A814" s="7"/>
      <c r="D814" s="62"/>
      <c r="E814" s="30"/>
      <c r="F814" s="54">
        <f t="shared" si="3"/>
        <v>0</v>
      </c>
      <c r="G814" s="47"/>
      <c r="H814" s="178">
        <f t="shared" si="2"/>
        <v>0</v>
      </c>
      <c r="I814" s="179"/>
    </row>
    <row r="815" ht="15.75" customHeight="1">
      <c r="A815" s="7"/>
      <c r="D815" s="62"/>
      <c r="E815" s="30"/>
      <c r="F815" s="54">
        <f t="shared" si="3"/>
        <v>0</v>
      </c>
      <c r="G815" s="47"/>
      <c r="H815" s="178">
        <f t="shared" si="2"/>
        <v>0</v>
      </c>
      <c r="I815" s="179"/>
    </row>
    <row r="816" ht="15.75" customHeight="1">
      <c r="A816" s="7"/>
      <c r="D816" s="62"/>
      <c r="E816" s="30"/>
      <c r="F816" s="54">
        <f t="shared" si="3"/>
        <v>0</v>
      </c>
      <c r="G816" s="47"/>
      <c r="H816" s="178">
        <f t="shared" si="2"/>
        <v>0</v>
      </c>
      <c r="I816" s="179"/>
    </row>
    <row r="817" ht="15.75" customHeight="1">
      <c r="A817" s="7"/>
      <c r="D817" s="62"/>
      <c r="E817" s="30"/>
      <c r="F817" s="54">
        <f t="shared" si="3"/>
        <v>0</v>
      </c>
      <c r="G817" s="47"/>
      <c r="H817" s="178">
        <f t="shared" si="2"/>
        <v>0</v>
      </c>
      <c r="I817" s="179"/>
    </row>
    <row r="818" ht="15.75" customHeight="1">
      <c r="A818" s="7"/>
      <c r="D818" s="62"/>
      <c r="E818" s="30"/>
      <c r="F818" s="54">
        <f t="shared" si="3"/>
        <v>0</v>
      </c>
      <c r="G818" s="47"/>
      <c r="H818" s="178">
        <f t="shared" si="2"/>
        <v>0</v>
      </c>
      <c r="I818" s="179"/>
    </row>
    <row r="819" ht="15.75" customHeight="1">
      <c r="A819" s="7"/>
      <c r="D819" s="62"/>
      <c r="E819" s="30"/>
      <c r="F819" s="54">
        <f t="shared" si="3"/>
        <v>0</v>
      </c>
      <c r="G819" s="47"/>
      <c r="H819" s="178">
        <f t="shared" si="2"/>
        <v>0</v>
      </c>
      <c r="I819" s="179"/>
    </row>
    <row r="820" ht="15.75" customHeight="1">
      <c r="A820" s="7"/>
      <c r="D820" s="62"/>
      <c r="E820" s="30"/>
      <c r="F820" s="54">
        <f t="shared" si="3"/>
        <v>0</v>
      </c>
      <c r="G820" s="47"/>
      <c r="H820" s="178">
        <f t="shared" si="2"/>
        <v>0</v>
      </c>
      <c r="I820" s="179"/>
    </row>
    <row r="821" ht="15.75" customHeight="1">
      <c r="A821" s="7"/>
      <c r="D821" s="62"/>
      <c r="E821" s="30"/>
      <c r="F821" s="54">
        <f t="shared" si="3"/>
        <v>0</v>
      </c>
      <c r="G821" s="47"/>
      <c r="H821" s="178">
        <f t="shared" si="2"/>
        <v>0</v>
      </c>
      <c r="I821" s="179"/>
    </row>
    <row r="822" ht="15.75" customHeight="1">
      <c r="A822" s="7"/>
      <c r="D822" s="62"/>
      <c r="E822" s="30"/>
      <c r="F822" s="54">
        <f t="shared" si="3"/>
        <v>0</v>
      </c>
      <c r="G822" s="47"/>
      <c r="H822" s="178">
        <f t="shared" si="2"/>
        <v>0</v>
      </c>
      <c r="I822" s="179"/>
    </row>
    <row r="823" ht="15.75" customHeight="1">
      <c r="A823" s="7"/>
      <c r="D823" s="62"/>
      <c r="E823" s="30"/>
      <c r="F823" s="54">
        <f t="shared" si="3"/>
        <v>0</v>
      </c>
      <c r="G823" s="47"/>
      <c r="H823" s="178">
        <f t="shared" si="2"/>
        <v>0</v>
      </c>
      <c r="I823" s="179"/>
    </row>
    <row r="824" ht="15.75" customHeight="1">
      <c r="A824" s="7"/>
      <c r="D824" s="62"/>
      <c r="E824" s="30"/>
      <c r="F824" s="54">
        <f t="shared" si="3"/>
        <v>0</v>
      </c>
      <c r="G824" s="47"/>
      <c r="H824" s="178">
        <f t="shared" si="2"/>
        <v>0</v>
      </c>
      <c r="I824" s="179"/>
    </row>
    <row r="825" ht="15.75" customHeight="1">
      <c r="A825" s="7"/>
      <c r="D825" s="62"/>
      <c r="E825" s="30"/>
      <c r="F825" s="54">
        <f t="shared" si="3"/>
        <v>0</v>
      </c>
      <c r="G825" s="47"/>
      <c r="H825" s="178">
        <f t="shared" si="2"/>
        <v>0</v>
      </c>
      <c r="I825" s="179"/>
    </row>
    <row r="826" ht="15.75" customHeight="1">
      <c r="A826" s="7"/>
      <c r="D826" s="62"/>
      <c r="E826" s="30"/>
      <c r="F826" s="54">
        <f t="shared" si="3"/>
        <v>0</v>
      </c>
      <c r="G826" s="47"/>
      <c r="H826" s="178">
        <f t="shared" si="2"/>
        <v>0</v>
      </c>
      <c r="I826" s="179"/>
    </row>
    <row r="827" ht="15.75" customHeight="1">
      <c r="A827" s="7"/>
      <c r="D827" s="62"/>
      <c r="E827" s="30"/>
      <c r="F827" s="54">
        <f t="shared" si="3"/>
        <v>0</v>
      </c>
      <c r="G827" s="47"/>
      <c r="H827" s="178">
        <f t="shared" si="2"/>
        <v>0</v>
      </c>
      <c r="I827" s="179"/>
    </row>
    <row r="828" ht="15.75" customHeight="1">
      <c r="A828" s="7"/>
      <c r="D828" s="62"/>
      <c r="E828" s="30"/>
      <c r="F828" s="54">
        <f t="shared" si="3"/>
        <v>0</v>
      </c>
      <c r="G828" s="47"/>
      <c r="H828" s="178">
        <f t="shared" si="2"/>
        <v>0</v>
      </c>
      <c r="I828" s="179"/>
    </row>
    <row r="829" ht="15.75" customHeight="1">
      <c r="A829" s="7"/>
      <c r="D829" s="62"/>
      <c r="E829" s="30"/>
      <c r="F829" s="54">
        <f t="shared" si="3"/>
        <v>0</v>
      </c>
      <c r="G829" s="47"/>
      <c r="H829" s="178">
        <f t="shared" si="2"/>
        <v>0</v>
      </c>
      <c r="I829" s="179"/>
    </row>
    <row r="830" ht="15.75" customHeight="1">
      <c r="A830" s="7"/>
      <c r="D830" s="62"/>
      <c r="E830" s="30"/>
      <c r="F830" s="54">
        <f t="shared" si="3"/>
        <v>0</v>
      </c>
      <c r="G830" s="47"/>
      <c r="H830" s="178">
        <f t="shared" si="2"/>
        <v>0</v>
      </c>
      <c r="I830" s="179"/>
    </row>
    <row r="831" ht="15.75" customHeight="1">
      <c r="A831" s="7"/>
      <c r="D831" s="62"/>
      <c r="E831" s="30"/>
      <c r="F831" s="54">
        <f t="shared" si="3"/>
        <v>0</v>
      </c>
      <c r="G831" s="47"/>
      <c r="H831" s="178">
        <f t="shared" si="2"/>
        <v>0</v>
      </c>
      <c r="I831" s="179"/>
    </row>
    <row r="832" ht="15.75" customHeight="1">
      <c r="A832" s="7"/>
      <c r="D832" s="62"/>
      <c r="E832" s="30"/>
      <c r="F832" s="54">
        <f t="shared" si="3"/>
        <v>0</v>
      </c>
      <c r="G832" s="47"/>
      <c r="H832" s="178">
        <f t="shared" si="2"/>
        <v>0</v>
      </c>
      <c r="I832" s="179"/>
    </row>
    <row r="833" ht="15.75" customHeight="1">
      <c r="A833" s="7"/>
      <c r="D833" s="62"/>
      <c r="E833" s="30"/>
      <c r="F833" s="54">
        <f t="shared" si="3"/>
        <v>0</v>
      </c>
      <c r="G833" s="47"/>
      <c r="H833" s="178">
        <f t="shared" si="2"/>
        <v>0</v>
      </c>
      <c r="I833" s="179"/>
    </row>
    <row r="834" ht="15.75" customHeight="1">
      <c r="A834" s="7"/>
      <c r="D834" s="62"/>
      <c r="E834" s="30"/>
      <c r="F834" s="54">
        <f t="shared" si="3"/>
        <v>0</v>
      </c>
      <c r="G834" s="47"/>
      <c r="H834" s="178">
        <f t="shared" si="2"/>
        <v>0</v>
      </c>
      <c r="I834" s="179"/>
    </row>
    <row r="835" ht="15.75" customHeight="1">
      <c r="A835" s="7"/>
      <c r="D835" s="62"/>
      <c r="E835" s="30"/>
      <c r="F835" s="54">
        <f t="shared" si="3"/>
        <v>0</v>
      </c>
      <c r="G835" s="47"/>
      <c r="H835" s="178">
        <f t="shared" si="2"/>
        <v>0</v>
      </c>
      <c r="I835" s="179"/>
    </row>
    <row r="836" ht="15.75" customHeight="1">
      <c r="A836" s="7"/>
      <c r="D836" s="62"/>
      <c r="E836" s="30"/>
      <c r="F836" s="54">
        <f t="shared" si="3"/>
        <v>0</v>
      </c>
      <c r="G836" s="47"/>
      <c r="H836" s="178">
        <f t="shared" si="2"/>
        <v>0</v>
      </c>
      <c r="I836" s="179"/>
    </row>
    <row r="837" ht="15.75" customHeight="1">
      <c r="A837" s="7"/>
      <c r="D837" s="62"/>
      <c r="E837" s="30"/>
      <c r="F837" s="54">
        <f t="shared" si="3"/>
        <v>0</v>
      </c>
      <c r="G837" s="47"/>
      <c r="H837" s="178">
        <f t="shared" si="2"/>
        <v>0</v>
      </c>
      <c r="I837" s="179"/>
    </row>
    <row r="838" ht="15.75" customHeight="1">
      <c r="A838" s="7"/>
      <c r="D838" s="62"/>
      <c r="E838" s="30"/>
      <c r="F838" s="54">
        <f t="shared" si="3"/>
        <v>0</v>
      </c>
      <c r="G838" s="47"/>
      <c r="H838" s="178">
        <f t="shared" si="2"/>
        <v>0</v>
      </c>
      <c r="I838" s="179"/>
    </row>
    <row r="839" ht="15.75" customHeight="1">
      <c r="A839" s="7"/>
      <c r="D839" s="62"/>
      <c r="E839" s="30"/>
      <c r="F839" s="54">
        <f t="shared" si="3"/>
        <v>0</v>
      </c>
      <c r="G839" s="47"/>
      <c r="H839" s="178">
        <f t="shared" si="2"/>
        <v>0</v>
      </c>
      <c r="I839" s="179"/>
    </row>
    <row r="840" ht="15.75" customHeight="1">
      <c r="A840" s="7"/>
      <c r="D840" s="62"/>
      <c r="E840" s="30"/>
      <c r="F840" s="54">
        <f t="shared" si="3"/>
        <v>0</v>
      </c>
      <c r="G840" s="47"/>
      <c r="H840" s="178">
        <f t="shared" si="2"/>
        <v>0</v>
      </c>
      <c r="I840" s="179"/>
    </row>
    <row r="841" ht="15.75" customHeight="1">
      <c r="A841" s="7"/>
      <c r="D841" s="62"/>
      <c r="E841" s="30"/>
      <c r="F841" s="54">
        <f t="shared" si="3"/>
        <v>0</v>
      </c>
      <c r="G841" s="47"/>
      <c r="H841" s="178">
        <f t="shared" si="2"/>
        <v>0</v>
      </c>
      <c r="I841" s="179"/>
    </row>
    <row r="842" ht="15.75" customHeight="1">
      <c r="A842" s="7"/>
      <c r="D842" s="62"/>
      <c r="E842" s="30"/>
      <c r="F842" s="54">
        <f t="shared" si="3"/>
        <v>0</v>
      </c>
      <c r="G842" s="47"/>
      <c r="H842" s="178">
        <f t="shared" si="2"/>
        <v>0</v>
      </c>
      <c r="I842" s="179"/>
    </row>
    <row r="843" ht="15.75" customHeight="1">
      <c r="A843" s="7"/>
      <c r="D843" s="62"/>
      <c r="E843" s="30"/>
      <c r="F843" s="54">
        <f t="shared" si="3"/>
        <v>0</v>
      </c>
      <c r="G843" s="47"/>
      <c r="H843" s="178">
        <f t="shared" si="2"/>
        <v>0</v>
      </c>
      <c r="I843" s="179"/>
    </row>
    <row r="844" ht="15.75" customHeight="1">
      <c r="A844" s="7"/>
      <c r="D844" s="62"/>
      <c r="E844" s="30"/>
      <c r="F844" s="54">
        <f t="shared" si="3"/>
        <v>0</v>
      </c>
      <c r="G844" s="47"/>
      <c r="H844" s="178">
        <f t="shared" si="2"/>
        <v>0</v>
      </c>
      <c r="I844" s="179"/>
    </row>
    <row r="845" ht="15.75" customHeight="1">
      <c r="A845" s="7"/>
      <c r="D845" s="62"/>
      <c r="E845" s="30"/>
      <c r="F845" s="54">
        <f t="shared" si="3"/>
        <v>0</v>
      </c>
      <c r="G845" s="47"/>
      <c r="H845" s="178">
        <f t="shared" si="2"/>
        <v>0</v>
      </c>
      <c r="I845" s="179"/>
    </row>
    <row r="846" ht="15.75" customHeight="1">
      <c r="A846" s="7"/>
      <c r="D846" s="62"/>
      <c r="E846" s="30"/>
      <c r="F846" s="54">
        <f t="shared" si="3"/>
        <v>0</v>
      </c>
      <c r="G846" s="47"/>
      <c r="H846" s="178">
        <f t="shared" si="2"/>
        <v>0</v>
      </c>
      <c r="I846" s="179"/>
    </row>
    <row r="847" ht="15.75" customHeight="1">
      <c r="A847" s="7"/>
      <c r="D847" s="62"/>
      <c r="E847" s="30"/>
      <c r="F847" s="54">
        <f t="shared" si="3"/>
        <v>0</v>
      </c>
      <c r="G847" s="47"/>
      <c r="H847" s="178">
        <f t="shared" si="2"/>
        <v>0</v>
      </c>
      <c r="I847" s="179"/>
    </row>
    <row r="848" ht="15.75" customHeight="1">
      <c r="A848" s="7"/>
      <c r="D848" s="62"/>
      <c r="E848" s="30"/>
      <c r="F848" s="54">
        <f t="shared" si="3"/>
        <v>0</v>
      </c>
      <c r="G848" s="47"/>
      <c r="H848" s="178">
        <f t="shared" si="2"/>
        <v>0</v>
      </c>
      <c r="I848" s="179"/>
    </row>
    <row r="849" ht="15.75" customHeight="1">
      <c r="A849" s="7"/>
      <c r="D849" s="62"/>
      <c r="E849" s="30"/>
      <c r="F849" s="54">
        <f t="shared" si="3"/>
        <v>0</v>
      </c>
      <c r="G849" s="47"/>
      <c r="H849" s="178">
        <f t="shared" si="2"/>
        <v>0</v>
      </c>
      <c r="I849" s="179"/>
    </row>
    <row r="850" ht="15.75" customHeight="1">
      <c r="A850" s="7"/>
      <c r="D850" s="62"/>
      <c r="E850" s="30"/>
      <c r="F850" s="54">
        <f t="shared" si="3"/>
        <v>0</v>
      </c>
      <c r="G850" s="47"/>
      <c r="H850" s="178">
        <f t="shared" si="2"/>
        <v>0</v>
      </c>
      <c r="I850" s="179"/>
    </row>
    <row r="851" ht="15.75" customHeight="1">
      <c r="A851" s="7"/>
      <c r="D851" s="62"/>
      <c r="E851" s="30"/>
      <c r="F851" s="54">
        <f t="shared" si="3"/>
        <v>0</v>
      </c>
      <c r="G851" s="47"/>
      <c r="H851" s="178">
        <f t="shared" si="2"/>
        <v>0</v>
      </c>
      <c r="I851" s="179"/>
    </row>
    <row r="852" ht="15.75" customHeight="1">
      <c r="A852" s="7"/>
      <c r="D852" s="62"/>
      <c r="E852" s="30"/>
      <c r="F852" s="54">
        <f t="shared" si="3"/>
        <v>0</v>
      </c>
      <c r="G852" s="47"/>
      <c r="H852" s="178">
        <f t="shared" si="2"/>
        <v>0</v>
      </c>
      <c r="I852" s="179"/>
    </row>
    <row r="853" ht="15.75" customHeight="1">
      <c r="A853" s="7"/>
      <c r="D853" s="62"/>
      <c r="E853" s="30"/>
      <c r="F853" s="54">
        <f t="shared" si="3"/>
        <v>0</v>
      </c>
      <c r="G853" s="47"/>
      <c r="H853" s="178">
        <f t="shared" si="2"/>
        <v>0</v>
      </c>
      <c r="I853" s="179"/>
    </row>
    <row r="854" ht="15.75" customHeight="1">
      <c r="A854" s="7"/>
      <c r="D854" s="62"/>
      <c r="E854" s="30"/>
      <c r="F854" s="54">
        <f t="shared" si="3"/>
        <v>0</v>
      </c>
      <c r="G854" s="47"/>
      <c r="H854" s="178">
        <f t="shared" si="2"/>
        <v>0</v>
      </c>
      <c r="I854" s="179"/>
    </row>
    <row r="855" ht="15.75" customHeight="1">
      <c r="A855" s="7"/>
      <c r="D855" s="62"/>
      <c r="E855" s="30"/>
      <c r="F855" s="54">
        <f t="shared" si="3"/>
        <v>0</v>
      </c>
      <c r="G855" s="47"/>
      <c r="H855" s="178">
        <f t="shared" si="2"/>
        <v>0</v>
      </c>
      <c r="I855" s="179"/>
    </row>
    <row r="856" ht="15.75" customHeight="1">
      <c r="A856" s="7"/>
      <c r="D856" s="62"/>
      <c r="E856" s="30"/>
      <c r="F856" s="54">
        <f t="shared" si="3"/>
        <v>0</v>
      </c>
      <c r="G856" s="47"/>
      <c r="H856" s="178">
        <f t="shared" si="2"/>
        <v>0</v>
      </c>
      <c r="I856" s="179"/>
    </row>
    <row r="857" ht="15.75" customHeight="1">
      <c r="A857" s="7"/>
      <c r="D857" s="62"/>
      <c r="E857" s="30"/>
      <c r="F857" s="54">
        <f t="shared" si="3"/>
        <v>0</v>
      </c>
      <c r="G857" s="47"/>
      <c r="H857" s="178">
        <f t="shared" si="2"/>
        <v>0</v>
      </c>
      <c r="I857" s="179"/>
    </row>
    <row r="858" ht="15.75" customHeight="1">
      <c r="A858" s="7"/>
      <c r="D858" s="62"/>
      <c r="E858" s="30"/>
      <c r="F858" s="54">
        <f t="shared" si="3"/>
        <v>0</v>
      </c>
      <c r="G858" s="47"/>
      <c r="H858" s="178">
        <f t="shared" si="2"/>
        <v>0</v>
      </c>
      <c r="I858" s="179"/>
    </row>
    <row r="859" ht="15.75" customHeight="1">
      <c r="A859" s="7"/>
      <c r="D859" s="62"/>
      <c r="E859" s="30"/>
      <c r="F859" s="54">
        <f t="shared" si="3"/>
        <v>0</v>
      </c>
      <c r="G859" s="47"/>
      <c r="H859" s="178">
        <f t="shared" si="2"/>
        <v>0</v>
      </c>
      <c r="I859" s="179"/>
    </row>
    <row r="860" ht="15.75" customHeight="1">
      <c r="A860" s="7"/>
      <c r="D860" s="62"/>
      <c r="E860" s="30"/>
      <c r="F860" s="54">
        <f t="shared" si="3"/>
        <v>0</v>
      </c>
      <c r="G860" s="47"/>
      <c r="H860" s="178">
        <f t="shared" si="2"/>
        <v>0</v>
      </c>
      <c r="I860" s="179"/>
    </row>
    <row r="861" ht="15.75" customHeight="1">
      <c r="A861" s="7"/>
      <c r="D861" s="62"/>
      <c r="E861" s="30"/>
      <c r="F861" s="54">
        <f t="shared" si="3"/>
        <v>0</v>
      </c>
      <c r="G861" s="47"/>
      <c r="H861" s="178">
        <f t="shared" si="2"/>
        <v>0</v>
      </c>
      <c r="I861" s="179"/>
    </row>
    <row r="862" ht="15.75" customHeight="1">
      <c r="A862" s="7"/>
      <c r="D862" s="62"/>
      <c r="E862" s="30"/>
      <c r="F862" s="54">
        <f t="shared" si="3"/>
        <v>0</v>
      </c>
      <c r="G862" s="47"/>
      <c r="H862" s="178">
        <f t="shared" si="2"/>
        <v>0</v>
      </c>
      <c r="I862" s="179"/>
    </row>
    <row r="863" ht="15.75" customHeight="1">
      <c r="A863" s="7"/>
      <c r="D863" s="62"/>
      <c r="E863" s="30"/>
      <c r="F863" s="54">
        <f t="shared" si="3"/>
        <v>0</v>
      </c>
      <c r="G863" s="47"/>
      <c r="H863" s="178">
        <f t="shared" si="2"/>
        <v>0</v>
      </c>
      <c r="I863" s="179"/>
    </row>
    <row r="864" ht="15.75" customHeight="1">
      <c r="A864" s="7"/>
      <c r="D864" s="62"/>
      <c r="E864" s="30"/>
      <c r="F864" s="54">
        <f t="shared" si="3"/>
        <v>0</v>
      </c>
      <c r="G864" s="47"/>
      <c r="H864" s="178">
        <f t="shared" si="2"/>
        <v>0</v>
      </c>
      <c r="I864" s="179"/>
    </row>
    <row r="865" ht="15.75" customHeight="1">
      <c r="A865" s="7"/>
      <c r="D865" s="62"/>
      <c r="E865" s="30"/>
      <c r="F865" s="54">
        <f t="shared" si="3"/>
        <v>0</v>
      </c>
      <c r="G865" s="47"/>
      <c r="H865" s="178">
        <f t="shared" si="2"/>
        <v>0</v>
      </c>
      <c r="I865" s="179"/>
    </row>
    <row r="866" ht="15.75" customHeight="1">
      <c r="A866" s="7"/>
      <c r="D866" s="62"/>
      <c r="E866" s="30"/>
      <c r="F866" s="54">
        <f t="shared" si="3"/>
        <v>0</v>
      </c>
      <c r="G866" s="47"/>
      <c r="H866" s="178">
        <f t="shared" si="2"/>
        <v>0</v>
      </c>
      <c r="I866" s="179"/>
    </row>
    <row r="867" ht="15.75" customHeight="1">
      <c r="A867" s="7"/>
      <c r="D867" s="62"/>
      <c r="E867" s="30"/>
      <c r="F867" s="54">
        <f t="shared" si="3"/>
        <v>0</v>
      </c>
      <c r="G867" s="47"/>
      <c r="H867" s="178">
        <f t="shared" si="2"/>
        <v>0</v>
      </c>
      <c r="I867" s="179"/>
    </row>
    <row r="868" ht="15.75" customHeight="1">
      <c r="A868" s="7"/>
      <c r="D868" s="62"/>
      <c r="E868" s="30"/>
      <c r="F868" s="54">
        <f t="shared" si="3"/>
        <v>0</v>
      </c>
      <c r="G868" s="47"/>
      <c r="H868" s="178">
        <f t="shared" si="2"/>
        <v>0</v>
      </c>
      <c r="I868" s="179"/>
    </row>
    <row r="869" ht="15.75" customHeight="1">
      <c r="A869" s="7"/>
      <c r="D869" s="62"/>
      <c r="E869" s="30"/>
      <c r="F869" s="54">
        <f t="shared" si="3"/>
        <v>0</v>
      </c>
      <c r="G869" s="47"/>
      <c r="H869" s="178">
        <f t="shared" si="2"/>
        <v>0</v>
      </c>
      <c r="I869" s="179"/>
    </row>
    <row r="870" ht="15.75" customHeight="1">
      <c r="A870" s="7"/>
      <c r="D870" s="62"/>
      <c r="E870" s="30"/>
      <c r="F870" s="54">
        <f t="shared" si="3"/>
        <v>0</v>
      </c>
      <c r="G870" s="47"/>
      <c r="H870" s="178">
        <f t="shared" si="2"/>
        <v>0</v>
      </c>
      <c r="I870" s="179"/>
    </row>
    <row r="871" ht="15.75" customHeight="1">
      <c r="A871" s="7"/>
      <c r="D871" s="62"/>
      <c r="E871" s="30"/>
      <c r="F871" s="54">
        <f t="shared" si="3"/>
        <v>0</v>
      </c>
      <c r="G871" s="47"/>
      <c r="H871" s="178">
        <f t="shared" si="2"/>
        <v>0</v>
      </c>
      <c r="I871" s="179"/>
    </row>
    <row r="872" ht="15.75" customHeight="1">
      <c r="A872" s="7"/>
      <c r="D872" s="62"/>
      <c r="E872" s="30"/>
      <c r="F872" s="54">
        <f t="shared" si="3"/>
        <v>0</v>
      </c>
      <c r="G872" s="47"/>
      <c r="H872" s="178">
        <f t="shared" si="2"/>
        <v>0</v>
      </c>
      <c r="I872" s="179"/>
    </row>
    <row r="873" ht="15.75" customHeight="1">
      <c r="A873" s="7"/>
      <c r="D873" s="62"/>
      <c r="E873" s="30"/>
      <c r="F873" s="54">
        <f t="shared" si="3"/>
        <v>0</v>
      </c>
      <c r="G873" s="47"/>
      <c r="H873" s="178">
        <f t="shared" si="2"/>
        <v>0</v>
      </c>
      <c r="I873" s="179"/>
    </row>
    <row r="874" ht="15.75" customHeight="1">
      <c r="A874" s="7"/>
      <c r="D874" s="62"/>
      <c r="E874" s="30"/>
      <c r="F874" s="54">
        <f t="shared" si="3"/>
        <v>0</v>
      </c>
      <c r="G874" s="47"/>
      <c r="H874" s="178">
        <f t="shared" si="2"/>
        <v>0</v>
      </c>
      <c r="I874" s="179"/>
    </row>
    <row r="875" ht="15.75" customHeight="1">
      <c r="A875" s="7"/>
      <c r="D875" s="62"/>
      <c r="E875" s="30"/>
      <c r="F875" s="54">
        <f t="shared" si="3"/>
        <v>0</v>
      </c>
      <c r="G875" s="47"/>
      <c r="H875" s="178">
        <f t="shared" si="2"/>
        <v>0</v>
      </c>
      <c r="I875" s="179"/>
    </row>
    <row r="876" ht="15.75" customHeight="1">
      <c r="A876" s="7"/>
      <c r="D876" s="62"/>
      <c r="E876" s="30"/>
      <c r="F876" s="54">
        <f t="shared" si="3"/>
        <v>0</v>
      </c>
      <c r="G876" s="47"/>
      <c r="H876" s="178">
        <f t="shared" si="2"/>
        <v>0</v>
      </c>
      <c r="I876" s="179"/>
    </row>
    <row r="877" ht="15.75" customHeight="1">
      <c r="A877" s="7"/>
      <c r="D877" s="62"/>
      <c r="E877" s="30"/>
      <c r="F877" s="54">
        <f t="shared" si="3"/>
        <v>0</v>
      </c>
      <c r="G877" s="47"/>
      <c r="H877" s="178">
        <f t="shared" si="2"/>
        <v>0</v>
      </c>
      <c r="I877" s="179"/>
    </row>
    <row r="878" ht="15.75" customHeight="1">
      <c r="A878" s="7"/>
      <c r="D878" s="62"/>
      <c r="E878" s="30"/>
      <c r="F878" s="54">
        <f t="shared" si="3"/>
        <v>0</v>
      </c>
      <c r="G878" s="47"/>
      <c r="H878" s="178">
        <f t="shared" si="2"/>
        <v>0</v>
      </c>
      <c r="I878" s="179"/>
    </row>
    <row r="879" ht="15.75" customHeight="1">
      <c r="A879" s="7"/>
      <c r="D879" s="62"/>
      <c r="E879" s="30"/>
      <c r="F879" s="54">
        <f t="shared" si="3"/>
        <v>0</v>
      </c>
      <c r="G879" s="47"/>
      <c r="H879" s="178">
        <f t="shared" si="2"/>
        <v>0</v>
      </c>
      <c r="I879" s="179"/>
    </row>
    <row r="880" ht="15.75" customHeight="1">
      <c r="A880" s="7"/>
      <c r="D880" s="62"/>
      <c r="E880" s="30"/>
      <c r="F880" s="54">
        <f t="shared" si="3"/>
        <v>0</v>
      </c>
      <c r="G880" s="47"/>
      <c r="H880" s="178">
        <f t="shared" si="2"/>
        <v>0</v>
      </c>
      <c r="I880" s="179"/>
    </row>
    <row r="881" ht="15.75" customHeight="1">
      <c r="A881" s="7"/>
      <c r="D881" s="62"/>
      <c r="E881" s="30"/>
      <c r="F881" s="54">
        <f t="shared" si="3"/>
        <v>0</v>
      </c>
      <c r="G881" s="47"/>
      <c r="H881" s="178">
        <f t="shared" si="2"/>
        <v>0</v>
      </c>
      <c r="I881" s="179"/>
    </row>
    <row r="882" ht="15.75" customHeight="1">
      <c r="A882" s="7"/>
      <c r="D882" s="62"/>
      <c r="E882" s="30"/>
      <c r="F882" s="54">
        <f t="shared" si="3"/>
        <v>0</v>
      </c>
      <c r="G882" s="47"/>
      <c r="H882" s="178">
        <f t="shared" si="2"/>
        <v>0</v>
      </c>
      <c r="I882" s="179"/>
    </row>
    <row r="883" ht="15.75" customHeight="1">
      <c r="A883" s="7"/>
      <c r="D883" s="62"/>
      <c r="E883" s="30"/>
      <c r="F883" s="54">
        <f t="shared" si="3"/>
        <v>0</v>
      </c>
      <c r="G883" s="47"/>
      <c r="H883" s="178">
        <f t="shared" si="2"/>
        <v>0</v>
      </c>
      <c r="I883" s="179"/>
    </row>
    <row r="884" ht="15.75" customHeight="1">
      <c r="A884" s="7"/>
      <c r="D884" s="62"/>
      <c r="E884" s="30"/>
      <c r="F884" s="54">
        <f t="shared" si="3"/>
        <v>0</v>
      </c>
      <c r="G884" s="47"/>
      <c r="H884" s="178">
        <f t="shared" si="2"/>
        <v>0</v>
      </c>
      <c r="I884" s="179"/>
    </row>
    <row r="885" ht="15.75" customHeight="1">
      <c r="A885" s="7"/>
      <c r="D885" s="62"/>
      <c r="E885" s="30"/>
      <c r="F885" s="54">
        <f t="shared" si="3"/>
        <v>0</v>
      </c>
      <c r="G885" s="47"/>
      <c r="H885" s="178">
        <f t="shared" si="2"/>
        <v>0</v>
      </c>
      <c r="I885" s="179"/>
    </row>
    <row r="886" ht="15.75" customHeight="1">
      <c r="A886" s="7"/>
      <c r="D886" s="62"/>
      <c r="E886" s="30"/>
      <c r="F886" s="54">
        <f t="shared" si="3"/>
        <v>0</v>
      </c>
      <c r="G886" s="47"/>
      <c r="H886" s="178">
        <f t="shared" si="2"/>
        <v>0</v>
      </c>
      <c r="I886" s="179"/>
    </row>
    <row r="887" ht="15.75" customHeight="1">
      <c r="A887" s="7"/>
      <c r="D887" s="62"/>
      <c r="E887" s="30"/>
      <c r="F887" s="54">
        <f t="shared" si="3"/>
        <v>0</v>
      </c>
      <c r="G887" s="47"/>
      <c r="H887" s="178">
        <f t="shared" si="2"/>
        <v>0</v>
      </c>
      <c r="I887" s="179"/>
    </row>
    <row r="888" ht="15.75" customHeight="1">
      <c r="A888" s="7"/>
      <c r="D888" s="62"/>
      <c r="E888" s="30"/>
      <c r="F888" s="54">
        <f t="shared" si="3"/>
        <v>0</v>
      </c>
      <c r="G888" s="47"/>
      <c r="H888" s="178">
        <f t="shared" si="2"/>
        <v>0</v>
      </c>
      <c r="I888" s="179"/>
    </row>
    <row r="889" ht="15.75" customHeight="1">
      <c r="A889" s="7"/>
      <c r="D889" s="62"/>
      <c r="E889" s="30"/>
      <c r="F889" s="54">
        <f t="shared" si="3"/>
        <v>0</v>
      </c>
      <c r="G889" s="47"/>
      <c r="H889" s="178">
        <f t="shared" si="2"/>
        <v>0</v>
      </c>
      <c r="I889" s="179"/>
    </row>
    <row r="890" ht="15.75" customHeight="1">
      <c r="A890" s="7"/>
      <c r="D890" s="62"/>
      <c r="E890" s="30"/>
      <c r="F890" s="54">
        <f t="shared" si="3"/>
        <v>0</v>
      </c>
      <c r="G890" s="47"/>
      <c r="H890" s="178">
        <f t="shared" si="2"/>
        <v>0</v>
      </c>
      <c r="I890" s="179"/>
    </row>
    <row r="891" ht="15.75" customHeight="1">
      <c r="A891" s="7"/>
      <c r="D891" s="62"/>
      <c r="E891" s="30"/>
      <c r="F891" s="54">
        <f t="shared" si="3"/>
        <v>0</v>
      </c>
      <c r="G891" s="47"/>
      <c r="H891" s="178">
        <f t="shared" si="2"/>
        <v>0</v>
      </c>
      <c r="I891" s="179"/>
    </row>
    <row r="892" ht="15.75" customHeight="1">
      <c r="A892" s="7"/>
      <c r="D892" s="62"/>
      <c r="E892" s="30"/>
      <c r="F892" s="54">
        <f t="shared" si="3"/>
        <v>0</v>
      </c>
      <c r="G892" s="47"/>
      <c r="H892" s="178">
        <f t="shared" si="2"/>
        <v>0</v>
      </c>
      <c r="I892" s="179"/>
    </row>
    <row r="893" ht="15.75" customHeight="1">
      <c r="A893" s="7"/>
      <c r="D893" s="62"/>
      <c r="E893" s="30"/>
      <c r="F893" s="54">
        <f t="shared" si="3"/>
        <v>0</v>
      </c>
      <c r="G893" s="47"/>
      <c r="H893" s="178">
        <f t="shared" si="2"/>
        <v>0</v>
      </c>
      <c r="I893" s="179"/>
    </row>
    <row r="894" ht="15.75" customHeight="1">
      <c r="A894" s="7"/>
      <c r="D894" s="62"/>
      <c r="E894" s="30"/>
      <c r="F894" s="54">
        <f t="shared" si="3"/>
        <v>0</v>
      </c>
      <c r="G894" s="47"/>
      <c r="H894" s="178">
        <f t="shared" si="2"/>
        <v>0</v>
      </c>
      <c r="I894" s="179"/>
    </row>
    <row r="895" ht="15.75" customHeight="1">
      <c r="A895" s="7"/>
      <c r="D895" s="62"/>
      <c r="E895" s="30"/>
      <c r="F895" s="54">
        <f t="shared" si="3"/>
        <v>0</v>
      </c>
      <c r="G895" s="47"/>
      <c r="H895" s="178">
        <f t="shared" si="2"/>
        <v>0</v>
      </c>
      <c r="I895" s="179"/>
    </row>
    <row r="896" ht="15.75" customHeight="1">
      <c r="A896" s="7"/>
      <c r="D896" s="62"/>
      <c r="E896" s="30"/>
      <c r="F896" s="54">
        <f t="shared" si="3"/>
        <v>0</v>
      </c>
      <c r="G896" s="47"/>
      <c r="H896" s="178">
        <f t="shared" si="2"/>
        <v>0</v>
      </c>
      <c r="I896" s="179"/>
    </row>
    <row r="897" ht="15.75" customHeight="1">
      <c r="A897" s="7"/>
      <c r="D897" s="62"/>
      <c r="E897" s="30"/>
      <c r="F897" s="54">
        <f t="shared" si="3"/>
        <v>0</v>
      </c>
      <c r="G897" s="47"/>
      <c r="H897" s="178">
        <f t="shared" si="2"/>
        <v>0</v>
      </c>
      <c r="I897" s="179"/>
    </row>
    <row r="898" ht="15.75" customHeight="1">
      <c r="A898" s="7"/>
      <c r="D898" s="62"/>
      <c r="E898" s="30"/>
      <c r="F898" s="54">
        <f t="shared" si="3"/>
        <v>0</v>
      </c>
      <c r="G898" s="47"/>
      <c r="H898" s="178">
        <f t="shared" si="2"/>
        <v>0</v>
      </c>
      <c r="I898" s="179"/>
    </row>
    <row r="899" ht="15.75" customHeight="1">
      <c r="A899" s="7"/>
      <c r="D899" s="62"/>
      <c r="E899" s="30"/>
      <c r="F899" s="54">
        <f t="shared" si="3"/>
        <v>0</v>
      </c>
      <c r="G899" s="47"/>
      <c r="H899" s="178">
        <f t="shared" si="2"/>
        <v>0</v>
      </c>
      <c r="I899" s="179"/>
    </row>
    <row r="900" ht="15.75" customHeight="1">
      <c r="A900" s="7"/>
      <c r="D900" s="62"/>
      <c r="E900" s="30"/>
      <c r="F900" s="54">
        <f t="shared" si="3"/>
        <v>0</v>
      </c>
      <c r="G900" s="47"/>
      <c r="H900" s="178">
        <f t="shared" si="2"/>
        <v>0</v>
      </c>
      <c r="I900" s="179"/>
    </row>
    <row r="901" ht="15.75" customHeight="1">
      <c r="A901" s="7"/>
      <c r="D901" s="62"/>
      <c r="E901" s="30"/>
      <c r="F901" s="54">
        <f t="shared" si="3"/>
        <v>0</v>
      </c>
      <c r="G901" s="47"/>
      <c r="H901" s="178">
        <f t="shared" si="2"/>
        <v>0</v>
      </c>
      <c r="I901" s="179"/>
    </row>
    <row r="902" ht="15.75" customHeight="1">
      <c r="A902" s="7"/>
      <c r="D902" s="62"/>
      <c r="E902" s="30"/>
      <c r="F902" s="54">
        <f t="shared" si="3"/>
        <v>0</v>
      </c>
      <c r="G902" s="47"/>
      <c r="H902" s="178">
        <f t="shared" si="2"/>
        <v>0</v>
      </c>
      <c r="I902" s="179"/>
    </row>
    <row r="903" ht="15.75" customHeight="1">
      <c r="A903" s="7"/>
      <c r="D903" s="62"/>
      <c r="E903" s="30"/>
      <c r="F903" s="54">
        <f t="shared" si="3"/>
        <v>0</v>
      </c>
      <c r="G903" s="47"/>
      <c r="H903" s="178">
        <f t="shared" si="2"/>
        <v>0</v>
      </c>
      <c r="I903" s="179"/>
    </row>
    <row r="904" ht="15.75" customHeight="1">
      <c r="A904" s="7"/>
      <c r="D904" s="62"/>
      <c r="E904" s="30"/>
      <c r="F904" s="54">
        <f t="shared" si="3"/>
        <v>0</v>
      </c>
      <c r="G904" s="47"/>
      <c r="H904" s="178">
        <f t="shared" si="2"/>
        <v>0</v>
      </c>
      <c r="I904" s="179"/>
    </row>
    <row r="905" ht="15.75" customHeight="1">
      <c r="A905" s="7"/>
      <c r="D905" s="62"/>
      <c r="E905" s="30"/>
      <c r="F905" s="54">
        <f t="shared" si="3"/>
        <v>0</v>
      </c>
      <c r="G905" s="47"/>
      <c r="H905" s="178">
        <f t="shared" si="2"/>
        <v>0</v>
      </c>
      <c r="I905" s="179"/>
    </row>
    <row r="906" ht="15.75" customHeight="1">
      <c r="A906" s="7"/>
      <c r="D906" s="62"/>
      <c r="E906" s="30"/>
      <c r="F906" s="54">
        <f t="shared" si="3"/>
        <v>0</v>
      </c>
      <c r="G906" s="47"/>
      <c r="H906" s="178">
        <f t="shared" si="2"/>
        <v>0</v>
      </c>
      <c r="I906" s="179"/>
    </row>
    <row r="907" ht="15.75" customHeight="1">
      <c r="A907" s="7"/>
      <c r="D907" s="62"/>
      <c r="E907" s="30"/>
      <c r="F907" s="54">
        <f t="shared" si="3"/>
        <v>0</v>
      </c>
      <c r="G907" s="47"/>
      <c r="H907" s="178">
        <f t="shared" si="2"/>
        <v>0</v>
      </c>
      <c r="I907" s="179"/>
    </row>
    <row r="908" ht="15.75" customHeight="1">
      <c r="A908" s="7"/>
      <c r="D908" s="62"/>
      <c r="E908" s="30"/>
      <c r="F908" s="54">
        <f t="shared" si="3"/>
        <v>0</v>
      </c>
      <c r="G908" s="47"/>
      <c r="H908" s="178">
        <f t="shared" si="2"/>
        <v>0</v>
      </c>
      <c r="I908" s="179"/>
    </row>
    <row r="909" ht="15.75" customHeight="1">
      <c r="A909" s="7"/>
      <c r="D909" s="62"/>
      <c r="E909" s="30"/>
      <c r="F909" s="54">
        <f t="shared" si="3"/>
        <v>0</v>
      </c>
      <c r="G909" s="47"/>
      <c r="H909" s="178">
        <f t="shared" si="2"/>
        <v>0</v>
      </c>
      <c r="I909" s="179"/>
    </row>
    <row r="910" ht="15.75" customHeight="1">
      <c r="A910" s="7"/>
      <c r="D910" s="62"/>
      <c r="E910" s="30"/>
      <c r="F910" s="54">
        <f t="shared" si="3"/>
        <v>0</v>
      </c>
      <c r="G910" s="47"/>
      <c r="H910" s="178">
        <f t="shared" si="2"/>
        <v>0</v>
      </c>
      <c r="I910" s="179"/>
    </row>
    <row r="911" ht="15.75" customHeight="1">
      <c r="A911" s="7"/>
      <c r="D911" s="62"/>
      <c r="E911" s="30"/>
      <c r="F911" s="54">
        <f t="shared" si="3"/>
        <v>0</v>
      </c>
      <c r="G911" s="47"/>
      <c r="H911" s="178">
        <f t="shared" si="2"/>
        <v>0</v>
      </c>
      <c r="I911" s="179"/>
    </row>
    <row r="912" ht="15.75" customHeight="1">
      <c r="A912" s="7"/>
      <c r="D912" s="62"/>
      <c r="E912" s="30"/>
      <c r="F912" s="54">
        <f t="shared" si="3"/>
        <v>0</v>
      </c>
      <c r="G912" s="47"/>
      <c r="H912" s="178">
        <f t="shared" si="2"/>
        <v>0</v>
      </c>
      <c r="I912" s="179"/>
    </row>
    <row r="913" ht="15.75" customHeight="1">
      <c r="A913" s="7"/>
      <c r="D913" s="62"/>
      <c r="E913" s="30"/>
      <c r="F913" s="54">
        <f t="shared" si="3"/>
        <v>0</v>
      </c>
      <c r="G913" s="47"/>
      <c r="H913" s="178">
        <f t="shared" si="2"/>
        <v>0</v>
      </c>
      <c r="I913" s="179"/>
    </row>
    <row r="914" ht="15.75" customHeight="1">
      <c r="A914" s="7"/>
      <c r="D914" s="62"/>
      <c r="E914" s="30"/>
      <c r="F914" s="54">
        <f t="shared" si="3"/>
        <v>0</v>
      </c>
      <c r="G914" s="47"/>
      <c r="H914" s="178">
        <f t="shared" si="2"/>
        <v>0</v>
      </c>
      <c r="I914" s="179"/>
    </row>
    <row r="915" ht="15.75" customHeight="1">
      <c r="A915" s="7"/>
      <c r="D915" s="62"/>
      <c r="E915" s="30"/>
      <c r="F915" s="54">
        <f t="shared" si="3"/>
        <v>0</v>
      </c>
      <c r="G915" s="47"/>
      <c r="H915" s="178">
        <f t="shared" si="2"/>
        <v>0</v>
      </c>
      <c r="I915" s="179"/>
    </row>
    <row r="916" ht="15.75" customHeight="1">
      <c r="A916" s="7"/>
      <c r="D916" s="62"/>
      <c r="E916" s="30"/>
      <c r="F916" s="54">
        <f t="shared" si="3"/>
        <v>0</v>
      </c>
      <c r="G916" s="47"/>
      <c r="H916" s="178">
        <f t="shared" si="2"/>
        <v>0</v>
      </c>
      <c r="I916" s="179"/>
    </row>
    <row r="917" ht="15.75" customHeight="1">
      <c r="A917" s="7"/>
      <c r="D917" s="62"/>
      <c r="E917" s="30"/>
      <c r="F917" s="54">
        <f t="shared" si="3"/>
        <v>0</v>
      </c>
      <c r="G917" s="47"/>
      <c r="H917" s="178">
        <f t="shared" si="2"/>
        <v>0</v>
      </c>
      <c r="I917" s="179"/>
    </row>
    <row r="918" ht="15.75" customHeight="1">
      <c r="A918" s="7"/>
      <c r="D918" s="62"/>
      <c r="E918" s="30"/>
      <c r="F918" s="54">
        <f t="shared" si="3"/>
        <v>0</v>
      </c>
      <c r="G918" s="47"/>
      <c r="H918" s="178">
        <f t="shared" si="2"/>
        <v>0</v>
      </c>
      <c r="I918" s="179"/>
    </row>
    <row r="919" ht="15.75" customHeight="1">
      <c r="A919" s="7"/>
      <c r="D919" s="62"/>
      <c r="E919" s="30"/>
      <c r="F919" s="54">
        <f t="shared" si="3"/>
        <v>0</v>
      </c>
      <c r="G919" s="47"/>
      <c r="H919" s="178">
        <f t="shared" si="2"/>
        <v>0</v>
      </c>
      <c r="I919" s="179"/>
    </row>
    <row r="920" ht="15.75" customHeight="1">
      <c r="A920" s="7"/>
      <c r="D920" s="62"/>
      <c r="E920" s="30"/>
      <c r="F920" s="54">
        <f t="shared" si="3"/>
        <v>0</v>
      </c>
      <c r="G920" s="47"/>
      <c r="H920" s="178">
        <f t="shared" si="2"/>
        <v>0</v>
      </c>
      <c r="I920" s="179"/>
    </row>
  </sheetData>
  <autoFilter ref="$B$1:$I$920">
    <filterColumn colId="7">
      <filters blank="1">
        <filter val="Setembro"/>
        <filter val="Agosto"/>
      </filters>
    </filterColumn>
  </autoFilter>
  <dataValidations>
    <dataValidation type="list" allowBlank="1" showErrorMessage="1" sqref="I2:I920">
      <formula1>"Janeiro,Fevereiro,Março,Abril,Maio,Junho,Julho,Agosto,Setembro,Outubro,Novembro,Dezembro"</formula1>
    </dataValidation>
    <dataValidation type="list" allowBlank="1" showErrorMessage="1" sqref="G2:G920">
      <formula1>"1%"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0"/>
  <cols>
    <col customWidth="1" min="1" max="2" width="16.75"/>
    <col customWidth="1" min="3" max="4" width="17.75"/>
    <col customWidth="1" min="5" max="5" width="20.75"/>
    <col customWidth="1" min="6" max="6" width="15.25"/>
    <col customWidth="1" min="7" max="7" width="15.63"/>
    <col customWidth="1" min="8" max="8" width="15.13"/>
    <col customWidth="1" min="11" max="11" width="20.38"/>
    <col customWidth="1" min="12" max="12" width="15.63"/>
  </cols>
  <sheetData>
    <row r="1">
      <c r="A1" s="3" t="s">
        <v>18</v>
      </c>
      <c r="B1" s="3" t="s">
        <v>3</v>
      </c>
      <c r="C1" s="3" t="s">
        <v>19</v>
      </c>
      <c r="D1" s="3" t="s">
        <v>6</v>
      </c>
      <c r="E1" s="3" t="s">
        <v>20</v>
      </c>
      <c r="F1" s="13" t="s">
        <v>9</v>
      </c>
      <c r="G1" s="3" t="s">
        <v>7</v>
      </c>
      <c r="H1" s="13" t="s">
        <v>10</v>
      </c>
      <c r="I1" s="3" t="s">
        <v>11</v>
      </c>
      <c r="J1" s="13" t="s">
        <v>12</v>
      </c>
      <c r="K1" s="3" t="s">
        <v>13</v>
      </c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</row>
    <row r="2" hidden="1">
      <c r="A2" s="31">
        <v>8117.0</v>
      </c>
      <c r="B2" s="33" t="s">
        <v>27</v>
      </c>
      <c r="C2" s="34">
        <v>30634.0</v>
      </c>
      <c r="D2" s="36">
        <v>46001.0</v>
      </c>
      <c r="E2" s="38">
        <v>46001.0</v>
      </c>
      <c r="F2" s="40">
        <v>11.7</v>
      </c>
      <c r="G2" s="42">
        <v>180.0</v>
      </c>
      <c r="H2" s="40">
        <f t="shared" ref="H2:H65" si="1">F2*G2</f>
        <v>2106</v>
      </c>
      <c r="I2" s="55">
        <v>0.02</v>
      </c>
      <c r="J2" s="40">
        <f t="shared" ref="J2:J65" si="2">H2*I2</f>
        <v>42.12</v>
      </c>
      <c r="K2" s="59" t="s">
        <v>26</v>
      </c>
    </row>
    <row r="3" hidden="1">
      <c r="A3" s="61">
        <v>8171.0</v>
      </c>
      <c r="B3" s="65" t="s">
        <v>39</v>
      </c>
      <c r="C3" s="16">
        <v>30737.0</v>
      </c>
      <c r="D3" s="66">
        <v>46042.0</v>
      </c>
      <c r="E3" s="68"/>
      <c r="F3" s="69">
        <v>11.7</v>
      </c>
      <c r="G3" s="70">
        <v>72.0</v>
      </c>
      <c r="H3" s="72">
        <f t="shared" si="1"/>
        <v>842.4</v>
      </c>
      <c r="I3" s="73">
        <v>0.02</v>
      </c>
      <c r="J3" s="72">
        <f t="shared" si="2"/>
        <v>16.848</v>
      </c>
      <c r="K3" s="61" t="s">
        <v>46</v>
      </c>
    </row>
    <row r="4" hidden="1">
      <c r="A4" s="61">
        <v>8171.0</v>
      </c>
      <c r="B4" s="65" t="s">
        <v>39</v>
      </c>
      <c r="C4" s="16">
        <v>30737.0</v>
      </c>
      <c r="D4" s="66">
        <v>46042.0</v>
      </c>
      <c r="E4" s="76"/>
      <c r="F4" s="77">
        <v>8.9</v>
      </c>
      <c r="G4" s="70">
        <v>72.0</v>
      </c>
      <c r="H4" s="72">
        <f t="shared" si="1"/>
        <v>640.8</v>
      </c>
      <c r="I4" s="73">
        <v>0.02</v>
      </c>
      <c r="J4" s="72">
        <f t="shared" si="2"/>
        <v>12.816</v>
      </c>
      <c r="K4" s="79" t="s">
        <v>46</v>
      </c>
    </row>
    <row r="5" hidden="1">
      <c r="A5" s="79">
        <v>8294.0</v>
      </c>
      <c r="B5" s="65" t="s">
        <v>51</v>
      </c>
      <c r="C5" s="16">
        <v>30949.0</v>
      </c>
      <c r="D5" s="80">
        <v>46077.0</v>
      </c>
      <c r="E5" s="76"/>
      <c r="F5" s="77">
        <v>11.7</v>
      </c>
      <c r="G5" s="70">
        <v>2280.0</v>
      </c>
      <c r="H5" s="72">
        <f t="shared" si="1"/>
        <v>26676</v>
      </c>
      <c r="I5" s="73">
        <v>0.02</v>
      </c>
      <c r="J5" s="72">
        <f t="shared" si="2"/>
        <v>533.52</v>
      </c>
      <c r="K5" s="79" t="s">
        <v>46</v>
      </c>
    </row>
    <row r="6" hidden="1">
      <c r="A6" s="79">
        <v>8304.0</v>
      </c>
      <c r="B6" s="65" t="s">
        <v>27</v>
      </c>
      <c r="C6" s="16">
        <v>30819.0</v>
      </c>
      <c r="D6" s="80">
        <v>46057.0</v>
      </c>
      <c r="E6" s="76"/>
      <c r="F6" s="77">
        <v>11.7</v>
      </c>
      <c r="G6" s="70">
        <v>240.0</v>
      </c>
      <c r="H6" s="72">
        <f t="shared" si="1"/>
        <v>2808</v>
      </c>
      <c r="I6" s="73">
        <v>0.02</v>
      </c>
      <c r="J6" s="72">
        <f t="shared" si="2"/>
        <v>56.16</v>
      </c>
      <c r="K6" s="79" t="s">
        <v>46</v>
      </c>
    </row>
    <row r="7" hidden="1">
      <c r="A7" s="79">
        <v>8336.0</v>
      </c>
      <c r="B7" s="65" t="s">
        <v>56</v>
      </c>
      <c r="C7" s="16">
        <v>30848.0</v>
      </c>
      <c r="D7" s="80">
        <v>46059.0</v>
      </c>
      <c r="E7" s="4"/>
      <c r="F7" s="77">
        <v>11.7</v>
      </c>
      <c r="G7" s="70">
        <v>84.0</v>
      </c>
      <c r="H7" s="72">
        <f t="shared" si="1"/>
        <v>982.8</v>
      </c>
      <c r="I7" s="73">
        <v>0.02</v>
      </c>
      <c r="J7" s="72">
        <f t="shared" si="2"/>
        <v>19.656</v>
      </c>
      <c r="K7" s="79" t="s">
        <v>42</v>
      </c>
    </row>
    <row r="8" hidden="1">
      <c r="A8" s="79">
        <v>8414.0</v>
      </c>
      <c r="B8" s="65" t="s">
        <v>39</v>
      </c>
      <c r="C8" s="16">
        <v>31119.0</v>
      </c>
      <c r="D8" s="80">
        <v>46097.0</v>
      </c>
      <c r="E8" s="76"/>
      <c r="F8" s="77">
        <v>11.7</v>
      </c>
      <c r="G8" s="82">
        <v>0.0</v>
      </c>
      <c r="H8" s="72">
        <f t="shared" si="1"/>
        <v>0</v>
      </c>
      <c r="I8" s="73">
        <v>0.02</v>
      </c>
      <c r="J8" s="72">
        <f t="shared" si="2"/>
        <v>0</v>
      </c>
      <c r="K8" s="79" t="s">
        <v>42</v>
      </c>
    </row>
    <row r="9" hidden="1">
      <c r="A9" s="79">
        <v>8486.0</v>
      </c>
      <c r="B9" s="65" t="s">
        <v>58</v>
      </c>
      <c r="C9" s="16">
        <v>31329.0</v>
      </c>
      <c r="D9" s="83">
        <v>46134.0</v>
      </c>
      <c r="E9" s="76"/>
      <c r="F9" s="77">
        <v>11.7</v>
      </c>
      <c r="G9" s="70">
        <v>84.0</v>
      </c>
      <c r="H9" s="72">
        <f t="shared" si="1"/>
        <v>982.8</v>
      </c>
      <c r="I9" s="73">
        <v>0.02</v>
      </c>
      <c r="J9" s="72">
        <f t="shared" si="2"/>
        <v>19.656</v>
      </c>
      <c r="K9" s="79" t="s">
        <v>64</v>
      </c>
    </row>
    <row r="10" hidden="1">
      <c r="A10" s="87">
        <v>8633.0</v>
      </c>
      <c r="B10" s="88" t="s">
        <v>39</v>
      </c>
      <c r="C10" s="89">
        <v>31330.0</v>
      </c>
      <c r="D10" s="90"/>
      <c r="E10" s="90"/>
      <c r="F10" s="91">
        <v>12.9</v>
      </c>
      <c r="G10" s="92">
        <v>0.0</v>
      </c>
      <c r="H10" s="93">
        <f t="shared" si="1"/>
        <v>0</v>
      </c>
      <c r="I10" s="94">
        <v>0.02</v>
      </c>
      <c r="J10" s="93">
        <f t="shared" si="2"/>
        <v>0</v>
      </c>
      <c r="K10" s="87" t="s">
        <v>64</v>
      </c>
    </row>
    <row r="11" hidden="1">
      <c r="A11" s="79">
        <v>8753.0</v>
      </c>
      <c r="B11" s="65" t="s">
        <v>39</v>
      </c>
      <c r="C11" s="16">
        <v>31481.0</v>
      </c>
      <c r="D11" s="80">
        <v>46163.0</v>
      </c>
      <c r="E11" s="76"/>
      <c r="F11" s="77">
        <v>12.9</v>
      </c>
      <c r="G11" s="70">
        <v>144.0</v>
      </c>
      <c r="H11" s="72">
        <f t="shared" si="1"/>
        <v>1857.6</v>
      </c>
      <c r="I11" s="73">
        <v>0.02</v>
      </c>
      <c r="J11" s="72">
        <f t="shared" si="2"/>
        <v>37.152</v>
      </c>
      <c r="K11" s="79" t="s">
        <v>67</v>
      </c>
    </row>
    <row r="12" hidden="1">
      <c r="A12" s="79">
        <v>8910.0</v>
      </c>
      <c r="B12" s="65" t="s">
        <v>39</v>
      </c>
      <c r="C12" s="16">
        <v>31679.0</v>
      </c>
      <c r="D12" s="80">
        <v>46202.0</v>
      </c>
      <c r="E12" s="4"/>
      <c r="F12" s="77">
        <v>12.9</v>
      </c>
      <c r="G12" s="70">
        <v>192.0</v>
      </c>
      <c r="H12" s="72">
        <f t="shared" si="1"/>
        <v>2476.8</v>
      </c>
      <c r="I12" s="73">
        <v>0.02</v>
      </c>
      <c r="J12" s="72">
        <f t="shared" si="2"/>
        <v>49.536</v>
      </c>
      <c r="K12" s="79" t="s">
        <v>31</v>
      </c>
    </row>
    <row r="13">
      <c r="A13" s="79">
        <v>9054.0</v>
      </c>
      <c r="B13" s="65" t="s">
        <v>39</v>
      </c>
      <c r="C13" s="16">
        <v>31838.0</v>
      </c>
      <c r="D13" s="80">
        <v>46233.0</v>
      </c>
      <c r="E13" s="80">
        <v>46246.0</v>
      </c>
      <c r="F13" s="77">
        <v>12.9</v>
      </c>
      <c r="G13" s="70">
        <v>156.0</v>
      </c>
      <c r="H13" s="72">
        <f t="shared" si="1"/>
        <v>2012.4</v>
      </c>
      <c r="I13" s="73">
        <v>0.02</v>
      </c>
      <c r="J13" s="72">
        <f t="shared" si="2"/>
        <v>40.248</v>
      </c>
      <c r="K13" s="79" t="s">
        <v>70</v>
      </c>
    </row>
    <row r="14">
      <c r="A14" s="4"/>
      <c r="B14" s="103"/>
      <c r="C14" s="46"/>
      <c r="D14" s="4"/>
      <c r="E14" s="7"/>
      <c r="F14" s="72"/>
      <c r="G14" s="82">
        <v>0.0</v>
      </c>
      <c r="H14" s="72">
        <f t="shared" si="1"/>
        <v>0</v>
      </c>
      <c r="I14" s="73">
        <v>0.02</v>
      </c>
      <c r="J14" s="72">
        <f t="shared" si="2"/>
        <v>0</v>
      </c>
      <c r="K14" s="4"/>
    </row>
    <row r="15">
      <c r="A15" s="4"/>
      <c r="B15" s="103"/>
      <c r="C15" s="46"/>
      <c r="D15" s="4"/>
      <c r="E15" s="7"/>
      <c r="F15" s="72"/>
      <c r="G15" s="82">
        <v>0.0</v>
      </c>
      <c r="H15" s="72">
        <f t="shared" si="1"/>
        <v>0</v>
      </c>
      <c r="I15" s="73">
        <v>0.02</v>
      </c>
      <c r="J15" s="72">
        <f t="shared" si="2"/>
        <v>0</v>
      </c>
      <c r="K15" s="4"/>
    </row>
    <row r="16">
      <c r="A16" s="4"/>
      <c r="B16" s="103"/>
      <c r="C16" s="46"/>
      <c r="D16" s="4"/>
      <c r="E16" s="7"/>
      <c r="F16" s="72"/>
      <c r="G16" s="82">
        <v>0.0</v>
      </c>
      <c r="H16" s="72">
        <f t="shared" si="1"/>
        <v>0</v>
      </c>
      <c r="I16" s="73">
        <v>0.02</v>
      </c>
      <c r="J16" s="72">
        <f t="shared" si="2"/>
        <v>0</v>
      </c>
      <c r="K16" s="4"/>
    </row>
    <row r="17">
      <c r="A17" s="46"/>
      <c r="B17" s="103"/>
      <c r="C17" s="46"/>
      <c r="D17" s="48"/>
      <c r="E17" s="48"/>
      <c r="F17" s="107"/>
      <c r="G17" s="82">
        <v>0.0</v>
      </c>
      <c r="H17" s="72">
        <f t="shared" si="1"/>
        <v>0</v>
      </c>
      <c r="I17" s="73">
        <v>0.02</v>
      </c>
      <c r="J17" s="72">
        <f t="shared" si="2"/>
        <v>0</v>
      </c>
      <c r="K17" s="46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>
      <c r="A18" s="46"/>
      <c r="B18" s="103"/>
      <c r="C18" s="46"/>
      <c r="D18" s="48"/>
      <c r="E18" s="48"/>
      <c r="F18" s="107"/>
      <c r="G18" s="82">
        <v>0.0</v>
      </c>
      <c r="H18" s="72">
        <f t="shared" si="1"/>
        <v>0</v>
      </c>
      <c r="I18" s="73">
        <v>0.02</v>
      </c>
      <c r="J18" s="72">
        <f t="shared" si="2"/>
        <v>0</v>
      </c>
      <c r="K18" s="46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>
      <c r="A19" s="46"/>
      <c r="B19" s="103"/>
      <c r="C19" s="46"/>
      <c r="D19" s="48"/>
      <c r="E19" s="48"/>
      <c r="F19" s="107"/>
      <c r="G19" s="82">
        <v>0.0</v>
      </c>
      <c r="H19" s="72">
        <f t="shared" si="1"/>
        <v>0</v>
      </c>
      <c r="I19" s="73">
        <v>0.02</v>
      </c>
      <c r="J19" s="72">
        <f t="shared" si="2"/>
        <v>0</v>
      </c>
      <c r="K19" s="46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>
      <c r="A20" s="46"/>
      <c r="B20" s="103"/>
      <c r="C20" s="46"/>
      <c r="D20" s="48"/>
      <c r="E20" s="118"/>
      <c r="F20" s="107"/>
      <c r="G20" s="82">
        <v>0.0</v>
      </c>
      <c r="H20" s="72">
        <f t="shared" si="1"/>
        <v>0</v>
      </c>
      <c r="I20" s="73">
        <v>0.02</v>
      </c>
      <c r="J20" s="72">
        <f t="shared" si="2"/>
        <v>0</v>
      </c>
      <c r="K20" s="46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</row>
    <row r="21">
      <c r="A21" s="46"/>
      <c r="B21" s="103"/>
      <c r="C21" s="46"/>
      <c r="D21" s="48"/>
      <c r="E21" s="46"/>
      <c r="F21" s="107"/>
      <c r="G21" s="82">
        <v>0.0</v>
      </c>
      <c r="H21" s="72">
        <f t="shared" si="1"/>
        <v>0</v>
      </c>
      <c r="I21" s="73">
        <v>0.02</v>
      </c>
      <c r="J21" s="72">
        <f t="shared" si="2"/>
        <v>0</v>
      </c>
      <c r="K21" s="30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</row>
    <row r="22">
      <c r="A22" s="46"/>
      <c r="B22" s="65"/>
      <c r="C22" s="46"/>
      <c r="D22" s="126"/>
      <c r="E22" s="46"/>
      <c r="F22" s="107"/>
      <c r="G22" s="82">
        <v>0.0</v>
      </c>
      <c r="H22" s="72">
        <f t="shared" si="1"/>
        <v>0</v>
      </c>
      <c r="I22" s="73">
        <v>0.02</v>
      </c>
      <c r="J22" s="72">
        <f t="shared" si="2"/>
        <v>0</v>
      </c>
      <c r="K22" s="46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</row>
    <row r="23">
      <c r="A23" s="127"/>
      <c r="B23" s="128"/>
      <c r="C23" s="127"/>
      <c r="D23" s="129"/>
      <c r="E23" s="127"/>
      <c r="F23" s="107"/>
      <c r="G23" s="82">
        <v>0.0</v>
      </c>
      <c r="H23" s="72">
        <f t="shared" si="1"/>
        <v>0</v>
      </c>
      <c r="I23" s="73">
        <v>0.02</v>
      </c>
      <c r="J23" s="72">
        <f t="shared" si="2"/>
        <v>0</v>
      </c>
      <c r="K23" s="127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</row>
    <row r="24">
      <c r="A24" s="127"/>
      <c r="B24" s="128"/>
      <c r="C24" s="127"/>
      <c r="D24" s="129"/>
      <c r="E24" s="129"/>
      <c r="F24" s="107"/>
      <c r="G24" s="82">
        <v>0.0</v>
      </c>
      <c r="H24" s="72">
        <f t="shared" si="1"/>
        <v>0</v>
      </c>
      <c r="I24" s="73">
        <v>0.02</v>
      </c>
      <c r="J24" s="72">
        <f t="shared" si="2"/>
        <v>0</v>
      </c>
      <c r="K24" s="127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</row>
    <row r="25">
      <c r="A25" s="30"/>
      <c r="B25" s="127"/>
      <c r="C25" s="127"/>
      <c r="D25" s="30"/>
      <c r="F25" s="72"/>
      <c r="G25" s="82">
        <v>0.0</v>
      </c>
      <c r="H25" s="72">
        <f t="shared" si="1"/>
        <v>0</v>
      </c>
      <c r="I25" s="73">
        <v>0.02</v>
      </c>
      <c r="J25" s="72">
        <f t="shared" si="2"/>
        <v>0</v>
      </c>
      <c r="K25" s="30"/>
    </row>
    <row r="26">
      <c r="A26" s="30"/>
      <c r="B26" s="132"/>
      <c r="C26" s="127"/>
      <c r="D26" s="30"/>
      <c r="F26" s="72"/>
      <c r="G26" s="82">
        <v>0.0</v>
      </c>
      <c r="H26" s="72">
        <f t="shared" si="1"/>
        <v>0</v>
      </c>
      <c r="I26" s="73">
        <v>0.02</v>
      </c>
      <c r="J26" s="72">
        <f t="shared" si="2"/>
        <v>0</v>
      </c>
      <c r="K26" s="30"/>
    </row>
    <row r="27">
      <c r="A27" s="30"/>
      <c r="B27" s="132"/>
      <c r="C27" s="127"/>
      <c r="D27" s="30"/>
      <c r="F27" s="72"/>
      <c r="G27" s="82">
        <v>0.0</v>
      </c>
      <c r="H27" s="72">
        <f t="shared" si="1"/>
        <v>0</v>
      </c>
      <c r="I27" s="73">
        <v>0.02</v>
      </c>
      <c r="J27" s="72">
        <f t="shared" si="2"/>
        <v>0</v>
      </c>
      <c r="K27" s="30"/>
    </row>
    <row r="28">
      <c r="A28" s="30"/>
      <c r="B28" s="132"/>
      <c r="C28" s="127"/>
      <c r="D28" s="30"/>
      <c r="F28" s="72"/>
      <c r="G28" s="82">
        <v>0.0</v>
      </c>
      <c r="H28" s="72">
        <f t="shared" si="1"/>
        <v>0</v>
      </c>
      <c r="I28" s="73">
        <v>0.02</v>
      </c>
      <c r="J28" s="72">
        <f t="shared" si="2"/>
        <v>0</v>
      </c>
      <c r="K28" s="30"/>
    </row>
    <row r="29">
      <c r="A29" s="30"/>
      <c r="B29" s="132"/>
      <c r="C29" s="127"/>
      <c r="D29" s="30"/>
      <c r="F29" s="72"/>
      <c r="G29" s="82">
        <v>0.0</v>
      </c>
      <c r="H29" s="72">
        <f t="shared" si="1"/>
        <v>0</v>
      </c>
      <c r="I29" s="73">
        <v>0.02</v>
      </c>
      <c r="J29" s="72">
        <f t="shared" si="2"/>
        <v>0</v>
      </c>
      <c r="K29" s="30"/>
    </row>
    <row r="30">
      <c r="A30" s="30"/>
      <c r="B30" s="132"/>
      <c r="C30" s="127"/>
      <c r="D30" s="30"/>
      <c r="F30" s="72"/>
      <c r="G30" s="82">
        <v>0.0</v>
      </c>
      <c r="H30" s="72">
        <f t="shared" si="1"/>
        <v>0</v>
      </c>
      <c r="I30" s="73">
        <v>0.02</v>
      </c>
      <c r="J30" s="72">
        <f t="shared" si="2"/>
        <v>0</v>
      </c>
      <c r="K30" s="30"/>
    </row>
    <row r="31">
      <c r="A31" s="30"/>
      <c r="B31" s="132"/>
      <c r="C31" s="127"/>
      <c r="D31" s="30"/>
      <c r="F31" s="72"/>
      <c r="G31" s="82">
        <v>0.0</v>
      </c>
      <c r="H31" s="72">
        <f t="shared" si="1"/>
        <v>0</v>
      </c>
      <c r="I31" s="73">
        <v>0.02</v>
      </c>
      <c r="J31" s="72">
        <f t="shared" si="2"/>
        <v>0</v>
      </c>
      <c r="K31" s="30"/>
    </row>
    <row r="32">
      <c r="A32" s="30"/>
      <c r="B32" s="132"/>
      <c r="C32" s="127"/>
      <c r="D32" s="30"/>
      <c r="F32" s="72"/>
      <c r="G32" s="82">
        <v>0.0</v>
      </c>
      <c r="H32" s="72">
        <f t="shared" si="1"/>
        <v>0</v>
      </c>
      <c r="I32" s="73">
        <v>0.02</v>
      </c>
      <c r="J32" s="72">
        <f t="shared" si="2"/>
        <v>0</v>
      </c>
      <c r="K32" s="30"/>
    </row>
    <row r="33">
      <c r="A33" s="30"/>
      <c r="B33" s="132"/>
      <c r="C33" s="127"/>
      <c r="D33" s="30"/>
      <c r="F33" s="72"/>
      <c r="G33" s="82">
        <v>0.0</v>
      </c>
      <c r="H33" s="72">
        <f t="shared" si="1"/>
        <v>0</v>
      </c>
      <c r="I33" s="73">
        <v>0.02</v>
      </c>
      <c r="J33" s="72">
        <f t="shared" si="2"/>
        <v>0</v>
      </c>
      <c r="K33" s="30"/>
    </row>
    <row r="34">
      <c r="A34" s="30"/>
      <c r="B34" s="132"/>
      <c r="C34" s="127"/>
      <c r="D34" s="30"/>
      <c r="F34" s="72"/>
      <c r="G34" s="82">
        <v>0.0</v>
      </c>
      <c r="H34" s="72">
        <f t="shared" si="1"/>
        <v>0</v>
      </c>
      <c r="I34" s="73">
        <v>0.02</v>
      </c>
      <c r="J34" s="72">
        <f t="shared" si="2"/>
        <v>0</v>
      </c>
      <c r="K34" s="30"/>
    </row>
    <row r="35">
      <c r="A35" s="30"/>
      <c r="B35" s="132"/>
      <c r="C35" s="127"/>
      <c r="D35" s="30"/>
      <c r="F35" s="72"/>
      <c r="G35" s="82">
        <v>0.0</v>
      </c>
      <c r="H35" s="72">
        <f t="shared" si="1"/>
        <v>0</v>
      </c>
      <c r="I35" s="73">
        <v>0.02</v>
      </c>
      <c r="J35" s="72">
        <f t="shared" si="2"/>
        <v>0</v>
      </c>
      <c r="K35" s="30"/>
    </row>
    <row r="36">
      <c r="A36" s="30"/>
      <c r="B36" s="132"/>
      <c r="C36" s="127"/>
      <c r="D36" s="30"/>
      <c r="F36" s="72"/>
      <c r="G36" s="82">
        <v>0.0</v>
      </c>
      <c r="H36" s="72">
        <f t="shared" si="1"/>
        <v>0</v>
      </c>
      <c r="I36" s="73">
        <v>0.02</v>
      </c>
      <c r="J36" s="72">
        <f t="shared" si="2"/>
        <v>0</v>
      </c>
      <c r="K36" s="30"/>
    </row>
    <row r="37">
      <c r="A37" s="30"/>
      <c r="B37" s="132"/>
      <c r="C37" s="127"/>
      <c r="D37" s="30"/>
      <c r="F37" s="72"/>
      <c r="G37" s="82">
        <v>0.0</v>
      </c>
      <c r="H37" s="72">
        <f t="shared" si="1"/>
        <v>0</v>
      </c>
      <c r="I37" s="73">
        <v>0.02</v>
      </c>
      <c r="J37" s="72">
        <f t="shared" si="2"/>
        <v>0</v>
      </c>
      <c r="K37" s="30"/>
    </row>
    <row r="38">
      <c r="A38" s="30"/>
      <c r="B38" s="132"/>
      <c r="C38" s="127"/>
      <c r="D38" s="30"/>
      <c r="F38" s="72"/>
      <c r="G38" s="82">
        <v>0.0</v>
      </c>
      <c r="H38" s="72">
        <f t="shared" si="1"/>
        <v>0</v>
      </c>
      <c r="I38" s="73">
        <v>0.02</v>
      </c>
      <c r="J38" s="72">
        <f t="shared" si="2"/>
        <v>0</v>
      </c>
      <c r="K38" s="30"/>
    </row>
    <row r="39">
      <c r="A39" s="30"/>
      <c r="B39" s="132"/>
      <c r="C39" s="127"/>
      <c r="D39" s="30"/>
      <c r="F39" s="72"/>
      <c r="G39" s="82">
        <v>0.0</v>
      </c>
      <c r="H39" s="72">
        <f t="shared" si="1"/>
        <v>0</v>
      </c>
      <c r="I39" s="73">
        <v>0.02</v>
      </c>
      <c r="J39" s="72">
        <f t="shared" si="2"/>
        <v>0</v>
      </c>
      <c r="K39" s="30"/>
    </row>
    <row r="40">
      <c r="A40" s="30"/>
      <c r="B40" s="132"/>
      <c r="C40" s="127"/>
      <c r="D40" s="30"/>
      <c r="F40" s="72"/>
      <c r="G40" s="82">
        <v>0.0</v>
      </c>
      <c r="H40" s="72">
        <f t="shared" si="1"/>
        <v>0</v>
      </c>
      <c r="I40" s="73">
        <v>0.02</v>
      </c>
      <c r="J40" s="72">
        <f t="shared" si="2"/>
        <v>0</v>
      </c>
      <c r="K40" s="30"/>
    </row>
    <row r="41">
      <c r="A41" s="30"/>
      <c r="B41" s="132"/>
      <c r="C41" s="127"/>
      <c r="D41" s="30"/>
      <c r="F41" s="72"/>
      <c r="G41" s="82">
        <v>0.0</v>
      </c>
      <c r="H41" s="72">
        <f t="shared" si="1"/>
        <v>0</v>
      </c>
      <c r="I41" s="73">
        <v>0.02</v>
      </c>
      <c r="J41" s="72">
        <f t="shared" si="2"/>
        <v>0</v>
      </c>
      <c r="K41" s="30"/>
    </row>
    <row r="42">
      <c r="A42" s="30"/>
      <c r="B42" s="132"/>
      <c r="C42" s="127"/>
      <c r="D42" s="30"/>
      <c r="F42" s="72"/>
      <c r="G42" s="82">
        <v>0.0</v>
      </c>
      <c r="H42" s="72">
        <f t="shared" si="1"/>
        <v>0</v>
      </c>
      <c r="I42" s="73">
        <v>0.02</v>
      </c>
      <c r="J42" s="72">
        <f t="shared" si="2"/>
        <v>0</v>
      </c>
      <c r="K42" s="30"/>
    </row>
    <row r="43">
      <c r="A43" s="30"/>
      <c r="C43" s="127"/>
      <c r="D43" s="30"/>
      <c r="F43" s="72"/>
      <c r="G43" s="82">
        <v>0.0</v>
      </c>
      <c r="H43" s="72">
        <f t="shared" si="1"/>
        <v>0</v>
      </c>
      <c r="I43" s="73">
        <v>0.02</v>
      </c>
      <c r="J43" s="72">
        <f t="shared" si="2"/>
        <v>0</v>
      </c>
      <c r="K43" s="30"/>
    </row>
    <row r="44">
      <c r="A44" s="30"/>
      <c r="C44" s="127"/>
      <c r="D44" s="30"/>
      <c r="F44" s="72"/>
      <c r="G44" s="82">
        <v>0.0</v>
      </c>
      <c r="H44" s="72">
        <f t="shared" si="1"/>
        <v>0</v>
      </c>
      <c r="I44" s="73">
        <v>0.02</v>
      </c>
      <c r="J44" s="72">
        <f t="shared" si="2"/>
        <v>0</v>
      </c>
      <c r="K44" s="30"/>
    </row>
    <row r="45">
      <c r="A45" s="30"/>
      <c r="C45" s="127"/>
      <c r="D45" s="30"/>
      <c r="F45" s="72"/>
      <c r="G45" s="82">
        <v>0.0</v>
      </c>
      <c r="H45" s="72">
        <f t="shared" si="1"/>
        <v>0</v>
      </c>
      <c r="I45" s="73">
        <v>0.02</v>
      </c>
      <c r="J45" s="72">
        <f t="shared" si="2"/>
        <v>0</v>
      </c>
      <c r="K45" s="30"/>
    </row>
    <row r="46">
      <c r="A46" s="30"/>
      <c r="C46" s="127"/>
      <c r="D46" s="30"/>
      <c r="F46" s="72"/>
      <c r="G46" s="82">
        <v>0.0</v>
      </c>
      <c r="H46" s="72">
        <f t="shared" si="1"/>
        <v>0</v>
      </c>
      <c r="I46" s="73">
        <v>0.02</v>
      </c>
      <c r="J46" s="72">
        <f t="shared" si="2"/>
        <v>0</v>
      </c>
      <c r="K46" s="30"/>
    </row>
    <row r="47">
      <c r="A47" s="30"/>
      <c r="C47" s="127"/>
      <c r="D47" s="30"/>
      <c r="F47" s="72"/>
      <c r="G47" s="82">
        <v>0.0</v>
      </c>
      <c r="H47" s="72">
        <f t="shared" si="1"/>
        <v>0</v>
      </c>
      <c r="I47" s="73">
        <v>0.02</v>
      </c>
      <c r="J47" s="72">
        <f t="shared" si="2"/>
        <v>0</v>
      </c>
      <c r="K47" s="30"/>
    </row>
    <row r="48">
      <c r="A48" s="30"/>
      <c r="C48" s="127"/>
      <c r="D48" s="30"/>
      <c r="F48" s="72"/>
      <c r="G48" s="82">
        <v>0.0</v>
      </c>
      <c r="H48" s="72">
        <f t="shared" si="1"/>
        <v>0</v>
      </c>
      <c r="I48" s="73">
        <v>0.02</v>
      </c>
      <c r="J48" s="72">
        <f t="shared" si="2"/>
        <v>0</v>
      </c>
      <c r="K48" s="30"/>
    </row>
    <row r="49">
      <c r="A49" s="30"/>
      <c r="C49" s="127"/>
      <c r="D49" s="30"/>
      <c r="F49" s="72"/>
      <c r="G49" s="82">
        <v>0.0</v>
      </c>
      <c r="H49" s="72">
        <f t="shared" si="1"/>
        <v>0</v>
      </c>
      <c r="I49" s="73">
        <v>0.02</v>
      </c>
      <c r="J49" s="72">
        <f t="shared" si="2"/>
        <v>0</v>
      </c>
      <c r="K49" s="30"/>
    </row>
    <row r="50">
      <c r="A50" s="30"/>
      <c r="C50" s="127"/>
      <c r="D50" s="30"/>
      <c r="F50" s="72"/>
      <c r="G50" s="82">
        <v>0.0</v>
      </c>
      <c r="H50" s="72">
        <f t="shared" si="1"/>
        <v>0</v>
      </c>
      <c r="I50" s="73">
        <v>0.02</v>
      </c>
      <c r="J50" s="72">
        <f t="shared" si="2"/>
        <v>0</v>
      </c>
      <c r="K50" s="30"/>
    </row>
    <row r="51">
      <c r="A51" s="30"/>
      <c r="C51" s="127"/>
      <c r="D51" s="30"/>
      <c r="F51" s="72"/>
      <c r="G51" s="82">
        <v>0.0</v>
      </c>
      <c r="H51" s="72">
        <f t="shared" si="1"/>
        <v>0</v>
      </c>
      <c r="I51" s="73">
        <v>0.02</v>
      </c>
      <c r="J51" s="72">
        <f t="shared" si="2"/>
        <v>0</v>
      </c>
      <c r="K51" s="30"/>
    </row>
    <row r="52">
      <c r="A52" s="30"/>
      <c r="C52" s="127"/>
      <c r="D52" s="30"/>
      <c r="F52" s="72"/>
      <c r="G52" s="82">
        <v>0.0</v>
      </c>
      <c r="H52" s="72">
        <f t="shared" si="1"/>
        <v>0</v>
      </c>
      <c r="I52" s="73">
        <v>0.02</v>
      </c>
      <c r="J52" s="72">
        <f t="shared" si="2"/>
        <v>0</v>
      </c>
      <c r="K52" s="30"/>
    </row>
    <row r="53">
      <c r="A53" s="30"/>
      <c r="C53" s="127"/>
      <c r="D53" s="30"/>
      <c r="F53" s="72"/>
      <c r="G53" s="82">
        <v>0.0</v>
      </c>
      <c r="H53" s="72">
        <f t="shared" si="1"/>
        <v>0</v>
      </c>
      <c r="I53" s="73">
        <v>0.02</v>
      </c>
      <c r="J53" s="72">
        <f t="shared" si="2"/>
        <v>0</v>
      </c>
      <c r="K53" s="30"/>
    </row>
    <row r="54">
      <c r="A54" s="30"/>
      <c r="C54" s="127"/>
      <c r="D54" s="30"/>
      <c r="F54" s="72"/>
      <c r="G54" s="82">
        <v>0.0</v>
      </c>
      <c r="H54" s="72">
        <f t="shared" si="1"/>
        <v>0</v>
      </c>
      <c r="I54" s="73">
        <v>0.02</v>
      </c>
      <c r="J54" s="72">
        <f t="shared" si="2"/>
        <v>0</v>
      </c>
      <c r="K54" s="30"/>
    </row>
    <row r="55">
      <c r="A55" s="30"/>
      <c r="C55" s="127"/>
      <c r="D55" s="30"/>
      <c r="F55" s="72"/>
      <c r="G55" s="82">
        <v>0.0</v>
      </c>
      <c r="H55" s="72">
        <f t="shared" si="1"/>
        <v>0</v>
      </c>
      <c r="I55" s="73">
        <v>0.02</v>
      </c>
      <c r="J55" s="72">
        <f t="shared" si="2"/>
        <v>0</v>
      </c>
      <c r="K55" s="30"/>
    </row>
    <row r="56">
      <c r="A56" s="30"/>
      <c r="C56" s="127"/>
      <c r="D56" s="30"/>
      <c r="F56" s="72"/>
      <c r="G56" s="82">
        <v>0.0</v>
      </c>
      <c r="H56" s="72">
        <f t="shared" si="1"/>
        <v>0</v>
      </c>
      <c r="I56" s="73">
        <v>0.02</v>
      </c>
      <c r="J56" s="72">
        <f t="shared" si="2"/>
        <v>0</v>
      </c>
      <c r="K56" s="30"/>
    </row>
    <row r="57">
      <c r="A57" s="30"/>
      <c r="C57" s="127"/>
      <c r="D57" s="30"/>
      <c r="F57" s="72"/>
      <c r="G57" s="82">
        <v>0.0</v>
      </c>
      <c r="H57" s="72">
        <f t="shared" si="1"/>
        <v>0</v>
      </c>
      <c r="I57" s="73">
        <v>0.02</v>
      </c>
      <c r="J57" s="72">
        <f t="shared" si="2"/>
        <v>0</v>
      </c>
      <c r="K57" s="30"/>
    </row>
    <row r="58">
      <c r="A58" s="30"/>
      <c r="C58" s="127"/>
      <c r="D58" s="30"/>
      <c r="F58" s="72"/>
      <c r="G58" s="82">
        <v>0.0</v>
      </c>
      <c r="H58" s="72">
        <f t="shared" si="1"/>
        <v>0</v>
      </c>
      <c r="I58" s="73">
        <v>0.02</v>
      </c>
      <c r="J58" s="72">
        <f t="shared" si="2"/>
        <v>0</v>
      </c>
      <c r="K58" s="30"/>
    </row>
    <row r="59">
      <c r="A59" s="30"/>
      <c r="C59" s="127"/>
      <c r="D59" s="30"/>
      <c r="F59" s="72"/>
      <c r="G59" s="82">
        <v>0.0</v>
      </c>
      <c r="H59" s="72">
        <f t="shared" si="1"/>
        <v>0</v>
      </c>
      <c r="I59" s="73">
        <v>0.02</v>
      </c>
      <c r="J59" s="72">
        <f t="shared" si="2"/>
        <v>0</v>
      </c>
      <c r="K59" s="30"/>
    </row>
    <row r="60">
      <c r="A60" s="30"/>
      <c r="C60" s="127"/>
      <c r="D60" s="30"/>
      <c r="F60" s="72"/>
      <c r="G60" s="82">
        <v>0.0</v>
      </c>
      <c r="H60" s="72">
        <f t="shared" si="1"/>
        <v>0</v>
      </c>
      <c r="I60" s="73">
        <v>0.02</v>
      </c>
      <c r="J60" s="72">
        <f t="shared" si="2"/>
        <v>0</v>
      </c>
      <c r="K60" s="30"/>
    </row>
    <row r="61">
      <c r="A61" s="30"/>
      <c r="C61" s="127"/>
      <c r="D61" s="30"/>
      <c r="F61" s="72"/>
      <c r="G61" s="82">
        <v>0.0</v>
      </c>
      <c r="H61" s="72">
        <f t="shared" si="1"/>
        <v>0</v>
      </c>
      <c r="I61" s="73">
        <v>0.02</v>
      </c>
      <c r="J61" s="72">
        <f t="shared" si="2"/>
        <v>0</v>
      </c>
      <c r="K61" s="30"/>
    </row>
    <row r="62">
      <c r="A62" s="30"/>
      <c r="C62" s="127"/>
      <c r="D62" s="30"/>
      <c r="F62" s="72"/>
      <c r="G62" s="82">
        <v>0.0</v>
      </c>
      <c r="H62" s="72">
        <f t="shared" si="1"/>
        <v>0</v>
      </c>
      <c r="I62" s="73">
        <v>0.02</v>
      </c>
      <c r="J62" s="72">
        <f t="shared" si="2"/>
        <v>0</v>
      </c>
      <c r="K62" s="30"/>
    </row>
    <row r="63">
      <c r="A63" s="30"/>
      <c r="C63" s="127"/>
      <c r="D63" s="30"/>
      <c r="F63" s="72"/>
      <c r="G63" s="82">
        <v>0.0</v>
      </c>
      <c r="H63" s="72">
        <f t="shared" si="1"/>
        <v>0</v>
      </c>
      <c r="I63" s="73">
        <v>0.02</v>
      </c>
      <c r="J63" s="72">
        <f t="shared" si="2"/>
        <v>0</v>
      </c>
      <c r="K63" s="30"/>
    </row>
    <row r="64">
      <c r="A64" s="30"/>
      <c r="C64" s="127"/>
      <c r="D64" s="30"/>
      <c r="F64" s="72"/>
      <c r="G64" s="82">
        <v>0.0</v>
      </c>
      <c r="H64" s="72">
        <f t="shared" si="1"/>
        <v>0</v>
      </c>
      <c r="I64" s="73">
        <v>0.02</v>
      </c>
      <c r="J64" s="72">
        <f t="shared" si="2"/>
        <v>0</v>
      </c>
      <c r="K64" s="30"/>
    </row>
    <row r="65">
      <c r="A65" s="30"/>
      <c r="C65" s="127"/>
      <c r="F65" s="72"/>
      <c r="G65" s="82">
        <v>0.0</v>
      </c>
      <c r="H65" s="72">
        <f t="shared" si="1"/>
        <v>0</v>
      </c>
      <c r="I65" s="73">
        <v>0.02</v>
      </c>
      <c r="J65" s="72">
        <f t="shared" si="2"/>
        <v>0</v>
      </c>
      <c r="K65" s="30"/>
    </row>
    <row r="66">
      <c r="A66" s="127"/>
      <c r="B66" s="22"/>
      <c r="C66" s="127"/>
      <c r="D66" s="22"/>
      <c r="E66" s="127"/>
      <c r="F66" s="162"/>
      <c r="G66" s="22"/>
      <c r="H66" s="162"/>
      <c r="I66" s="22"/>
      <c r="J66" s="162"/>
      <c r="K66" s="127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</row>
    <row r="67">
      <c r="A67" s="127"/>
      <c r="B67" s="22"/>
      <c r="C67" s="127"/>
      <c r="D67" s="22"/>
      <c r="E67" s="127"/>
      <c r="F67" s="162"/>
      <c r="G67" s="22"/>
      <c r="H67" s="162"/>
      <c r="I67" s="22"/>
      <c r="J67" s="162"/>
      <c r="K67" s="127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</row>
    <row r="68">
      <c r="A68" s="127"/>
      <c r="B68" s="22"/>
      <c r="C68" s="127"/>
      <c r="D68" s="22"/>
      <c r="E68" s="127"/>
      <c r="F68" s="162"/>
      <c r="G68" s="22"/>
      <c r="H68" s="162"/>
      <c r="I68" s="22"/>
      <c r="J68" s="162"/>
      <c r="K68" s="127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</row>
    <row r="69">
      <c r="A69" s="127"/>
      <c r="B69" s="22"/>
      <c r="C69" s="127"/>
      <c r="D69" s="22"/>
      <c r="E69" s="127"/>
      <c r="F69" s="162"/>
      <c r="G69" s="22"/>
      <c r="H69" s="162"/>
      <c r="I69" s="22"/>
      <c r="J69" s="162"/>
      <c r="K69" s="127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</row>
    <row r="70">
      <c r="A70" s="127"/>
      <c r="B70" s="22"/>
      <c r="C70" s="127"/>
      <c r="D70" s="22"/>
      <c r="E70" s="127"/>
      <c r="F70" s="162"/>
      <c r="G70" s="22"/>
      <c r="H70" s="162"/>
      <c r="I70" s="22"/>
      <c r="J70" s="162"/>
      <c r="K70" s="127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</row>
    <row r="71">
      <c r="A71" s="127"/>
      <c r="B71" s="22"/>
      <c r="C71" s="127"/>
      <c r="D71" s="22"/>
      <c r="E71" s="127"/>
      <c r="F71" s="162"/>
      <c r="G71" s="22"/>
      <c r="H71" s="162"/>
      <c r="I71" s="22"/>
      <c r="J71" s="162"/>
      <c r="K71" s="127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</row>
    <row r="72">
      <c r="A72" s="127"/>
      <c r="B72" s="22"/>
      <c r="C72" s="127"/>
      <c r="D72" s="22"/>
      <c r="E72" s="127"/>
      <c r="F72" s="162"/>
      <c r="G72" s="22"/>
      <c r="H72" s="162"/>
      <c r="I72" s="22"/>
      <c r="J72" s="162"/>
      <c r="K72" s="127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</row>
    <row r="73">
      <c r="A73" s="127"/>
      <c r="B73" s="22"/>
      <c r="C73" s="127"/>
      <c r="D73" s="22"/>
      <c r="E73" s="127"/>
      <c r="F73" s="162"/>
      <c r="G73" s="22"/>
      <c r="H73" s="162"/>
      <c r="I73" s="22"/>
      <c r="J73" s="162"/>
      <c r="K73" s="127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</row>
    <row r="74">
      <c r="A74" s="127"/>
      <c r="B74" s="22"/>
      <c r="C74" s="127"/>
      <c r="D74" s="22"/>
      <c r="E74" s="127"/>
      <c r="F74" s="162"/>
      <c r="G74" s="22"/>
      <c r="H74" s="162"/>
      <c r="I74" s="22"/>
      <c r="J74" s="162"/>
      <c r="K74" s="127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</row>
    <row r="75">
      <c r="A75" s="127"/>
      <c r="B75" s="22"/>
      <c r="C75" s="127"/>
      <c r="D75" s="22"/>
      <c r="E75" s="127"/>
      <c r="F75" s="162"/>
      <c r="G75" s="22"/>
      <c r="H75" s="162"/>
      <c r="I75" s="22"/>
      <c r="J75" s="162"/>
      <c r="K75" s="127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</row>
    <row r="76">
      <c r="A76" s="127"/>
      <c r="B76" s="22"/>
      <c r="C76" s="127"/>
      <c r="D76" s="22"/>
      <c r="E76" s="127"/>
      <c r="F76" s="162"/>
      <c r="G76" s="22"/>
      <c r="H76" s="162"/>
      <c r="I76" s="22"/>
      <c r="J76" s="162"/>
      <c r="K76" s="127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</row>
    <row r="77">
      <c r="A77" s="127"/>
      <c r="B77" s="22"/>
      <c r="C77" s="127"/>
      <c r="D77" s="22"/>
      <c r="E77" s="127"/>
      <c r="F77" s="162"/>
      <c r="G77" s="22"/>
      <c r="H77" s="162"/>
      <c r="I77" s="22"/>
      <c r="J77" s="162"/>
      <c r="K77" s="127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</row>
    <row r="78">
      <c r="A78" s="127"/>
      <c r="B78" s="22"/>
      <c r="C78" s="127"/>
      <c r="D78" s="22"/>
      <c r="E78" s="127"/>
      <c r="F78" s="162"/>
      <c r="G78" s="22"/>
      <c r="H78" s="162"/>
      <c r="I78" s="22"/>
      <c r="J78" s="162"/>
      <c r="K78" s="127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</row>
    <row r="79">
      <c r="A79" s="127"/>
      <c r="B79" s="22"/>
      <c r="C79" s="127"/>
      <c r="D79" s="22"/>
      <c r="E79" s="127"/>
      <c r="F79" s="162"/>
      <c r="G79" s="22"/>
      <c r="H79" s="162"/>
      <c r="I79" s="22"/>
      <c r="J79" s="162"/>
      <c r="K79" s="127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</row>
    <row r="80">
      <c r="A80" s="127"/>
      <c r="B80" s="22"/>
      <c r="C80" s="127"/>
      <c r="D80" s="22"/>
      <c r="E80" s="127"/>
      <c r="F80" s="162"/>
      <c r="G80" s="22"/>
      <c r="H80" s="162"/>
      <c r="I80" s="22"/>
      <c r="J80" s="162"/>
      <c r="K80" s="127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</row>
    <row r="81">
      <c r="A81" s="127"/>
      <c r="B81" s="22"/>
      <c r="C81" s="127"/>
      <c r="D81" s="22"/>
      <c r="E81" s="127"/>
      <c r="F81" s="162"/>
      <c r="G81" s="22"/>
      <c r="H81" s="162"/>
      <c r="I81" s="22"/>
      <c r="J81" s="162"/>
      <c r="K81" s="127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</row>
    <row r="82">
      <c r="A82" s="127"/>
      <c r="B82" s="22"/>
      <c r="C82" s="127"/>
      <c r="D82" s="22"/>
      <c r="E82" s="127"/>
      <c r="F82" s="162"/>
      <c r="G82" s="22"/>
      <c r="H82" s="162"/>
      <c r="I82" s="22"/>
      <c r="J82" s="162"/>
      <c r="K82" s="127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</row>
    <row r="83">
      <c r="A83" s="127"/>
      <c r="B83" s="22"/>
      <c r="C83" s="127"/>
      <c r="D83" s="22"/>
      <c r="E83" s="127"/>
      <c r="F83" s="162"/>
      <c r="G83" s="22"/>
      <c r="H83" s="162"/>
      <c r="I83" s="22"/>
      <c r="J83" s="162"/>
      <c r="K83" s="127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</row>
    <row r="84">
      <c r="A84" s="127"/>
      <c r="B84" s="22"/>
      <c r="C84" s="127"/>
      <c r="D84" s="22"/>
      <c r="E84" s="127"/>
      <c r="F84" s="162"/>
      <c r="G84" s="22"/>
      <c r="H84" s="162"/>
      <c r="I84" s="22"/>
      <c r="J84" s="162"/>
      <c r="K84" s="127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</row>
    <row r="85">
      <c r="A85" s="127"/>
      <c r="B85" s="22"/>
      <c r="C85" s="127"/>
      <c r="D85" s="22"/>
      <c r="E85" s="127"/>
      <c r="F85" s="162"/>
      <c r="G85" s="22"/>
      <c r="H85" s="162"/>
      <c r="I85" s="22"/>
      <c r="J85" s="162"/>
      <c r="K85" s="127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</row>
    <row r="86">
      <c r="A86" s="127"/>
      <c r="B86" s="22"/>
      <c r="C86" s="127"/>
      <c r="D86" s="22"/>
      <c r="E86" s="127"/>
      <c r="F86" s="162"/>
      <c r="G86" s="22"/>
      <c r="H86" s="162"/>
      <c r="I86" s="22"/>
      <c r="J86" s="162"/>
      <c r="K86" s="127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</row>
    <row r="87">
      <c r="A87" s="127"/>
      <c r="B87" s="22"/>
      <c r="C87" s="127"/>
      <c r="D87" s="22"/>
      <c r="E87" s="127"/>
      <c r="F87" s="162"/>
      <c r="G87" s="22"/>
      <c r="H87" s="162"/>
      <c r="I87" s="22"/>
      <c r="J87" s="162"/>
      <c r="K87" s="127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</row>
    <row r="88">
      <c r="A88" s="127"/>
      <c r="B88" s="22"/>
      <c r="C88" s="127"/>
      <c r="D88" s="22"/>
      <c r="E88" s="127"/>
      <c r="F88" s="162"/>
      <c r="G88" s="22"/>
      <c r="H88" s="162"/>
      <c r="I88" s="22"/>
      <c r="J88" s="162"/>
      <c r="K88" s="127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</row>
    <row r="89">
      <c r="A89" s="127"/>
      <c r="B89" s="22"/>
      <c r="C89" s="127"/>
      <c r="D89" s="22"/>
      <c r="E89" s="127"/>
      <c r="F89" s="162"/>
      <c r="G89" s="22"/>
      <c r="H89" s="162"/>
      <c r="I89" s="22"/>
      <c r="J89" s="162"/>
      <c r="K89" s="127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</row>
    <row r="90">
      <c r="A90" s="127"/>
      <c r="B90" s="22"/>
      <c r="C90" s="127"/>
      <c r="D90" s="22"/>
      <c r="E90" s="127"/>
      <c r="F90" s="162"/>
      <c r="G90" s="22"/>
      <c r="H90" s="162"/>
      <c r="I90" s="22"/>
      <c r="J90" s="162"/>
      <c r="K90" s="127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</row>
    <row r="91">
      <c r="A91" s="127"/>
      <c r="B91" s="22"/>
      <c r="C91" s="127"/>
      <c r="D91" s="22"/>
      <c r="E91" s="22"/>
      <c r="F91" s="162"/>
      <c r="G91" s="22"/>
      <c r="H91" s="162"/>
      <c r="I91" s="22"/>
      <c r="J91" s="162"/>
      <c r="K91" s="127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</row>
    <row r="92">
      <c r="A92" s="127"/>
      <c r="B92" s="22"/>
      <c r="C92" s="127"/>
      <c r="D92" s="22"/>
      <c r="E92" s="22"/>
      <c r="F92" s="162"/>
      <c r="G92" s="22"/>
      <c r="H92" s="162"/>
      <c r="I92" s="22"/>
      <c r="J92" s="162"/>
      <c r="K92" s="127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</row>
    <row r="93">
      <c r="A93" s="127"/>
      <c r="B93" s="22"/>
      <c r="C93" s="127"/>
      <c r="D93" s="22"/>
      <c r="E93" s="22"/>
      <c r="F93" s="162"/>
      <c r="G93" s="22"/>
      <c r="H93" s="162"/>
      <c r="I93" s="22"/>
      <c r="J93" s="162"/>
      <c r="K93" s="127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</row>
    <row r="94">
      <c r="A94" s="127"/>
      <c r="B94" s="22"/>
      <c r="C94" s="127"/>
      <c r="D94" s="22"/>
      <c r="E94" s="22"/>
      <c r="F94" s="162"/>
      <c r="G94" s="22"/>
      <c r="H94" s="162"/>
      <c r="I94" s="22"/>
      <c r="J94" s="162"/>
      <c r="K94" s="127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</row>
    <row r="95">
      <c r="A95" s="127"/>
      <c r="B95" s="22"/>
      <c r="C95" s="127"/>
      <c r="D95" s="22"/>
      <c r="E95" s="22"/>
      <c r="F95" s="162"/>
      <c r="G95" s="22"/>
      <c r="H95" s="162"/>
      <c r="I95" s="22"/>
      <c r="J95" s="162"/>
      <c r="K95" s="127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</row>
    <row r="96">
      <c r="A96" s="127"/>
      <c r="B96" s="22"/>
      <c r="C96" s="127"/>
      <c r="D96" s="22"/>
      <c r="E96" s="22"/>
      <c r="F96" s="162"/>
      <c r="G96" s="22"/>
      <c r="H96" s="162"/>
      <c r="I96" s="22"/>
      <c r="J96" s="162"/>
      <c r="K96" s="127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</row>
    <row r="97">
      <c r="A97" s="127"/>
      <c r="B97" s="22"/>
      <c r="C97" s="127"/>
      <c r="D97" s="22"/>
      <c r="E97" s="22"/>
      <c r="F97" s="162"/>
      <c r="G97" s="22"/>
      <c r="H97" s="162"/>
      <c r="I97" s="22"/>
      <c r="J97" s="162"/>
      <c r="K97" s="127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</row>
    <row r="98">
      <c r="A98" s="127"/>
      <c r="B98" s="22"/>
      <c r="C98" s="127"/>
      <c r="D98" s="22"/>
      <c r="E98" s="22"/>
      <c r="F98" s="162"/>
      <c r="G98" s="22"/>
      <c r="H98" s="162"/>
      <c r="I98" s="22"/>
      <c r="J98" s="162"/>
      <c r="K98" s="127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</row>
    <row r="99">
      <c r="A99" s="127"/>
      <c r="B99" s="22"/>
      <c r="C99" s="127"/>
      <c r="D99" s="22"/>
      <c r="E99" s="22"/>
      <c r="F99" s="162"/>
      <c r="G99" s="22"/>
      <c r="H99" s="162"/>
      <c r="I99" s="22"/>
      <c r="J99" s="162"/>
      <c r="K99" s="127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</row>
    <row r="100">
      <c r="A100" s="127"/>
      <c r="B100" s="22"/>
      <c r="C100" s="127"/>
      <c r="D100" s="22"/>
      <c r="E100" s="22"/>
      <c r="F100" s="162"/>
      <c r="G100" s="22"/>
      <c r="H100" s="162"/>
      <c r="I100" s="22"/>
      <c r="J100" s="162"/>
      <c r="K100" s="127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</row>
    <row r="101">
      <c r="A101" s="127"/>
      <c r="B101" s="22"/>
      <c r="C101" s="127"/>
      <c r="D101" s="22"/>
      <c r="E101" s="22"/>
      <c r="F101" s="162"/>
      <c r="G101" s="22"/>
      <c r="H101" s="162"/>
      <c r="I101" s="22"/>
      <c r="J101" s="162"/>
      <c r="K101" s="127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</row>
    <row r="102">
      <c r="A102" s="127"/>
      <c r="B102" s="22"/>
      <c r="C102" s="127"/>
      <c r="D102" s="22"/>
      <c r="E102" s="22"/>
      <c r="F102" s="162"/>
      <c r="G102" s="22"/>
      <c r="H102" s="162"/>
      <c r="I102" s="22"/>
      <c r="J102" s="162"/>
      <c r="K102" s="127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</row>
    <row r="103">
      <c r="A103" s="127"/>
      <c r="B103" s="22"/>
      <c r="C103" s="127"/>
      <c r="D103" s="22"/>
      <c r="E103" s="22"/>
      <c r="F103" s="162"/>
      <c r="G103" s="22"/>
      <c r="H103" s="162"/>
      <c r="I103" s="22"/>
      <c r="J103" s="162"/>
      <c r="K103" s="127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</row>
    <row r="104">
      <c r="A104" s="127"/>
      <c r="B104" s="22"/>
      <c r="C104" s="127"/>
      <c r="D104" s="22"/>
      <c r="E104" s="22"/>
      <c r="F104" s="162"/>
      <c r="G104" s="22"/>
      <c r="H104" s="162"/>
      <c r="I104" s="22"/>
      <c r="J104" s="162"/>
      <c r="K104" s="127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</row>
    <row r="105">
      <c r="A105" s="127"/>
      <c r="B105" s="22"/>
      <c r="C105" s="127"/>
      <c r="D105" s="22"/>
      <c r="E105" s="22"/>
      <c r="F105" s="162"/>
      <c r="G105" s="22"/>
      <c r="H105" s="162"/>
      <c r="I105" s="22"/>
      <c r="J105" s="162"/>
      <c r="K105" s="127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</row>
    <row r="106">
      <c r="A106" s="127"/>
      <c r="B106" s="22"/>
      <c r="C106" s="127"/>
      <c r="D106" s="22"/>
      <c r="E106" s="22"/>
      <c r="F106" s="162"/>
      <c r="G106" s="22"/>
      <c r="H106" s="162"/>
      <c r="I106" s="22"/>
      <c r="J106" s="162"/>
      <c r="K106" s="127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</row>
    <row r="107">
      <c r="A107" s="127"/>
      <c r="B107" s="22"/>
      <c r="C107" s="127"/>
      <c r="D107" s="22"/>
      <c r="E107" s="22"/>
      <c r="F107" s="162"/>
      <c r="G107" s="22"/>
      <c r="H107" s="162"/>
      <c r="I107" s="22"/>
      <c r="J107" s="162"/>
      <c r="K107" s="127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</row>
    <row r="108">
      <c r="A108" s="127"/>
      <c r="B108" s="22"/>
      <c r="C108" s="127"/>
      <c r="D108" s="22"/>
      <c r="E108" s="22"/>
      <c r="F108" s="162"/>
      <c r="G108" s="22"/>
      <c r="H108" s="162"/>
      <c r="I108" s="22"/>
      <c r="J108" s="162"/>
      <c r="K108" s="127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</row>
    <row r="109">
      <c r="A109" s="127"/>
      <c r="B109" s="22"/>
      <c r="C109" s="127"/>
      <c r="D109" s="22"/>
      <c r="E109" s="22"/>
      <c r="F109" s="162"/>
      <c r="G109" s="22"/>
      <c r="H109" s="162"/>
      <c r="I109" s="22"/>
      <c r="J109" s="162"/>
      <c r="K109" s="127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</row>
    <row r="110">
      <c r="A110" s="127"/>
      <c r="B110" s="22"/>
      <c r="C110" s="127"/>
      <c r="D110" s="22"/>
      <c r="E110" s="22"/>
      <c r="F110" s="162"/>
      <c r="G110" s="22"/>
      <c r="H110" s="162"/>
      <c r="I110" s="22"/>
      <c r="J110" s="162"/>
      <c r="K110" s="127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</row>
    <row r="111">
      <c r="A111" s="127"/>
      <c r="B111" s="22"/>
      <c r="C111" s="127"/>
      <c r="D111" s="22"/>
      <c r="E111" s="22"/>
      <c r="F111" s="162"/>
      <c r="G111" s="22"/>
      <c r="H111" s="162"/>
      <c r="I111" s="22"/>
      <c r="J111" s="162"/>
      <c r="K111" s="127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</row>
    <row r="112">
      <c r="A112" s="127"/>
      <c r="B112" s="22"/>
      <c r="C112" s="127"/>
      <c r="D112" s="22"/>
      <c r="E112" s="22"/>
      <c r="F112" s="162"/>
      <c r="G112" s="22"/>
      <c r="H112" s="162"/>
      <c r="I112" s="22"/>
      <c r="J112" s="162"/>
      <c r="K112" s="127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</row>
    <row r="113">
      <c r="A113" s="127"/>
      <c r="B113" s="22"/>
      <c r="C113" s="127"/>
      <c r="D113" s="22"/>
      <c r="E113" s="22"/>
      <c r="F113" s="162"/>
      <c r="G113" s="22"/>
      <c r="H113" s="162"/>
      <c r="I113" s="22"/>
      <c r="J113" s="162"/>
      <c r="K113" s="127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</row>
    <row r="114">
      <c r="A114" s="127"/>
      <c r="B114" s="22"/>
      <c r="C114" s="127"/>
      <c r="D114" s="22"/>
      <c r="E114" s="22"/>
      <c r="F114" s="162"/>
      <c r="G114" s="22"/>
      <c r="H114" s="162"/>
      <c r="I114" s="22"/>
      <c r="J114" s="162"/>
      <c r="K114" s="127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</row>
    <row r="115">
      <c r="A115" s="127"/>
      <c r="B115" s="22"/>
      <c r="C115" s="127"/>
      <c r="D115" s="22"/>
      <c r="E115" s="22"/>
      <c r="F115" s="162"/>
      <c r="G115" s="22"/>
      <c r="H115" s="162"/>
      <c r="I115" s="22"/>
      <c r="J115" s="162"/>
      <c r="K115" s="127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</row>
    <row r="116">
      <c r="A116" s="127"/>
      <c r="B116" s="22"/>
      <c r="C116" s="127"/>
      <c r="D116" s="22"/>
      <c r="E116" s="22"/>
      <c r="F116" s="162"/>
      <c r="G116" s="22"/>
      <c r="H116" s="162"/>
      <c r="I116" s="22"/>
      <c r="J116" s="162"/>
      <c r="K116" s="127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</row>
    <row r="117">
      <c r="A117" s="127"/>
      <c r="B117" s="22"/>
      <c r="C117" s="127"/>
      <c r="D117" s="22"/>
      <c r="E117" s="22"/>
      <c r="F117" s="162"/>
      <c r="G117" s="22"/>
      <c r="H117" s="162"/>
      <c r="I117" s="22"/>
      <c r="J117" s="162"/>
      <c r="K117" s="127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</row>
    <row r="118">
      <c r="A118" s="127"/>
      <c r="B118" s="22"/>
      <c r="C118" s="127"/>
      <c r="D118" s="22"/>
      <c r="E118" s="22"/>
      <c r="F118" s="162"/>
      <c r="G118" s="22"/>
      <c r="H118" s="162"/>
      <c r="I118" s="22"/>
      <c r="J118" s="162"/>
      <c r="K118" s="127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</row>
    <row r="119">
      <c r="A119" s="127"/>
      <c r="B119" s="22"/>
      <c r="C119" s="127"/>
      <c r="D119" s="22"/>
      <c r="E119" s="22"/>
      <c r="F119" s="162"/>
      <c r="G119" s="22"/>
      <c r="H119" s="162"/>
      <c r="I119" s="22"/>
      <c r="J119" s="162"/>
      <c r="K119" s="127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</row>
    <row r="120">
      <c r="A120" s="127"/>
      <c r="B120" s="22"/>
      <c r="C120" s="127"/>
      <c r="D120" s="22"/>
      <c r="E120" s="22"/>
      <c r="F120" s="162"/>
      <c r="G120" s="22"/>
      <c r="H120" s="162"/>
      <c r="I120" s="22"/>
      <c r="J120" s="162"/>
      <c r="K120" s="127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</row>
    <row r="121">
      <c r="A121" s="127"/>
      <c r="B121" s="22"/>
      <c r="C121" s="127"/>
      <c r="D121" s="22"/>
      <c r="E121" s="22"/>
      <c r="F121" s="162"/>
      <c r="G121" s="22"/>
      <c r="H121" s="162"/>
      <c r="I121" s="22"/>
      <c r="J121" s="162"/>
      <c r="K121" s="127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</row>
    <row r="122">
      <c r="A122" s="127"/>
      <c r="B122" s="22"/>
      <c r="C122" s="127"/>
      <c r="D122" s="22"/>
      <c r="E122" s="22"/>
      <c r="F122" s="162"/>
      <c r="G122" s="22"/>
      <c r="H122" s="162"/>
      <c r="I122" s="22"/>
      <c r="J122" s="162"/>
      <c r="K122" s="127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</row>
    <row r="123">
      <c r="A123" s="127"/>
      <c r="B123" s="22"/>
      <c r="C123" s="127"/>
      <c r="D123" s="22"/>
      <c r="E123" s="22"/>
      <c r="F123" s="162"/>
      <c r="G123" s="22"/>
      <c r="H123" s="162"/>
      <c r="I123" s="22"/>
      <c r="J123" s="162"/>
      <c r="K123" s="127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</row>
    <row r="124">
      <c r="A124" s="127"/>
      <c r="B124" s="22"/>
      <c r="C124" s="127"/>
      <c r="D124" s="22"/>
      <c r="E124" s="22"/>
      <c r="F124" s="162"/>
      <c r="G124" s="22"/>
      <c r="H124" s="162"/>
      <c r="I124" s="22"/>
      <c r="J124" s="162"/>
      <c r="K124" s="127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</row>
    <row r="125">
      <c r="A125" s="127"/>
      <c r="B125" s="22"/>
      <c r="C125" s="127"/>
      <c r="D125" s="22"/>
      <c r="E125" s="22"/>
      <c r="F125" s="162"/>
      <c r="G125" s="22"/>
      <c r="H125" s="162"/>
      <c r="I125" s="22"/>
      <c r="J125" s="162"/>
      <c r="K125" s="127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</row>
    <row r="126">
      <c r="A126" s="127"/>
      <c r="B126" s="22"/>
      <c r="C126" s="127"/>
      <c r="D126" s="22"/>
      <c r="E126" s="22"/>
      <c r="F126" s="162"/>
      <c r="G126" s="22"/>
      <c r="H126" s="162"/>
      <c r="I126" s="22"/>
      <c r="J126" s="162"/>
      <c r="K126" s="127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</row>
    <row r="127">
      <c r="A127" s="127"/>
      <c r="B127" s="22"/>
      <c r="C127" s="127"/>
      <c r="D127" s="22"/>
      <c r="E127" s="22"/>
      <c r="F127" s="162"/>
      <c r="G127" s="22"/>
      <c r="H127" s="162"/>
      <c r="I127" s="22"/>
      <c r="J127" s="162"/>
      <c r="K127" s="127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</row>
    <row r="128">
      <c r="A128" s="127"/>
      <c r="B128" s="22"/>
      <c r="C128" s="127"/>
      <c r="D128" s="22"/>
      <c r="E128" s="22"/>
      <c r="F128" s="162"/>
      <c r="G128" s="22"/>
      <c r="H128" s="162"/>
      <c r="I128" s="22"/>
      <c r="J128" s="162"/>
      <c r="K128" s="127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</row>
    <row r="129">
      <c r="A129" s="127"/>
      <c r="B129" s="22"/>
      <c r="C129" s="127"/>
      <c r="D129" s="22"/>
      <c r="E129" s="22"/>
      <c r="F129" s="162"/>
      <c r="G129" s="22"/>
      <c r="H129" s="162"/>
      <c r="I129" s="22"/>
      <c r="J129" s="162"/>
      <c r="K129" s="127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</row>
    <row r="130">
      <c r="A130" s="127"/>
      <c r="B130" s="22"/>
      <c r="C130" s="127"/>
      <c r="D130" s="22"/>
      <c r="E130" s="22"/>
      <c r="F130" s="162"/>
      <c r="G130" s="22"/>
      <c r="H130" s="162"/>
      <c r="I130" s="22"/>
      <c r="J130" s="162"/>
      <c r="K130" s="127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</row>
    <row r="131">
      <c r="A131" s="127"/>
      <c r="B131" s="22"/>
      <c r="C131" s="127"/>
      <c r="D131" s="22"/>
      <c r="E131" s="22"/>
      <c r="F131" s="162"/>
      <c r="G131" s="22"/>
      <c r="H131" s="162"/>
      <c r="I131" s="22"/>
      <c r="J131" s="162"/>
      <c r="K131" s="127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</row>
    <row r="132">
      <c r="A132" s="127"/>
      <c r="B132" s="22"/>
      <c r="C132" s="127"/>
      <c r="D132" s="22"/>
      <c r="E132" s="22"/>
      <c r="F132" s="162"/>
      <c r="G132" s="22"/>
      <c r="H132" s="162"/>
      <c r="I132" s="22"/>
      <c r="J132" s="162"/>
      <c r="K132" s="127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</row>
    <row r="133">
      <c r="A133" s="127"/>
      <c r="B133" s="22"/>
      <c r="C133" s="127"/>
      <c r="D133" s="22"/>
      <c r="E133" s="22"/>
      <c r="F133" s="162"/>
      <c r="G133" s="22"/>
      <c r="H133" s="162"/>
      <c r="I133" s="22"/>
      <c r="J133" s="162"/>
      <c r="K133" s="127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</row>
    <row r="134">
      <c r="A134" s="127"/>
      <c r="B134" s="22"/>
      <c r="C134" s="127"/>
      <c r="D134" s="22"/>
      <c r="E134" s="22"/>
      <c r="F134" s="162"/>
      <c r="G134" s="22"/>
      <c r="H134" s="162"/>
      <c r="I134" s="22"/>
      <c r="J134" s="162"/>
      <c r="K134" s="127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</row>
    <row r="135">
      <c r="A135" s="127"/>
      <c r="B135" s="22"/>
      <c r="C135" s="127"/>
      <c r="D135" s="22"/>
      <c r="E135" s="22"/>
      <c r="F135" s="162"/>
      <c r="G135" s="22"/>
      <c r="H135" s="162"/>
      <c r="I135" s="22"/>
      <c r="J135" s="162"/>
      <c r="K135" s="127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</row>
    <row r="136">
      <c r="A136" s="127"/>
      <c r="B136" s="22"/>
      <c r="C136" s="127"/>
      <c r="D136" s="22"/>
      <c r="E136" s="22"/>
      <c r="F136" s="162"/>
      <c r="G136" s="22"/>
      <c r="H136" s="162"/>
      <c r="I136" s="22"/>
      <c r="J136" s="162"/>
      <c r="K136" s="127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</row>
    <row r="137">
      <c r="A137" s="127"/>
      <c r="B137" s="22"/>
      <c r="C137" s="127"/>
      <c r="D137" s="22"/>
      <c r="E137" s="22"/>
      <c r="F137" s="162"/>
      <c r="G137" s="22"/>
      <c r="H137" s="162"/>
      <c r="I137" s="22"/>
      <c r="J137" s="162"/>
      <c r="K137" s="127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</row>
    <row r="138">
      <c r="A138" s="127"/>
      <c r="B138" s="22"/>
      <c r="C138" s="127"/>
      <c r="D138" s="22"/>
      <c r="E138" s="22"/>
      <c r="F138" s="162"/>
      <c r="G138" s="22"/>
      <c r="H138" s="162"/>
      <c r="I138" s="22"/>
      <c r="J138" s="162"/>
      <c r="K138" s="127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</row>
    <row r="139">
      <c r="A139" s="127"/>
      <c r="B139" s="22"/>
      <c r="C139" s="127"/>
      <c r="D139" s="22"/>
      <c r="E139" s="22"/>
      <c r="F139" s="162"/>
      <c r="G139" s="22"/>
      <c r="H139" s="162"/>
      <c r="I139" s="22"/>
      <c r="J139" s="162"/>
      <c r="K139" s="127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</row>
    <row r="140">
      <c r="A140" s="127"/>
      <c r="B140" s="22"/>
      <c r="C140" s="127"/>
      <c r="D140" s="22"/>
      <c r="E140" s="22"/>
      <c r="F140" s="162"/>
      <c r="G140" s="22"/>
      <c r="H140" s="162"/>
      <c r="I140" s="22"/>
      <c r="J140" s="162"/>
      <c r="K140" s="127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</row>
    <row r="141">
      <c r="A141" s="127"/>
      <c r="B141" s="22"/>
      <c r="C141" s="127"/>
      <c r="D141" s="22"/>
      <c r="E141" s="22"/>
      <c r="F141" s="162"/>
      <c r="G141" s="22"/>
      <c r="H141" s="162"/>
      <c r="I141" s="22"/>
      <c r="J141" s="162"/>
      <c r="K141" s="127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</row>
    <row r="142">
      <c r="A142" s="127"/>
      <c r="B142" s="22"/>
      <c r="C142" s="127"/>
      <c r="D142" s="22"/>
      <c r="E142" s="22"/>
      <c r="F142" s="162"/>
      <c r="G142" s="22"/>
      <c r="H142" s="162"/>
      <c r="I142" s="22"/>
      <c r="J142" s="162"/>
      <c r="K142" s="127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</row>
    <row r="143">
      <c r="A143" s="127"/>
      <c r="B143" s="22"/>
      <c r="C143" s="127"/>
      <c r="D143" s="22"/>
      <c r="E143" s="22"/>
      <c r="F143" s="162"/>
      <c r="G143" s="22"/>
      <c r="H143" s="162"/>
      <c r="I143" s="22"/>
      <c r="J143" s="162"/>
      <c r="K143" s="127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</row>
    <row r="144">
      <c r="A144" s="127"/>
      <c r="B144" s="22"/>
      <c r="C144" s="127"/>
      <c r="D144" s="22"/>
      <c r="E144" s="22"/>
      <c r="F144" s="162"/>
      <c r="G144" s="22"/>
      <c r="H144" s="162"/>
      <c r="I144" s="22"/>
      <c r="J144" s="162"/>
      <c r="K144" s="127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</row>
    <row r="145">
      <c r="A145" s="127"/>
      <c r="B145" s="22"/>
      <c r="C145" s="127"/>
      <c r="D145" s="22"/>
      <c r="E145" s="22"/>
      <c r="F145" s="162"/>
      <c r="G145" s="22"/>
      <c r="H145" s="162"/>
      <c r="I145" s="22"/>
      <c r="J145" s="162"/>
      <c r="K145" s="127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</row>
    <row r="146">
      <c r="A146" s="127"/>
      <c r="B146" s="22"/>
      <c r="C146" s="127"/>
      <c r="D146" s="22"/>
      <c r="E146" s="22"/>
      <c r="F146" s="162"/>
      <c r="G146" s="22"/>
      <c r="H146" s="162"/>
      <c r="I146" s="22"/>
      <c r="J146" s="162"/>
      <c r="K146" s="127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</row>
    <row r="147">
      <c r="A147" s="127"/>
      <c r="B147" s="22"/>
      <c r="C147" s="127"/>
      <c r="D147" s="22"/>
      <c r="E147" s="22"/>
      <c r="F147" s="162"/>
      <c r="G147" s="22"/>
      <c r="H147" s="162"/>
      <c r="I147" s="22"/>
      <c r="J147" s="162"/>
      <c r="K147" s="127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</row>
    <row r="148">
      <c r="A148" s="127"/>
      <c r="B148" s="22"/>
      <c r="C148" s="127"/>
      <c r="D148" s="22"/>
      <c r="E148" s="22"/>
      <c r="F148" s="162"/>
      <c r="G148" s="22"/>
      <c r="H148" s="162"/>
      <c r="I148" s="22"/>
      <c r="J148" s="162"/>
      <c r="K148" s="127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</row>
    <row r="149">
      <c r="A149" s="127"/>
      <c r="B149" s="22"/>
      <c r="C149" s="127"/>
      <c r="D149" s="22"/>
      <c r="E149" s="22"/>
      <c r="F149" s="162"/>
      <c r="G149" s="22"/>
      <c r="H149" s="162"/>
      <c r="I149" s="22"/>
      <c r="J149" s="162"/>
      <c r="K149" s="127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</row>
    <row r="150">
      <c r="A150" s="127"/>
      <c r="B150" s="22"/>
      <c r="C150" s="127"/>
      <c r="D150" s="22"/>
      <c r="E150" s="22"/>
      <c r="F150" s="162"/>
      <c r="G150" s="22"/>
      <c r="H150" s="162"/>
      <c r="I150" s="22"/>
      <c r="J150" s="162"/>
      <c r="K150" s="127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</row>
    <row r="151">
      <c r="A151" s="127"/>
      <c r="B151" s="22"/>
      <c r="C151" s="127"/>
      <c r="D151" s="22"/>
      <c r="E151" s="22"/>
      <c r="F151" s="162"/>
      <c r="G151" s="22"/>
      <c r="H151" s="162"/>
      <c r="I151" s="22"/>
      <c r="J151" s="162"/>
      <c r="K151" s="127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</row>
    <row r="152">
      <c r="A152" s="127"/>
      <c r="B152" s="22"/>
      <c r="C152" s="127"/>
      <c r="D152" s="22"/>
      <c r="E152" s="22"/>
      <c r="F152" s="162"/>
      <c r="G152" s="22"/>
      <c r="H152" s="162"/>
      <c r="I152" s="22"/>
      <c r="J152" s="162"/>
      <c r="K152" s="127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</row>
    <row r="153">
      <c r="A153" s="127"/>
      <c r="B153" s="22"/>
      <c r="C153" s="127"/>
      <c r="D153" s="22"/>
      <c r="E153" s="22"/>
      <c r="F153" s="162"/>
      <c r="G153" s="22"/>
      <c r="H153" s="162"/>
      <c r="I153" s="22"/>
      <c r="J153" s="162"/>
      <c r="K153" s="127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</row>
    <row r="154">
      <c r="A154" s="127"/>
      <c r="B154" s="22"/>
      <c r="C154" s="127"/>
      <c r="D154" s="22"/>
      <c r="E154" s="22"/>
      <c r="F154" s="162"/>
      <c r="G154" s="22"/>
      <c r="H154" s="162"/>
      <c r="I154" s="22"/>
      <c r="J154" s="162"/>
      <c r="K154" s="127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</row>
    <row r="155">
      <c r="A155" s="127"/>
      <c r="B155" s="22"/>
      <c r="C155" s="127"/>
      <c r="D155" s="22"/>
      <c r="E155" s="22"/>
      <c r="F155" s="162"/>
      <c r="G155" s="22"/>
      <c r="H155" s="162"/>
      <c r="I155" s="22"/>
      <c r="J155" s="162"/>
      <c r="K155" s="127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</row>
    <row r="156">
      <c r="A156" s="127"/>
      <c r="B156" s="22"/>
      <c r="C156" s="127"/>
      <c r="D156" s="22"/>
      <c r="E156" s="22"/>
      <c r="F156" s="162"/>
      <c r="G156" s="22"/>
      <c r="H156" s="162"/>
      <c r="I156" s="22"/>
      <c r="J156" s="162"/>
      <c r="K156" s="127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</row>
    <row r="157">
      <c r="A157" s="127"/>
      <c r="B157" s="22"/>
      <c r="C157" s="127"/>
      <c r="D157" s="22"/>
      <c r="E157" s="22"/>
      <c r="F157" s="162"/>
      <c r="G157" s="22"/>
      <c r="H157" s="162"/>
      <c r="I157" s="22"/>
      <c r="J157" s="162"/>
      <c r="K157" s="127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</row>
    <row r="158">
      <c r="A158" s="127"/>
      <c r="B158" s="22"/>
      <c r="C158" s="127"/>
      <c r="D158" s="22"/>
      <c r="E158" s="22"/>
      <c r="F158" s="162"/>
      <c r="G158" s="22"/>
      <c r="H158" s="162"/>
      <c r="I158" s="22"/>
      <c r="J158" s="162"/>
      <c r="K158" s="127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</row>
    <row r="159">
      <c r="A159" s="127"/>
      <c r="B159" s="22"/>
      <c r="C159" s="127"/>
      <c r="D159" s="22"/>
      <c r="E159" s="22"/>
      <c r="F159" s="162"/>
      <c r="G159" s="22"/>
      <c r="H159" s="162"/>
      <c r="I159" s="22"/>
      <c r="J159" s="162"/>
      <c r="K159" s="127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</row>
    <row r="160">
      <c r="A160" s="127"/>
      <c r="B160" s="22"/>
      <c r="C160" s="127"/>
      <c r="D160" s="22"/>
      <c r="E160" s="22"/>
      <c r="F160" s="162"/>
      <c r="G160" s="22"/>
      <c r="H160" s="162"/>
      <c r="I160" s="22"/>
      <c r="J160" s="162"/>
      <c r="K160" s="127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</row>
    <row r="161">
      <c r="A161" s="127"/>
      <c r="B161" s="22"/>
      <c r="C161" s="127"/>
      <c r="D161" s="22"/>
      <c r="E161" s="22"/>
      <c r="F161" s="162"/>
      <c r="G161" s="22"/>
      <c r="H161" s="162"/>
      <c r="I161" s="22"/>
      <c r="J161" s="162"/>
      <c r="K161" s="127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</row>
    <row r="162">
      <c r="A162" s="127"/>
      <c r="B162" s="22"/>
      <c r="C162" s="127"/>
      <c r="D162" s="22"/>
      <c r="E162" s="22"/>
      <c r="F162" s="162"/>
      <c r="G162" s="22"/>
      <c r="H162" s="162"/>
      <c r="I162" s="22"/>
      <c r="J162" s="162"/>
      <c r="K162" s="127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</row>
    <row r="163">
      <c r="A163" s="127"/>
      <c r="B163" s="22"/>
      <c r="C163" s="127"/>
      <c r="D163" s="22"/>
      <c r="E163" s="22"/>
      <c r="F163" s="162"/>
      <c r="G163" s="22"/>
      <c r="H163" s="162"/>
      <c r="I163" s="22"/>
      <c r="J163" s="162"/>
      <c r="K163" s="127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</row>
    <row r="164">
      <c r="A164" s="127"/>
      <c r="B164" s="22"/>
      <c r="C164" s="127"/>
      <c r="D164" s="22"/>
      <c r="E164" s="22"/>
      <c r="F164" s="162"/>
      <c r="G164" s="22"/>
      <c r="H164" s="162"/>
      <c r="I164" s="22"/>
      <c r="J164" s="162"/>
      <c r="K164" s="127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</row>
    <row r="165">
      <c r="A165" s="127"/>
      <c r="B165" s="22"/>
      <c r="C165" s="127"/>
      <c r="D165" s="22"/>
      <c r="E165" s="22"/>
      <c r="F165" s="162"/>
      <c r="G165" s="22"/>
      <c r="H165" s="162"/>
      <c r="I165" s="22"/>
      <c r="J165" s="162"/>
      <c r="K165" s="127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</row>
    <row r="166">
      <c r="A166" s="127"/>
      <c r="B166" s="22"/>
      <c r="C166" s="127"/>
      <c r="D166" s="22"/>
      <c r="E166" s="22"/>
      <c r="F166" s="162"/>
      <c r="G166" s="22"/>
      <c r="H166" s="162"/>
      <c r="I166" s="22"/>
      <c r="J166" s="162"/>
      <c r="K166" s="127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</row>
    <row r="167">
      <c r="A167" s="127"/>
      <c r="B167" s="22"/>
      <c r="C167" s="127"/>
      <c r="D167" s="22"/>
      <c r="E167" s="22"/>
      <c r="F167" s="162"/>
      <c r="G167" s="22"/>
      <c r="H167" s="162"/>
      <c r="I167" s="22"/>
      <c r="J167" s="162"/>
      <c r="K167" s="127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</row>
    <row r="168">
      <c r="A168" s="127"/>
      <c r="B168" s="22"/>
      <c r="C168" s="127"/>
      <c r="D168" s="22"/>
      <c r="E168" s="22"/>
      <c r="F168" s="162"/>
      <c r="G168" s="22"/>
      <c r="H168" s="162"/>
      <c r="I168" s="22"/>
      <c r="J168" s="162"/>
      <c r="K168" s="127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</row>
    <row r="169">
      <c r="A169" s="127"/>
      <c r="B169" s="22"/>
      <c r="C169" s="127"/>
      <c r="D169" s="22"/>
      <c r="E169" s="22"/>
      <c r="F169" s="162"/>
      <c r="G169" s="22"/>
      <c r="H169" s="162"/>
      <c r="I169" s="22"/>
      <c r="J169" s="162"/>
      <c r="K169" s="127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</row>
    <row r="170">
      <c r="A170" s="127"/>
      <c r="B170" s="22"/>
      <c r="C170" s="127"/>
      <c r="D170" s="22"/>
      <c r="E170" s="22"/>
      <c r="F170" s="162"/>
      <c r="G170" s="22"/>
      <c r="H170" s="162"/>
      <c r="I170" s="22"/>
      <c r="J170" s="162"/>
      <c r="K170" s="127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</row>
    <row r="171">
      <c r="A171" s="127"/>
      <c r="B171" s="22"/>
      <c r="C171" s="127"/>
      <c r="D171" s="22"/>
      <c r="E171" s="22"/>
      <c r="F171" s="162"/>
      <c r="G171" s="22"/>
      <c r="H171" s="162"/>
      <c r="I171" s="22"/>
      <c r="J171" s="162"/>
      <c r="K171" s="127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</row>
    <row r="172">
      <c r="A172" s="127"/>
      <c r="B172" s="22"/>
      <c r="C172" s="127"/>
      <c r="D172" s="22"/>
      <c r="E172" s="22"/>
      <c r="F172" s="162"/>
      <c r="G172" s="22"/>
      <c r="H172" s="162"/>
      <c r="I172" s="22"/>
      <c r="J172" s="162"/>
      <c r="K172" s="127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</row>
    <row r="173">
      <c r="A173" s="127"/>
      <c r="B173" s="22"/>
      <c r="C173" s="127"/>
      <c r="D173" s="22"/>
      <c r="E173" s="22"/>
      <c r="F173" s="162"/>
      <c r="G173" s="22"/>
      <c r="H173" s="162"/>
      <c r="I173" s="22"/>
      <c r="J173" s="162"/>
      <c r="K173" s="127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</row>
    <row r="174">
      <c r="A174" s="127"/>
      <c r="B174" s="22"/>
      <c r="C174" s="127"/>
      <c r="D174" s="22"/>
      <c r="E174" s="22"/>
      <c r="F174" s="162"/>
      <c r="G174" s="22"/>
      <c r="H174" s="162"/>
      <c r="I174" s="22"/>
      <c r="J174" s="162"/>
      <c r="K174" s="127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</row>
    <row r="175">
      <c r="A175" s="127"/>
      <c r="B175" s="22"/>
      <c r="C175" s="127"/>
      <c r="D175" s="22"/>
      <c r="E175" s="22"/>
      <c r="F175" s="162"/>
      <c r="G175" s="22"/>
      <c r="H175" s="162"/>
      <c r="I175" s="22"/>
      <c r="J175" s="162"/>
      <c r="K175" s="127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</row>
    <row r="176">
      <c r="A176" s="127"/>
      <c r="B176" s="22"/>
      <c r="C176" s="127"/>
      <c r="D176" s="22"/>
      <c r="E176" s="22"/>
      <c r="F176" s="162"/>
      <c r="G176" s="22"/>
      <c r="H176" s="162"/>
      <c r="I176" s="22"/>
      <c r="J176" s="162"/>
      <c r="K176" s="127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</row>
    <row r="177">
      <c r="A177" s="127"/>
      <c r="B177" s="22"/>
      <c r="C177" s="127"/>
      <c r="D177" s="22"/>
      <c r="E177" s="22"/>
      <c r="F177" s="162"/>
      <c r="G177" s="22"/>
      <c r="H177" s="162"/>
      <c r="I177" s="22"/>
      <c r="J177" s="162"/>
      <c r="K177" s="127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</row>
    <row r="178">
      <c r="A178" s="127"/>
      <c r="B178" s="22"/>
      <c r="C178" s="127"/>
      <c r="D178" s="22"/>
      <c r="E178" s="22"/>
      <c r="F178" s="162"/>
      <c r="G178" s="22"/>
      <c r="H178" s="162"/>
      <c r="I178" s="22"/>
      <c r="J178" s="162"/>
      <c r="K178" s="127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</row>
    <row r="179">
      <c r="A179" s="127"/>
      <c r="B179" s="22"/>
      <c r="C179" s="127"/>
      <c r="D179" s="22"/>
      <c r="E179" s="22"/>
      <c r="F179" s="162"/>
      <c r="G179" s="22"/>
      <c r="H179" s="162"/>
      <c r="I179" s="22"/>
      <c r="J179" s="162"/>
      <c r="K179" s="127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</row>
    <row r="180">
      <c r="A180" s="127"/>
      <c r="B180" s="22"/>
      <c r="C180" s="127"/>
      <c r="D180" s="22"/>
      <c r="E180" s="22"/>
      <c r="F180" s="162"/>
      <c r="G180" s="22"/>
      <c r="H180" s="162"/>
      <c r="I180" s="22"/>
      <c r="J180" s="162"/>
      <c r="K180" s="127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</row>
    <row r="181">
      <c r="A181" s="127"/>
      <c r="B181" s="22"/>
      <c r="C181" s="127"/>
      <c r="D181" s="22"/>
      <c r="E181" s="22"/>
      <c r="F181" s="162"/>
      <c r="G181" s="22"/>
      <c r="H181" s="162"/>
      <c r="I181" s="22"/>
      <c r="J181" s="162"/>
      <c r="K181" s="127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</row>
    <row r="182">
      <c r="A182" s="127"/>
      <c r="B182" s="22"/>
      <c r="C182" s="127"/>
      <c r="D182" s="22"/>
      <c r="E182" s="22"/>
      <c r="F182" s="162"/>
      <c r="G182" s="22"/>
      <c r="H182" s="162"/>
      <c r="I182" s="22"/>
      <c r="J182" s="162"/>
      <c r="K182" s="127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</row>
    <row r="183">
      <c r="A183" s="127"/>
      <c r="B183" s="22"/>
      <c r="C183" s="127"/>
      <c r="D183" s="22"/>
      <c r="E183" s="22"/>
      <c r="F183" s="162"/>
      <c r="G183" s="22"/>
      <c r="H183" s="162"/>
      <c r="I183" s="22"/>
      <c r="J183" s="162"/>
      <c r="K183" s="127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</row>
    <row r="184">
      <c r="A184" s="127"/>
      <c r="B184" s="22"/>
      <c r="C184" s="127"/>
      <c r="D184" s="22"/>
      <c r="E184" s="22"/>
      <c r="F184" s="162"/>
      <c r="G184" s="22"/>
      <c r="H184" s="162"/>
      <c r="I184" s="22"/>
      <c r="J184" s="162"/>
      <c r="K184" s="127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</row>
    <row r="185">
      <c r="A185" s="127"/>
      <c r="B185" s="22"/>
      <c r="C185" s="127"/>
      <c r="D185" s="22"/>
      <c r="E185" s="22"/>
      <c r="F185" s="162"/>
      <c r="G185" s="22"/>
      <c r="H185" s="162"/>
      <c r="I185" s="22"/>
      <c r="J185" s="162"/>
      <c r="K185" s="127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</row>
    <row r="186">
      <c r="A186" s="127"/>
      <c r="B186" s="22"/>
      <c r="C186" s="127"/>
      <c r="D186" s="22"/>
      <c r="E186" s="22"/>
      <c r="F186" s="162"/>
      <c r="G186" s="22"/>
      <c r="H186" s="162"/>
      <c r="I186" s="22"/>
      <c r="J186" s="162"/>
      <c r="K186" s="127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</row>
    <row r="187">
      <c r="A187" s="127"/>
      <c r="B187" s="22"/>
      <c r="C187" s="127"/>
      <c r="D187" s="22"/>
      <c r="E187" s="22"/>
      <c r="F187" s="162"/>
      <c r="G187" s="22"/>
      <c r="H187" s="162"/>
      <c r="I187" s="22"/>
      <c r="J187" s="162"/>
      <c r="K187" s="127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</row>
    <row r="188">
      <c r="A188" s="127"/>
      <c r="B188" s="22"/>
      <c r="C188" s="127"/>
      <c r="D188" s="22"/>
      <c r="E188" s="22"/>
      <c r="F188" s="162"/>
      <c r="G188" s="22"/>
      <c r="H188" s="162"/>
      <c r="I188" s="22"/>
      <c r="J188" s="162"/>
      <c r="K188" s="127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</row>
    <row r="189">
      <c r="A189" s="127"/>
      <c r="B189" s="22"/>
      <c r="C189" s="127"/>
      <c r="D189" s="22"/>
      <c r="E189" s="22"/>
      <c r="F189" s="162"/>
      <c r="G189" s="22"/>
      <c r="H189" s="162"/>
      <c r="I189" s="22"/>
      <c r="J189" s="162"/>
      <c r="K189" s="127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</row>
    <row r="190">
      <c r="A190" s="127"/>
      <c r="B190" s="22"/>
      <c r="C190" s="127"/>
      <c r="D190" s="22"/>
      <c r="E190" s="22"/>
      <c r="F190" s="162"/>
      <c r="G190" s="22"/>
      <c r="H190" s="162"/>
      <c r="I190" s="22"/>
      <c r="J190" s="162"/>
      <c r="K190" s="127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</row>
    <row r="191">
      <c r="A191" s="127"/>
      <c r="B191" s="22"/>
      <c r="C191" s="127"/>
      <c r="D191" s="22"/>
      <c r="E191" s="22"/>
      <c r="F191" s="162"/>
      <c r="G191" s="22"/>
      <c r="H191" s="162"/>
      <c r="I191" s="22"/>
      <c r="J191" s="162"/>
      <c r="K191" s="127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</row>
    <row r="192">
      <c r="A192" s="127"/>
      <c r="B192" s="22"/>
      <c r="C192" s="127"/>
      <c r="D192" s="22"/>
      <c r="E192" s="22"/>
      <c r="F192" s="22"/>
      <c r="G192" s="22"/>
      <c r="H192" s="22"/>
      <c r="I192" s="22"/>
      <c r="J192" s="22"/>
      <c r="K192" s="127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</row>
    <row r="193">
      <c r="A193" s="127"/>
      <c r="B193" s="22"/>
      <c r="C193" s="127"/>
      <c r="D193" s="22"/>
      <c r="E193" s="22"/>
      <c r="F193" s="22"/>
      <c r="G193" s="22"/>
      <c r="H193" s="22"/>
      <c r="I193" s="22"/>
      <c r="J193" s="22"/>
      <c r="K193" s="127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</row>
    <row r="194">
      <c r="A194" s="127"/>
      <c r="B194" s="22"/>
      <c r="C194" s="127"/>
      <c r="D194" s="22"/>
      <c r="E194" s="22"/>
      <c r="F194" s="22"/>
      <c r="G194" s="22"/>
      <c r="H194" s="22"/>
      <c r="I194" s="22"/>
      <c r="J194" s="22"/>
      <c r="K194" s="127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</row>
    <row r="195">
      <c r="A195" s="127"/>
      <c r="B195" s="22"/>
      <c r="C195" s="127"/>
      <c r="D195" s="22"/>
      <c r="E195" s="22"/>
      <c r="F195" s="22"/>
      <c r="G195" s="22"/>
      <c r="H195" s="22"/>
      <c r="I195" s="22"/>
      <c r="J195" s="22"/>
      <c r="K195" s="127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</row>
    <row r="196">
      <c r="A196" s="127"/>
      <c r="B196" s="22"/>
      <c r="C196" s="127"/>
      <c r="D196" s="22"/>
      <c r="E196" s="22"/>
      <c r="F196" s="22"/>
      <c r="G196" s="22"/>
      <c r="H196" s="22"/>
      <c r="I196" s="22"/>
      <c r="J196" s="22"/>
      <c r="K196" s="127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</row>
    <row r="197">
      <c r="A197" s="127"/>
      <c r="B197" s="22"/>
      <c r="C197" s="127"/>
      <c r="D197" s="22"/>
      <c r="E197" s="22"/>
      <c r="F197" s="22"/>
      <c r="G197" s="22"/>
      <c r="H197" s="22"/>
      <c r="I197" s="22"/>
      <c r="J197" s="22"/>
      <c r="K197" s="127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</row>
    <row r="198">
      <c r="A198" s="127"/>
      <c r="B198" s="22"/>
      <c r="C198" s="127"/>
      <c r="D198" s="22"/>
      <c r="E198" s="22"/>
      <c r="F198" s="22"/>
      <c r="G198" s="22"/>
      <c r="H198" s="22"/>
      <c r="I198" s="22"/>
      <c r="J198" s="22"/>
      <c r="K198" s="127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</row>
    <row r="199">
      <c r="A199" s="127"/>
      <c r="B199" s="22"/>
      <c r="C199" s="127"/>
      <c r="D199" s="22"/>
      <c r="E199" s="22"/>
      <c r="F199" s="22"/>
      <c r="G199" s="22"/>
      <c r="H199" s="22"/>
      <c r="I199" s="22"/>
      <c r="J199" s="22"/>
      <c r="K199" s="127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</row>
    <row r="200">
      <c r="A200" s="127"/>
      <c r="B200" s="22"/>
      <c r="C200" s="127"/>
      <c r="D200" s="22"/>
      <c r="E200" s="22"/>
      <c r="F200" s="22"/>
      <c r="G200" s="22"/>
      <c r="H200" s="22"/>
      <c r="I200" s="22"/>
      <c r="J200" s="22"/>
      <c r="K200" s="127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</row>
    <row r="201">
      <c r="A201" s="127"/>
      <c r="B201" s="22"/>
      <c r="C201" s="127"/>
      <c r="D201" s="22"/>
      <c r="E201" s="22"/>
      <c r="F201" s="22"/>
      <c r="G201" s="22"/>
      <c r="H201" s="22"/>
      <c r="I201" s="22"/>
      <c r="J201" s="22"/>
      <c r="K201" s="127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</row>
    <row r="202">
      <c r="A202" s="127"/>
      <c r="B202" s="22"/>
      <c r="C202" s="127"/>
      <c r="D202" s="22"/>
      <c r="E202" s="22"/>
      <c r="F202" s="22"/>
      <c r="G202" s="22"/>
      <c r="H202" s="22"/>
      <c r="I202" s="22"/>
      <c r="J202" s="22"/>
      <c r="K202" s="127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</row>
    <row r="203">
      <c r="A203" s="127"/>
      <c r="B203" s="22"/>
      <c r="C203" s="127"/>
      <c r="D203" s="22"/>
      <c r="E203" s="22"/>
      <c r="F203" s="22"/>
      <c r="G203" s="22"/>
      <c r="H203" s="22"/>
      <c r="I203" s="22"/>
      <c r="J203" s="22"/>
      <c r="K203" s="127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</row>
    <row r="204">
      <c r="A204" s="127"/>
      <c r="B204" s="22"/>
      <c r="C204" s="127"/>
      <c r="D204" s="22"/>
      <c r="E204" s="22"/>
      <c r="F204" s="22"/>
      <c r="G204" s="22"/>
      <c r="H204" s="22"/>
      <c r="I204" s="22"/>
      <c r="J204" s="22"/>
      <c r="K204" s="127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</row>
    <row r="205">
      <c r="A205" s="127"/>
      <c r="B205" s="22"/>
      <c r="C205" s="127"/>
      <c r="D205" s="22"/>
      <c r="E205" s="22"/>
      <c r="F205" s="22"/>
      <c r="G205" s="22"/>
      <c r="H205" s="22"/>
      <c r="I205" s="22"/>
      <c r="J205" s="22"/>
      <c r="K205" s="127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</row>
    <row r="206">
      <c r="A206" s="127"/>
      <c r="B206" s="22"/>
      <c r="C206" s="127"/>
      <c r="D206" s="22"/>
      <c r="E206" s="22"/>
      <c r="F206" s="22"/>
      <c r="G206" s="22"/>
      <c r="H206" s="22"/>
      <c r="I206" s="22"/>
      <c r="J206" s="22"/>
      <c r="K206" s="127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</row>
    <row r="207">
      <c r="A207" s="127"/>
      <c r="B207" s="22"/>
      <c r="C207" s="127"/>
      <c r="D207" s="22"/>
      <c r="E207" s="22"/>
      <c r="F207" s="22"/>
      <c r="G207" s="22"/>
      <c r="H207" s="22"/>
      <c r="I207" s="22"/>
      <c r="J207" s="22"/>
      <c r="K207" s="127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</row>
    <row r="208">
      <c r="A208" s="127"/>
      <c r="B208" s="22"/>
      <c r="C208" s="127"/>
      <c r="D208" s="22"/>
      <c r="E208" s="22"/>
      <c r="F208" s="22"/>
      <c r="G208" s="22"/>
      <c r="H208" s="22"/>
      <c r="I208" s="22"/>
      <c r="J208" s="22"/>
      <c r="K208" s="127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</row>
    <row r="209">
      <c r="A209" s="127"/>
      <c r="B209" s="22"/>
      <c r="C209" s="127"/>
      <c r="D209" s="22"/>
      <c r="E209" s="22"/>
      <c r="F209" s="22"/>
      <c r="G209" s="22"/>
      <c r="H209" s="22"/>
      <c r="I209" s="22"/>
      <c r="J209" s="22"/>
      <c r="K209" s="127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</row>
    <row r="210">
      <c r="A210" s="127"/>
      <c r="B210" s="22"/>
      <c r="C210" s="127"/>
      <c r="D210" s="22"/>
      <c r="E210" s="22"/>
      <c r="F210" s="22"/>
      <c r="G210" s="22"/>
      <c r="H210" s="22"/>
      <c r="I210" s="22"/>
      <c r="J210" s="22"/>
      <c r="K210" s="127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</row>
    <row r="211">
      <c r="A211" s="127"/>
      <c r="B211" s="22"/>
      <c r="C211" s="127"/>
      <c r="D211" s="22"/>
      <c r="E211" s="22"/>
      <c r="F211" s="22"/>
      <c r="G211" s="22"/>
      <c r="H211" s="22"/>
      <c r="I211" s="22"/>
      <c r="J211" s="22"/>
      <c r="K211" s="127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</row>
    <row r="212">
      <c r="A212" s="127"/>
      <c r="B212" s="22"/>
      <c r="C212" s="127"/>
      <c r="D212" s="22"/>
      <c r="E212" s="22"/>
      <c r="F212" s="22"/>
      <c r="G212" s="22"/>
      <c r="H212" s="22"/>
      <c r="I212" s="22"/>
      <c r="J212" s="22"/>
      <c r="K212" s="127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</row>
    <row r="213">
      <c r="A213" s="127"/>
      <c r="B213" s="22"/>
      <c r="C213" s="127"/>
      <c r="D213" s="22"/>
      <c r="E213" s="22"/>
      <c r="F213" s="22"/>
      <c r="G213" s="22"/>
      <c r="H213" s="22"/>
      <c r="I213" s="22"/>
      <c r="J213" s="22"/>
      <c r="K213" s="127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</row>
    <row r="214">
      <c r="A214" s="127"/>
      <c r="B214" s="22"/>
      <c r="C214" s="127"/>
      <c r="D214" s="22"/>
      <c r="E214" s="22"/>
      <c r="F214" s="22"/>
      <c r="G214" s="22"/>
      <c r="H214" s="22"/>
      <c r="I214" s="22"/>
      <c r="J214" s="22"/>
      <c r="K214" s="127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</row>
    <row r="215">
      <c r="A215" s="127"/>
      <c r="B215" s="22"/>
      <c r="C215" s="127"/>
      <c r="D215" s="22"/>
      <c r="E215" s="22"/>
      <c r="F215" s="22"/>
      <c r="G215" s="22"/>
      <c r="H215" s="22"/>
      <c r="I215" s="22"/>
      <c r="J215" s="22"/>
      <c r="K215" s="127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</row>
    <row r="216">
      <c r="A216" s="127"/>
      <c r="B216" s="22"/>
      <c r="C216" s="127"/>
      <c r="D216" s="22"/>
      <c r="E216" s="22"/>
      <c r="F216" s="22"/>
      <c r="G216" s="22"/>
      <c r="H216" s="22"/>
      <c r="I216" s="22"/>
      <c r="J216" s="22"/>
      <c r="K216" s="127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</row>
    <row r="217">
      <c r="A217" s="127"/>
      <c r="B217" s="22"/>
      <c r="C217" s="127"/>
      <c r="D217" s="22"/>
      <c r="E217" s="22"/>
      <c r="F217" s="22"/>
      <c r="G217" s="22"/>
      <c r="H217" s="22"/>
      <c r="I217" s="22"/>
      <c r="J217" s="22"/>
      <c r="K217" s="127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</row>
    <row r="218">
      <c r="A218" s="127"/>
      <c r="B218" s="22"/>
      <c r="C218" s="127"/>
      <c r="D218" s="22"/>
      <c r="E218" s="22"/>
      <c r="F218" s="22"/>
      <c r="G218" s="22"/>
      <c r="H218" s="22"/>
      <c r="I218" s="22"/>
      <c r="J218" s="22"/>
      <c r="K218" s="127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</row>
    <row r="219">
      <c r="A219" s="127"/>
      <c r="B219" s="22"/>
      <c r="C219" s="127"/>
      <c r="D219" s="22"/>
      <c r="E219" s="22"/>
      <c r="F219" s="22"/>
      <c r="G219" s="22"/>
      <c r="H219" s="22"/>
      <c r="I219" s="22"/>
      <c r="J219" s="22"/>
      <c r="K219" s="127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</row>
    <row r="220">
      <c r="A220" s="127"/>
      <c r="B220" s="22"/>
      <c r="C220" s="127"/>
      <c r="D220" s="22"/>
      <c r="E220" s="22"/>
      <c r="F220" s="22"/>
      <c r="G220" s="22"/>
      <c r="H220" s="22"/>
      <c r="I220" s="22"/>
      <c r="J220" s="22"/>
      <c r="K220" s="127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</row>
    <row r="221">
      <c r="A221" s="127"/>
      <c r="B221" s="22"/>
      <c r="C221" s="127"/>
      <c r="D221" s="22"/>
      <c r="E221" s="22"/>
      <c r="F221" s="22"/>
      <c r="G221" s="22"/>
      <c r="H221" s="22"/>
      <c r="I221" s="22"/>
      <c r="J221" s="22"/>
      <c r="K221" s="127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</row>
    <row r="222">
      <c r="A222" s="127"/>
      <c r="B222" s="22"/>
      <c r="C222" s="127"/>
      <c r="D222" s="22"/>
      <c r="E222" s="22"/>
      <c r="F222" s="22"/>
      <c r="G222" s="22"/>
      <c r="H222" s="22"/>
      <c r="I222" s="22"/>
      <c r="J222" s="22"/>
      <c r="K222" s="127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</row>
    <row r="223">
      <c r="A223" s="127"/>
      <c r="B223" s="22"/>
      <c r="C223" s="127"/>
      <c r="D223" s="22"/>
      <c r="E223" s="22"/>
      <c r="F223" s="22"/>
      <c r="G223" s="22"/>
      <c r="H223" s="22"/>
      <c r="I223" s="22"/>
      <c r="J223" s="22"/>
      <c r="K223" s="127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</row>
    <row r="224">
      <c r="A224" s="127"/>
      <c r="B224" s="22"/>
      <c r="C224" s="127"/>
      <c r="D224" s="22"/>
      <c r="E224" s="22"/>
      <c r="F224" s="22"/>
      <c r="G224" s="22"/>
      <c r="H224" s="22"/>
      <c r="I224" s="22"/>
      <c r="J224" s="22"/>
      <c r="K224" s="127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</row>
    <row r="225">
      <c r="A225" s="127"/>
      <c r="B225" s="22"/>
      <c r="C225" s="127"/>
      <c r="D225" s="22"/>
      <c r="E225" s="22"/>
      <c r="F225" s="22"/>
      <c r="G225" s="22"/>
      <c r="H225" s="22"/>
      <c r="I225" s="22"/>
      <c r="J225" s="22"/>
      <c r="K225" s="127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</row>
    <row r="226">
      <c r="A226" s="127"/>
      <c r="B226" s="22"/>
      <c r="C226" s="127"/>
      <c r="D226" s="22"/>
      <c r="E226" s="22"/>
      <c r="F226" s="22"/>
      <c r="G226" s="22"/>
      <c r="H226" s="22"/>
      <c r="I226" s="22"/>
      <c r="J226" s="22"/>
      <c r="K226" s="127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</row>
    <row r="227">
      <c r="A227" s="127"/>
      <c r="B227" s="22"/>
      <c r="C227" s="127"/>
      <c r="D227" s="22"/>
      <c r="E227" s="22"/>
      <c r="F227" s="22"/>
      <c r="G227" s="22"/>
      <c r="H227" s="22"/>
      <c r="I227" s="22"/>
      <c r="J227" s="22"/>
      <c r="K227" s="127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</row>
    <row r="228">
      <c r="A228" s="127"/>
      <c r="B228" s="22"/>
      <c r="C228" s="127"/>
      <c r="D228" s="22"/>
      <c r="E228" s="22"/>
      <c r="F228" s="22"/>
      <c r="G228" s="22"/>
      <c r="H228" s="22"/>
      <c r="I228" s="22"/>
      <c r="J228" s="22"/>
      <c r="K228" s="127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</row>
    <row r="229">
      <c r="A229" s="127"/>
      <c r="B229" s="22"/>
      <c r="C229" s="127"/>
      <c r="D229" s="22"/>
      <c r="E229" s="22"/>
      <c r="F229" s="22"/>
      <c r="G229" s="22"/>
      <c r="H229" s="22"/>
      <c r="I229" s="22"/>
      <c r="J229" s="22"/>
      <c r="K229" s="127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</row>
    <row r="230">
      <c r="A230" s="127"/>
      <c r="B230" s="22"/>
      <c r="C230" s="127"/>
      <c r="D230" s="22"/>
      <c r="E230" s="22"/>
      <c r="F230" s="22"/>
      <c r="G230" s="22"/>
      <c r="H230" s="22"/>
      <c r="I230" s="22"/>
      <c r="J230" s="22"/>
      <c r="K230" s="127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</row>
    <row r="231">
      <c r="A231" s="127"/>
      <c r="B231" s="22"/>
      <c r="C231" s="127"/>
      <c r="D231" s="22"/>
      <c r="E231" s="22"/>
      <c r="F231" s="22"/>
      <c r="G231" s="22"/>
      <c r="H231" s="22"/>
      <c r="I231" s="22"/>
      <c r="J231" s="22"/>
      <c r="K231" s="127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</row>
    <row r="232">
      <c r="A232" s="127"/>
      <c r="B232" s="22"/>
      <c r="C232" s="127"/>
      <c r="D232" s="22"/>
      <c r="E232" s="22"/>
      <c r="F232" s="22"/>
      <c r="G232" s="22"/>
      <c r="H232" s="22"/>
      <c r="I232" s="22"/>
      <c r="J232" s="22"/>
      <c r="K232" s="127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</row>
    <row r="233">
      <c r="A233" s="127"/>
      <c r="B233" s="22"/>
      <c r="C233" s="127"/>
      <c r="D233" s="22"/>
      <c r="E233" s="22"/>
      <c r="F233" s="22"/>
      <c r="G233" s="22"/>
      <c r="H233" s="22"/>
      <c r="I233" s="22"/>
      <c r="J233" s="22"/>
      <c r="K233" s="127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</row>
    <row r="234">
      <c r="A234" s="127"/>
      <c r="B234" s="22"/>
      <c r="C234" s="127"/>
      <c r="D234" s="22"/>
      <c r="E234" s="22"/>
      <c r="F234" s="22"/>
      <c r="G234" s="22"/>
      <c r="H234" s="22"/>
      <c r="I234" s="22"/>
      <c r="J234" s="22"/>
      <c r="K234" s="127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</row>
    <row r="235">
      <c r="A235" s="127"/>
      <c r="B235" s="22"/>
      <c r="C235" s="127"/>
      <c r="D235" s="22"/>
      <c r="E235" s="22"/>
      <c r="F235" s="22"/>
      <c r="G235" s="22"/>
      <c r="H235" s="22"/>
      <c r="I235" s="22"/>
      <c r="J235" s="22"/>
      <c r="K235" s="127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</row>
    <row r="236">
      <c r="A236" s="127"/>
      <c r="B236" s="22"/>
      <c r="C236" s="127"/>
      <c r="D236" s="22"/>
      <c r="E236" s="22"/>
      <c r="F236" s="22"/>
      <c r="G236" s="22"/>
      <c r="H236" s="22"/>
      <c r="I236" s="22"/>
      <c r="J236" s="22"/>
      <c r="K236" s="127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</row>
    <row r="237">
      <c r="A237" s="127"/>
      <c r="B237" s="22"/>
      <c r="C237" s="127"/>
      <c r="D237" s="22"/>
      <c r="E237" s="22"/>
      <c r="F237" s="22"/>
      <c r="G237" s="22"/>
      <c r="H237" s="22"/>
      <c r="I237" s="22"/>
      <c r="J237" s="22"/>
      <c r="K237" s="127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</row>
    <row r="238">
      <c r="A238" s="127"/>
      <c r="B238" s="22"/>
      <c r="C238" s="127"/>
      <c r="D238" s="22"/>
      <c r="E238" s="22"/>
      <c r="F238" s="22"/>
      <c r="G238" s="22"/>
      <c r="H238" s="22"/>
      <c r="I238" s="22"/>
      <c r="J238" s="22"/>
      <c r="K238" s="127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</row>
    <row r="239">
      <c r="A239" s="127"/>
      <c r="B239" s="22"/>
      <c r="C239" s="127"/>
      <c r="D239" s="22"/>
      <c r="E239" s="22"/>
      <c r="F239" s="22"/>
      <c r="G239" s="22"/>
      <c r="H239" s="22"/>
      <c r="I239" s="22"/>
      <c r="J239" s="22"/>
      <c r="K239" s="127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</row>
    <row r="240">
      <c r="A240" s="127"/>
      <c r="B240" s="22"/>
      <c r="C240" s="127"/>
      <c r="D240" s="22"/>
      <c r="E240" s="22"/>
      <c r="F240" s="22"/>
      <c r="G240" s="22"/>
      <c r="H240" s="22"/>
      <c r="I240" s="22"/>
      <c r="J240" s="22"/>
      <c r="K240" s="127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</row>
    <row r="241">
      <c r="A241" s="127"/>
      <c r="B241" s="22"/>
      <c r="C241" s="127"/>
      <c r="D241" s="22"/>
      <c r="E241" s="22"/>
      <c r="F241" s="22"/>
      <c r="G241" s="22"/>
      <c r="H241" s="22"/>
      <c r="I241" s="22"/>
      <c r="J241" s="22"/>
      <c r="K241" s="127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</row>
    <row r="242">
      <c r="A242" s="127"/>
      <c r="B242" s="22"/>
      <c r="C242" s="127"/>
      <c r="D242" s="22"/>
      <c r="E242" s="22"/>
      <c r="F242" s="22"/>
      <c r="G242" s="22"/>
      <c r="H242" s="22"/>
      <c r="I242" s="22"/>
      <c r="J242" s="22"/>
      <c r="K242" s="127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</row>
    <row r="243">
      <c r="A243" s="127"/>
      <c r="B243" s="22"/>
      <c r="C243" s="127"/>
      <c r="D243" s="22"/>
      <c r="E243" s="22"/>
      <c r="F243" s="22"/>
      <c r="G243" s="22"/>
      <c r="H243" s="22"/>
      <c r="I243" s="22"/>
      <c r="J243" s="22"/>
      <c r="K243" s="127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</row>
    <row r="244">
      <c r="A244" s="127"/>
      <c r="B244" s="22"/>
      <c r="C244" s="127"/>
      <c r="D244" s="22"/>
      <c r="E244" s="22"/>
      <c r="F244" s="22"/>
      <c r="G244" s="22"/>
      <c r="H244" s="22"/>
      <c r="I244" s="22"/>
      <c r="J244" s="22"/>
      <c r="K244" s="127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</row>
    <row r="245">
      <c r="A245" s="127"/>
      <c r="B245" s="22"/>
      <c r="C245" s="127"/>
      <c r="D245" s="22"/>
      <c r="E245" s="22"/>
      <c r="F245" s="22"/>
      <c r="G245" s="22"/>
      <c r="H245" s="22"/>
      <c r="I245" s="22"/>
      <c r="J245" s="22"/>
      <c r="K245" s="127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</row>
    <row r="246">
      <c r="A246" s="127"/>
      <c r="B246" s="22"/>
      <c r="C246" s="127"/>
      <c r="D246" s="22"/>
      <c r="E246" s="22"/>
      <c r="F246" s="22"/>
      <c r="G246" s="22"/>
      <c r="H246" s="22"/>
      <c r="I246" s="22"/>
      <c r="J246" s="22"/>
      <c r="K246" s="127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</row>
    <row r="247">
      <c r="A247" s="127"/>
      <c r="B247" s="22"/>
      <c r="C247" s="127"/>
      <c r="D247" s="22"/>
      <c r="E247" s="22"/>
      <c r="F247" s="22"/>
      <c r="G247" s="22"/>
      <c r="H247" s="22"/>
      <c r="I247" s="22"/>
      <c r="J247" s="22"/>
      <c r="K247" s="127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</row>
    <row r="248">
      <c r="A248" s="127"/>
      <c r="B248" s="22"/>
      <c r="C248" s="127"/>
      <c r="D248" s="22"/>
      <c r="E248" s="22"/>
      <c r="F248" s="22"/>
      <c r="G248" s="22"/>
      <c r="H248" s="22"/>
      <c r="I248" s="22"/>
      <c r="J248" s="22"/>
      <c r="K248" s="127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</row>
    <row r="249">
      <c r="A249" s="127"/>
      <c r="B249" s="22"/>
      <c r="C249" s="127"/>
      <c r="D249" s="22"/>
      <c r="E249" s="22"/>
      <c r="F249" s="22"/>
      <c r="G249" s="22"/>
      <c r="H249" s="22"/>
      <c r="I249" s="22"/>
      <c r="J249" s="22"/>
      <c r="K249" s="127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</row>
    <row r="250">
      <c r="A250" s="127"/>
      <c r="B250" s="22"/>
      <c r="C250" s="127"/>
      <c r="D250" s="22"/>
      <c r="E250" s="22"/>
      <c r="F250" s="22"/>
      <c r="G250" s="22"/>
      <c r="H250" s="22"/>
      <c r="I250" s="22"/>
      <c r="J250" s="22"/>
      <c r="K250" s="127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</row>
    <row r="251">
      <c r="A251" s="127"/>
      <c r="B251" s="22"/>
      <c r="C251" s="127"/>
      <c r="D251" s="22"/>
      <c r="E251" s="22"/>
      <c r="F251" s="22"/>
      <c r="G251" s="22"/>
      <c r="H251" s="22"/>
      <c r="I251" s="22"/>
      <c r="J251" s="22"/>
      <c r="K251" s="127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</row>
    <row r="252">
      <c r="A252" s="127"/>
      <c r="B252" s="22"/>
      <c r="C252" s="127"/>
      <c r="D252" s="22"/>
      <c r="E252" s="22"/>
      <c r="F252" s="22"/>
      <c r="G252" s="22"/>
      <c r="H252" s="22"/>
      <c r="I252" s="22"/>
      <c r="J252" s="22"/>
      <c r="K252" s="127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</row>
    <row r="253">
      <c r="A253" s="127"/>
      <c r="B253" s="22"/>
      <c r="C253" s="127"/>
      <c r="D253" s="22"/>
      <c r="E253" s="22"/>
      <c r="F253" s="22"/>
      <c r="G253" s="22"/>
      <c r="H253" s="22"/>
      <c r="I253" s="22"/>
      <c r="J253" s="22"/>
      <c r="K253" s="127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</row>
    <row r="254">
      <c r="A254" s="127"/>
      <c r="B254" s="22"/>
      <c r="C254" s="127"/>
      <c r="D254" s="22"/>
      <c r="E254" s="22"/>
      <c r="F254" s="22"/>
      <c r="G254" s="22"/>
      <c r="H254" s="22"/>
      <c r="I254" s="22"/>
      <c r="J254" s="22"/>
      <c r="K254" s="127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</row>
    <row r="255">
      <c r="A255" s="127"/>
      <c r="B255" s="22"/>
      <c r="C255" s="127"/>
      <c r="D255" s="22"/>
      <c r="E255" s="22"/>
      <c r="F255" s="22"/>
      <c r="G255" s="22"/>
      <c r="H255" s="22"/>
      <c r="I255" s="22"/>
      <c r="J255" s="22"/>
      <c r="K255" s="127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</row>
    <row r="256">
      <c r="A256" s="127"/>
      <c r="B256" s="22"/>
      <c r="C256" s="127"/>
      <c r="D256" s="22"/>
      <c r="E256" s="22"/>
      <c r="F256" s="22"/>
      <c r="G256" s="22"/>
      <c r="H256" s="22"/>
      <c r="I256" s="22"/>
      <c r="J256" s="22"/>
      <c r="K256" s="127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</row>
    <row r="257">
      <c r="A257" s="127"/>
      <c r="B257" s="22"/>
      <c r="C257" s="127"/>
      <c r="D257" s="22"/>
      <c r="E257" s="22"/>
      <c r="F257" s="22"/>
      <c r="G257" s="22"/>
      <c r="H257" s="22"/>
      <c r="I257" s="22"/>
      <c r="J257" s="22"/>
      <c r="K257" s="127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</row>
    <row r="258">
      <c r="A258" s="127"/>
      <c r="B258" s="22"/>
      <c r="C258" s="127"/>
      <c r="D258" s="22"/>
      <c r="E258" s="22"/>
      <c r="F258" s="22"/>
      <c r="G258" s="22"/>
      <c r="H258" s="22"/>
      <c r="I258" s="22"/>
      <c r="J258" s="22"/>
      <c r="K258" s="127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</row>
    <row r="259">
      <c r="A259" s="127"/>
      <c r="B259" s="22"/>
      <c r="C259" s="127"/>
      <c r="D259" s="22"/>
      <c r="E259" s="22"/>
      <c r="F259" s="22"/>
      <c r="G259" s="22"/>
      <c r="H259" s="22"/>
      <c r="I259" s="22"/>
      <c r="J259" s="22"/>
      <c r="K259" s="127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</row>
    <row r="260">
      <c r="A260" s="127"/>
      <c r="B260" s="22"/>
      <c r="C260" s="127"/>
      <c r="D260" s="22"/>
      <c r="E260" s="22"/>
      <c r="F260" s="22"/>
      <c r="G260" s="22"/>
      <c r="H260" s="22"/>
      <c r="I260" s="22"/>
      <c r="J260" s="22"/>
      <c r="K260" s="127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</row>
    <row r="261">
      <c r="A261" s="127"/>
      <c r="B261" s="22"/>
      <c r="C261" s="127"/>
      <c r="D261" s="22"/>
      <c r="E261" s="22"/>
      <c r="F261" s="22"/>
      <c r="G261" s="22"/>
      <c r="H261" s="22"/>
      <c r="I261" s="22"/>
      <c r="J261" s="22"/>
      <c r="K261" s="127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</row>
    <row r="262">
      <c r="A262" s="127"/>
      <c r="B262" s="22"/>
      <c r="C262" s="127"/>
      <c r="D262" s="22"/>
      <c r="E262" s="22"/>
      <c r="F262" s="22"/>
      <c r="G262" s="22"/>
      <c r="H262" s="22"/>
      <c r="I262" s="22"/>
      <c r="J262" s="22"/>
      <c r="K262" s="127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</row>
    <row r="263">
      <c r="A263" s="127"/>
      <c r="B263" s="22"/>
      <c r="C263" s="127"/>
      <c r="D263" s="22"/>
      <c r="E263" s="22"/>
      <c r="F263" s="22"/>
      <c r="G263" s="22"/>
      <c r="H263" s="22"/>
      <c r="I263" s="22"/>
      <c r="J263" s="22"/>
      <c r="K263" s="127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</row>
    <row r="264">
      <c r="A264" s="127"/>
      <c r="B264" s="22"/>
      <c r="C264" s="127"/>
      <c r="D264" s="22"/>
      <c r="E264" s="22"/>
      <c r="F264" s="22"/>
      <c r="G264" s="22"/>
      <c r="H264" s="22"/>
      <c r="I264" s="22"/>
      <c r="J264" s="22"/>
      <c r="K264" s="127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</row>
    <row r="265">
      <c r="A265" s="127"/>
      <c r="B265" s="22"/>
      <c r="C265" s="127"/>
      <c r="D265" s="22"/>
      <c r="E265" s="22"/>
      <c r="F265" s="22"/>
      <c r="G265" s="22"/>
      <c r="H265" s="22"/>
      <c r="I265" s="22"/>
      <c r="J265" s="22"/>
      <c r="K265" s="127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</row>
    <row r="266">
      <c r="A266" s="127"/>
      <c r="B266" s="22"/>
      <c r="C266" s="127"/>
      <c r="D266" s="22"/>
      <c r="E266" s="22"/>
      <c r="F266" s="22"/>
      <c r="G266" s="22"/>
      <c r="H266" s="22"/>
      <c r="I266" s="22"/>
      <c r="J266" s="22"/>
      <c r="K266" s="127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</row>
    <row r="267">
      <c r="A267" s="127"/>
      <c r="B267" s="22"/>
      <c r="C267" s="127"/>
      <c r="D267" s="22"/>
      <c r="E267" s="22"/>
      <c r="F267" s="22"/>
      <c r="G267" s="22"/>
      <c r="H267" s="22"/>
      <c r="I267" s="22"/>
      <c r="J267" s="22"/>
      <c r="K267" s="127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</row>
    <row r="268">
      <c r="A268" s="127"/>
      <c r="B268" s="22"/>
      <c r="C268" s="127"/>
      <c r="D268" s="22"/>
      <c r="E268" s="22"/>
      <c r="F268" s="22"/>
      <c r="G268" s="22"/>
      <c r="H268" s="22"/>
      <c r="I268" s="22"/>
      <c r="J268" s="22"/>
      <c r="K268" s="127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</row>
    <row r="269">
      <c r="A269" s="127"/>
      <c r="B269" s="22"/>
      <c r="C269" s="127"/>
      <c r="D269" s="22"/>
      <c r="E269" s="22"/>
      <c r="F269" s="22"/>
      <c r="G269" s="22"/>
      <c r="H269" s="22"/>
      <c r="I269" s="22"/>
      <c r="J269" s="22"/>
      <c r="K269" s="127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</row>
    <row r="270">
      <c r="A270" s="127"/>
      <c r="B270" s="22"/>
      <c r="C270" s="127"/>
      <c r="D270" s="22"/>
      <c r="E270" s="22"/>
      <c r="F270" s="22"/>
      <c r="G270" s="22"/>
      <c r="H270" s="22"/>
      <c r="I270" s="22"/>
      <c r="J270" s="22"/>
      <c r="K270" s="127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</row>
    <row r="271">
      <c r="A271" s="127"/>
      <c r="B271" s="22"/>
      <c r="C271" s="127"/>
      <c r="D271" s="22"/>
      <c r="E271" s="22"/>
      <c r="F271" s="22"/>
      <c r="G271" s="22"/>
      <c r="H271" s="22"/>
      <c r="I271" s="22"/>
      <c r="J271" s="22"/>
      <c r="K271" s="127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</row>
    <row r="272">
      <c r="A272" s="127"/>
      <c r="B272" s="22"/>
      <c r="C272" s="127"/>
      <c r="D272" s="22"/>
      <c r="E272" s="22"/>
      <c r="F272" s="22"/>
      <c r="G272" s="22"/>
      <c r="H272" s="22"/>
      <c r="I272" s="22"/>
      <c r="J272" s="22"/>
      <c r="K272" s="127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</row>
    <row r="273">
      <c r="A273" s="127"/>
      <c r="B273" s="22"/>
      <c r="C273" s="127"/>
      <c r="D273" s="22"/>
      <c r="E273" s="22"/>
      <c r="F273" s="22"/>
      <c r="G273" s="22"/>
      <c r="H273" s="22"/>
      <c r="I273" s="22"/>
      <c r="J273" s="22"/>
      <c r="K273" s="127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</row>
    <row r="274">
      <c r="A274" s="127"/>
      <c r="B274" s="22"/>
      <c r="C274" s="127"/>
      <c r="D274" s="22"/>
      <c r="E274" s="22"/>
      <c r="F274" s="22"/>
      <c r="G274" s="22"/>
      <c r="H274" s="22"/>
      <c r="I274" s="22"/>
      <c r="J274" s="22"/>
      <c r="K274" s="127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</row>
    <row r="275">
      <c r="A275" s="127"/>
      <c r="B275" s="22"/>
      <c r="C275" s="127"/>
      <c r="D275" s="22"/>
      <c r="E275" s="22"/>
      <c r="F275" s="22"/>
      <c r="G275" s="22"/>
      <c r="H275" s="22"/>
      <c r="I275" s="22"/>
      <c r="J275" s="22"/>
      <c r="K275" s="127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</row>
    <row r="276">
      <c r="A276" s="127"/>
      <c r="B276" s="22"/>
      <c r="C276" s="127"/>
      <c r="D276" s="22"/>
      <c r="E276" s="22"/>
      <c r="F276" s="22"/>
      <c r="G276" s="22"/>
      <c r="H276" s="22"/>
      <c r="I276" s="22"/>
      <c r="J276" s="22"/>
      <c r="K276" s="127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</row>
    <row r="277">
      <c r="A277" s="127"/>
      <c r="B277" s="22"/>
      <c r="C277" s="127"/>
      <c r="D277" s="22"/>
      <c r="E277" s="22"/>
      <c r="F277" s="22"/>
      <c r="G277" s="22"/>
      <c r="H277" s="22"/>
      <c r="I277" s="22"/>
      <c r="J277" s="22"/>
      <c r="K277" s="127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</row>
    <row r="278">
      <c r="A278" s="127"/>
      <c r="B278" s="22"/>
      <c r="C278" s="127"/>
      <c r="D278" s="22"/>
      <c r="E278" s="22"/>
      <c r="F278" s="22"/>
      <c r="G278" s="22"/>
      <c r="H278" s="22"/>
      <c r="I278" s="22"/>
      <c r="J278" s="22"/>
      <c r="K278" s="127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</row>
    <row r="279">
      <c r="A279" s="127"/>
      <c r="B279" s="22"/>
      <c r="C279" s="127"/>
      <c r="D279" s="22"/>
      <c r="E279" s="22"/>
      <c r="F279" s="22"/>
      <c r="G279" s="22"/>
      <c r="H279" s="22"/>
      <c r="I279" s="22"/>
      <c r="J279" s="22"/>
      <c r="K279" s="127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</row>
    <row r="280">
      <c r="A280" s="127"/>
      <c r="B280" s="22"/>
      <c r="C280" s="127"/>
      <c r="D280" s="22"/>
      <c r="E280" s="22"/>
      <c r="F280" s="22"/>
      <c r="G280" s="22"/>
      <c r="H280" s="22"/>
      <c r="I280" s="22"/>
      <c r="J280" s="22"/>
      <c r="K280" s="127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</row>
    <row r="281">
      <c r="A281" s="127"/>
      <c r="B281" s="22"/>
      <c r="C281" s="127"/>
      <c r="D281" s="22"/>
      <c r="E281" s="22"/>
      <c r="F281" s="22"/>
      <c r="G281" s="22"/>
      <c r="H281" s="22"/>
      <c r="I281" s="22"/>
      <c r="J281" s="22"/>
      <c r="K281" s="127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</row>
    <row r="282">
      <c r="A282" s="127"/>
      <c r="B282" s="22"/>
      <c r="C282" s="127"/>
      <c r="D282" s="22"/>
      <c r="E282" s="22"/>
      <c r="F282" s="22"/>
      <c r="G282" s="22"/>
      <c r="H282" s="22"/>
      <c r="I282" s="22"/>
      <c r="J282" s="22"/>
      <c r="K282" s="127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</row>
    <row r="283">
      <c r="A283" s="127"/>
      <c r="B283" s="22"/>
      <c r="C283" s="127"/>
      <c r="D283" s="22"/>
      <c r="E283" s="22"/>
      <c r="F283" s="22"/>
      <c r="G283" s="22"/>
      <c r="H283" s="22"/>
      <c r="I283" s="22"/>
      <c r="J283" s="22"/>
      <c r="K283" s="127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</row>
    <row r="284">
      <c r="A284" s="127"/>
      <c r="B284" s="22"/>
      <c r="C284" s="127"/>
      <c r="D284" s="22"/>
      <c r="E284" s="22"/>
      <c r="F284" s="22"/>
      <c r="G284" s="22"/>
      <c r="H284" s="22"/>
      <c r="I284" s="22"/>
      <c r="J284" s="22"/>
      <c r="K284" s="127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</row>
    <row r="285">
      <c r="A285" s="127"/>
      <c r="B285" s="22"/>
      <c r="C285" s="127"/>
      <c r="D285" s="22"/>
      <c r="E285" s="22"/>
      <c r="F285" s="22"/>
      <c r="G285" s="22"/>
      <c r="H285" s="22"/>
      <c r="I285" s="22"/>
      <c r="J285" s="22"/>
      <c r="K285" s="127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</row>
    <row r="286">
      <c r="A286" s="127"/>
      <c r="B286" s="22"/>
      <c r="C286" s="127"/>
      <c r="D286" s="22"/>
      <c r="E286" s="22"/>
      <c r="F286" s="22"/>
      <c r="G286" s="22"/>
      <c r="H286" s="22"/>
      <c r="I286" s="22"/>
      <c r="J286" s="22"/>
      <c r="K286" s="127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</row>
    <row r="287">
      <c r="A287" s="127"/>
      <c r="B287" s="22"/>
      <c r="C287" s="127"/>
      <c r="D287" s="22"/>
      <c r="E287" s="22"/>
      <c r="F287" s="22"/>
      <c r="G287" s="22"/>
      <c r="H287" s="22"/>
      <c r="I287" s="22"/>
      <c r="J287" s="22"/>
      <c r="K287" s="127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</row>
    <row r="288">
      <c r="A288" s="127"/>
      <c r="B288" s="22"/>
      <c r="C288" s="127"/>
      <c r="D288" s="22"/>
      <c r="E288" s="22"/>
      <c r="F288" s="22"/>
      <c r="G288" s="22"/>
      <c r="H288" s="22"/>
      <c r="I288" s="22"/>
      <c r="J288" s="22"/>
      <c r="K288" s="127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</row>
    <row r="289">
      <c r="A289" s="127"/>
      <c r="B289" s="22"/>
      <c r="C289" s="127"/>
      <c r="D289" s="22"/>
      <c r="E289" s="22"/>
      <c r="F289" s="22"/>
      <c r="G289" s="22"/>
      <c r="H289" s="22"/>
      <c r="I289" s="22"/>
      <c r="J289" s="22"/>
      <c r="K289" s="127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</row>
    <row r="290">
      <c r="A290" s="127"/>
      <c r="B290" s="22"/>
      <c r="C290" s="127"/>
      <c r="D290" s="22"/>
      <c r="E290" s="22"/>
      <c r="F290" s="22"/>
      <c r="G290" s="22"/>
      <c r="H290" s="22"/>
      <c r="I290" s="22"/>
      <c r="J290" s="22"/>
      <c r="K290" s="127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</row>
    <row r="291">
      <c r="A291" s="127"/>
      <c r="B291" s="22"/>
      <c r="C291" s="127"/>
      <c r="D291" s="22"/>
      <c r="E291" s="22"/>
      <c r="F291" s="22"/>
      <c r="G291" s="22"/>
      <c r="H291" s="22"/>
      <c r="I291" s="22"/>
      <c r="J291" s="22"/>
      <c r="K291" s="127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</row>
    <row r="292">
      <c r="A292" s="127"/>
      <c r="B292" s="22"/>
      <c r="C292" s="127"/>
      <c r="D292" s="22"/>
      <c r="E292" s="22"/>
      <c r="F292" s="22"/>
      <c r="G292" s="22"/>
      <c r="H292" s="22"/>
      <c r="I292" s="22"/>
      <c r="J292" s="22"/>
      <c r="K292" s="127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</row>
    <row r="293">
      <c r="A293" s="127"/>
      <c r="B293" s="22"/>
      <c r="C293" s="127"/>
      <c r="D293" s="22"/>
      <c r="E293" s="22"/>
      <c r="F293" s="22"/>
      <c r="G293" s="22"/>
      <c r="H293" s="22"/>
      <c r="I293" s="22"/>
      <c r="J293" s="22"/>
      <c r="K293" s="127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</row>
    <row r="294">
      <c r="A294" s="127"/>
      <c r="B294" s="22"/>
      <c r="C294" s="127"/>
      <c r="D294" s="22"/>
      <c r="E294" s="22"/>
      <c r="F294" s="22"/>
      <c r="G294" s="22"/>
      <c r="H294" s="22"/>
      <c r="I294" s="22"/>
      <c r="J294" s="22"/>
      <c r="K294" s="127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</row>
    <row r="295">
      <c r="A295" s="127"/>
      <c r="B295" s="22"/>
      <c r="C295" s="127"/>
      <c r="D295" s="22"/>
      <c r="E295" s="22"/>
      <c r="F295" s="22"/>
      <c r="G295" s="22"/>
      <c r="H295" s="22"/>
      <c r="I295" s="22"/>
      <c r="J295" s="22"/>
      <c r="K295" s="127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</row>
    <row r="296">
      <c r="A296" s="127"/>
      <c r="B296" s="22"/>
      <c r="C296" s="127"/>
      <c r="D296" s="22"/>
      <c r="E296" s="22"/>
      <c r="F296" s="22"/>
      <c r="G296" s="22"/>
      <c r="H296" s="22"/>
      <c r="I296" s="22"/>
      <c r="J296" s="22"/>
      <c r="K296" s="127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</row>
    <row r="297">
      <c r="A297" s="127"/>
      <c r="B297" s="22"/>
      <c r="C297" s="127"/>
      <c r="D297" s="22"/>
      <c r="E297" s="22"/>
      <c r="F297" s="22"/>
      <c r="G297" s="22"/>
      <c r="H297" s="22"/>
      <c r="I297" s="22"/>
      <c r="J297" s="22"/>
      <c r="K297" s="127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</row>
    <row r="298">
      <c r="A298" s="127"/>
      <c r="B298" s="22"/>
      <c r="C298" s="127"/>
      <c r="D298" s="22"/>
      <c r="E298" s="22"/>
      <c r="F298" s="22"/>
      <c r="G298" s="22"/>
      <c r="H298" s="22"/>
      <c r="I298" s="22"/>
      <c r="J298" s="22"/>
      <c r="K298" s="127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</row>
    <row r="299">
      <c r="A299" s="127"/>
      <c r="B299" s="22"/>
      <c r="C299" s="127"/>
      <c r="D299" s="22"/>
      <c r="E299" s="22"/>
      <c r="F299" s="22"/>
      <c r="G299" s="22"/>
      <c r="H299" s="22"/>
      <c r="I299" s="22"/>
      <c r="J299" s="22"/>
      <c r="K299" s="127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</row>
    <row r="300">
      <c r="A300" s="127"/>
      <c r="B300" s="22"/>
      <c r="C300" s="127"/>
      <c r="D300" s="22"/>
      <c r="E300" s="22"/>
      <c r="F300" s="22"/>
      <c r="G300" s="22"/>
      <c r="H300" s="22"/>
      <c r="I300" s="22"/>
      <c r="J300" s="22"/>
      <c r="K300" s="127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</row>
    <row r="301">
      <c r="A301" s="127"/>
      <c r="B301" s="22"/>
      <c r="C301" s="127"/>
      <c r="D301" s="22"/>
      <c r="E301" s="22"/>
      <c r="F301" s="22"/>
      <c r="G301" s="22"/>
      <c r="H301" s="22"/>
      <c r="I301" s="22"/>
      <c r="J301" s="22"/>
      <c r="K301" s="127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</row>
    <row r="302">
      <c r="A302" s="127"/>
      <c r="B302" s="22"/>
      <c r="C302" s="127"/>
      <c r="D302" s="22"/>
      <c r="E302" s="22"/>
      <c r="F302" s="22"/>
      <c r="G302" s="22"/>
      <c r="H302" s="22"/>
      <c r="I302" s="22"/>
      <c r="J302" s="22"/>
      <c r="K302" s="127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</row>
    <row r="303">
      <c r="A303" s="127"/>
      <c r="B303" s="22"/>
      <c r="C303" s="127"/>
      <c r="D303" s="22"/>
      <c r="E303" s="22"/>
      <c r="F303" s="22"/>
      <c r="G303" s="22"/>
      <c r="H303" s="22"/>
      <c r="I303" s="22"/>
      <c r="J303" s="22"/>
      <c r="K303" s="127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</row>
    <row r="304">
      <c r="A304" s="127"/>
      <c r="B304" s="22"/>
      <c r="C304" s="127"/>
      <c r="D304" s="22"/>
      <c r="E304" s="22"/>
      <c r="F304" s="22"/>
      <c r="G304" s="22"/>
      <c r="H304" s="22"/>
      <c r="I304" s="22"/>
      <c r="J304" s="22"/>
      <c r="K304" s="127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</row>
    <row r="305">
      <c r="A305" s="127"/>
      <c r="B305" s="22"/>
      <c r="C305" s="127"/>
      <c r="D305" s="22"/>
      <c r="E305" s="22"/>
      <c r="F305" s="22"/>
      <c r="G305" s="22"/>
      <c r="H305" s="22"/>
      <c r="I305" s="22"/>
      <c r="J305" s="22"/>
      <c r="K305" s="127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</row>
    <row r="306">
      <c r="A306" s="127"/>
      <c r="B306" s="22"/>
      <c r="C306" s="127"/>
      <c r="D306" s="22"/>
      <c r="E306" s="22"/>
      <c r="F306" s="22"/>
      <c r="G306" s="22"/>
      <c r="H306" s="22"/>
      <c r="I306" s="22"/>
      <c r="J306" s="22"/>
      <c r="K306" s="127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</row>
    <row r="307">
      <c r="A307" s="127"/>
      <c r="B307" s="22"/>
      <c r="C307" s="127"/>
      <c r="D307" s="22"/>
      <c r="E307" s="22"/>
      <c r="F307" s="22"/>
      <c r="G307" s="22"/>
      <c r="H307" s="22"/>
      <c r="I307" s="22"/>
      <c r="J307" s="22"/>
      <c r="K307" s="127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</row>
    <row r="308">
      <c r="A308" s="127"/>
      <c r="B308" s="22"/>
      <c r="C308" s="127"/>
      <c r="D308" s="22"/>
      <c r="E308" s="22"/>
      <c r="F308" s="22"/>
      <c r="G308" s="22"/>
      <c r="H308" s="22"/>
      <c r="I308" s="22"/>
      <c r="J308" s="22"/>
      <c r="K308" s="127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</row>
    <row r="309">
      <c r="A309" s="127"/>
      <c r="B309" s="22"/>
      <c r="C309" s="127"/>
      <c r="D309" s="22"/>
      <c r="E309" s="22"/>
      <c r="F309" s="22"/>
      <c r="G309" s="22"/>
      <c r="H309" s="22"/>
      <c r="I309" s="22"/>
      <c r="J309" s="22"/>
      <c r="K309" s="127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</row>
    <row r="310">
      <c r="A310" s="127"/>
      <c r="B310" s="22"/>
      <c r="C310" s="127"/>
      <c r="D310" s="22"/>
      <c r="E310" s="22"/>
      <c r="F310" s="22"/>
      <c r="G310" s="22"/>
      <c r="H310" s="22"/>
      <c r="I310" s="22"/>
      <c r="J310" s="22"/>
      <c r="K310" s="127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</row>
    <row r="311">
      <c r="A311" s="127"/>
      <c r="B311" s="22"/>
      <c r="C311" s="127"/>
      <c r="D311" s="22"/>
      <c r="E311" s="22"/>
      <c r="F311" s="22"/>
      <c r="G311" s="22"/>
      <c r="H311" s="22"/>
      <c r="I311" s="22"/>
      <c r="J311" s="22"/>
      <c r="K311" s="127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</row>
    <row r="312">
      <c r="A312" s="127"/>
      <c r="B312" s="22"/>
      <c r="C312" s="127"/>
      <c r="D312" s="22"/>
      <c r="E312" s="22"/>
      <c r="F312" s="22"/>
      <c r="G312" s="22"/>
      <c r="H312" s="22"/>
      <c r="I312" s="22"/>
      <c r="J312" s="22"/>
      <c r="K312" s="127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</row>
    <row r="313">
      <c r="A313" s="127"/>
      <c r="B313" s="22"/>
      <c r="C313" s="127"/>
      <c r="D313" s="22"/>
      <c r="E313" s="22"/>
      <c r="F313" s="22"/>
      <c r="G313" s="22"/>
      <c r="H313" s="22"/>
      <c r="I313" s="22"/>
      <c r="J313" s="22"/>
      <c r="K313" s="127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</row>
    <row r="314">
      <c r="A314" s="127"/>
      <c r="B314" s="22"/>
      <c r="C314" s="127"/>
      <c r="D314" s="22"/>
      <c r="E314" s="22"/>
      <c r="F314" s="22"/>
      <c r="G314" s="22"/>
      <c r="H314" s="22"/>
      <c r="I314" s="22"/>
      <c r="J314" s="22"/>
      <c r="K314" s="127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</row>
    <row r="315">
      <c r="A315" s="127"/>
      <c r="B315" s="22"/>
      <c r="C315" s="127"/>
      <c r="D315" s="22"/>
      <c r="E315" s="22"/>
      <c r="F315" s="22"/>
      <c r="G315" s="22"/>
      <c r="H315" s="22"/>
      <c r="I315" s="22"/>
      <c r="J315" s="22"/>
      <c r="K315" s="127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</row>
    <row r="316">
      <c r="A316" s="127"/>
      <c r="B316" s="22"/>
      <c r="C316" s="127"/>
      <c r="D316" s="22"/>
      <c r="E316" s="22"/>
      <c r="F316" s="22"/>
      <c r="G316" s="22"/>
      <c r="H316" s="22"/>
      <c r="I316" s="22"/>
      <c r="J316" s="22"/>
      <c r="K316" s="127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</row>
    <row r="317">
      <c r="A317" s="127"/>
      <c r="B317" s="22"/>
      <c r="C317" s="127"/>
      <c r="D317" s="22"/>
      <c r="E317" s="22"/>
      <c r="F317" s="22"/>
      <c r="G317" s="22"/>
      <c r="H317" s="22"/>
      <c r="I317" s="22"/>
      <c r="J317" s="22"/>
      <c r="K317" s="127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</row>
    <row r="318">
      <c r="A318" s="127"/>
      <c r="B318" s="22"/>
      <c r="C318" s="127"/>
      <c r="D318" s="22"/>
      <c r="E318" s="22"/>
      <c r="F318" s="22"/>
      <c r="G318" s="22"/>
      <c r="H318" s="22"/>
      <c r="I318" s="22"/>
      <c r="J318" s="22"/>
      <c r="K318" s="127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</row>
    <row r="319">
      <c r="A319" s="127"/>
      <c r="B319" s="22"/>
      <c r="C319" s="127"/>
      <c r="D319" s="22"/>
      <c r="E319" s="22"/>
      <c r="F319" s="22"/>
      <c r="G319" s="22"/>
      <c r="H319" s="22"/>
      <c r="I319" s="22"/>
      <c r="J319" s="22"/>
      <c r="K319" s="127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</row>
    <row r="320">
      <c r="A320" s="127"/>
      <c r="B320" s="22"/>
      <c r="C320" s="127"/>
      <c r="D320" s="22"/>
      <c r="E320" s="22"/>
      <c r="F320" s="22"/>
      <c r="G320" s="22"/>
      <c r="H320" s="22"/>
      <c r="I320" s="22"/>
      <c r="J320" s="22"/>
      <c r="K320" s="127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</row>
    <row r="321">
      <c r="A321" s="127"/>
      <c r="B321" s="22"/>
      <c r="C321" s="127"/>
      <c r="D321" s="22"/>
      <c r="E321" s="22"/>
      <c r="F321" s="22"/>
      <c r="G321" s="22"/>
      <c r="H321" s="22"/>
      <c r="I321" s="22"/>
      <c r="J321" s="22"/>
      <c r="K321" s="127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</row>
    <row r="322">
      <c r="A322" s="127"/>
      <c r="B322" s="22"/>
      <c r="C322" s="127"/>
      <c r="D322" s="22"/>
      <c r="E322" s="22"/>
      <c r="F322" s="22"/>
      <c r="G322" s="22"/>
      <c r="H322" s="22"/>
      <c r="I322" s="22"/>
      <c r="J322" s="22"/>
      <c r="K322" s="127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</row>
    <row r="323">
      <c r="A323" s="127"/>
      <c r="B323" s="22"/>
      <c r="C323" s="127"/>
      <c r="D323" s="22"/>
      <c r="E323" s="22"/>
      <c r="F323" s="22"/>
      <c r="G323" s="22"/>
      <c r="H323" s="22"/>
      <c r="I323" s="22"/>
      <c r="J323" s="22"/>
      <c r="K323" s="127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</row>
    <row r="324">
      <c r="A324" s="127"/>
      <c r="B324" s="22"/>
      <c r="C324" s="127"/>
      <c r="D324" s="22"/>
      <c r="E324" s="22"/>
      <c r="F324" s="22"/>
      <c r="G324" s="22"/>
      <c r="H324" s="22"/>
      <c r="I324" s="22"/>
      <c r="J324" s="22"/>
      <c r="K324" s="127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</row>
    <row r="325">
      <c r="A325" s="127"/>
      <c r="B325" s="22"/>
      <c r="C325" s="127"/>
      <c r="D325" s="22"/>
      <c r="E325" s="22"/>
      <c r="F325" s="22"/>
      <c r="G325" s="22"/>
      <c r="H325" s="22"/>
      <c r="I325" s="22"/>
      <c r="J325" s="22"/>
      <c r="K325" s="127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</row>
    <row r="326">
      <c r="A326" s="127"/>
      <c r="B326" s="22"/>
      <c r="C326" s="127"/>
      <c r="D326" s="22"/>
      <c r="E326" s="22"/>
      <c r="F326" s="22"/>
      <c r="G326" s="22"/>
      <c r="H326" s="22"/>
      <c r="I326" s="22"/>
      <c r="J326" s="22"/>
      <c r="K326" s="127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</row>
    <row r="327">
      <c r="A327" s="127"/>
      <c r="B327" s="22"/>
      <c r="C327" s="127"/>
      <c r="D327" s="22"/>
      <c r="E327" s="22"/>
      <c r="F327" s="22"/>
      <c r="G327" s="22"/>
      <c r="H327" s="22"/>
      <c r="I327" s="22"/>
      <c r="J327" s="22"/>
      <c r="K327" s="127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</row>
    <row r="328">
      <c r="A328" s="127"/>
      <c r="B328" s="22"/>
      <c r="C328" s="127"/>
      <c r="D328" s="22"/>
      <c r="E328" s="22"/>
      <c r="F328" s="22"/>
      <c r="G328" s="22"/>
      <c r="H328" s="22"/>
      <c r="I328" s="22"/>
      <c r="J328" s="22"/>
      <c r="K328" s="127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</row>
    <row r="329">
      <c r="A329" s="127"/>
      <c r="B329" s="22"/>
      <c r="C329" s="127"/>
      <c r="D329" s="22"/>
      <c r="E329" s="22"/>
      <c r="F329" s="22"/>
      <c r="G329" s="22"/>
      <c r="H329" s="22"/>
      <c r="I329" s="22"/>
      <c r="J329" s="22"/>
      <c r="K329" s="127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</row>
    <row r="330">
      <c r="A330" s="127"/>
      <c r="B330" s="22"/>
      <c r="C330" s="127"/>
      <c r="D330" s="22"/>
      <c r="E330" s="22"/>
      <c r="F330" s="22"/>
      <c r="G330" s="22"/>
      <c r="H330" s="22"/>
      <c r="I330" s="22"/>
      <c r="J330" s="22"/>
      <c r="K330" s="127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</row>
    <row r="331">
      <c r="A331" s="127"/>
      <c r="B331" s="22"/>
      <c r="C331" s="127"/>
      <c r="D331" s="22"/>
      <c r="E331" s="22"/>
      <c r="F331" s="22"/>
      <c r="G331" s="22"/>
      <c r="H331" s="22"/>
      <c r="I331" s="22"/>
      <c r="J331" s="22"/>
      <c r="K331" s="127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</row>
    <row r="332">
      <c r="A332" s="127"/>
      <c r="B332" s="22"/>
      <c r="C332" s="127"/>
      <c r="D332" s="22"/>
      <c r="E332" s="22"/>
      <c r="F332" s="22"/>
      <c r="G332" s="22"/>
      <c r="H332" s="22"/>
      <c r="I332" s="22"/>
      <c r="J332" s="22"/>
      <c r="K332" s="127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</row>
    <row r="333">
      <c r="A333" s="127"/>
      <c r="B333" s="22"/>
      <c r="C333" s="127"/>
      <c r="D333" s="22"/>
      <c r="E333" s="22"/>
      <c r="F333" s="22"/>
      <c r="G333" s="22"/>
      <c r="H333" s="22"/>
      <c r="I333" s="22"/>
      <c r="J333" s="22"/>
      <c r="K333" s="127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</row>
    <row r="334">
      <c r="A334" s="127"/>
      <c r="B334" s="22"/>
      <c r="C334" s="127"/>
      <c r="D334" s="22"/>
      <c r="E334" s="22"/>
      <c r="F334" s="22"/>
      <c r="G334" s="22"/>
      <c r="H334" s="22"/>
      <c r="I334" s="22"/>
      <c r="J334" s="22"/>
      <c r="K334" s="127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</row>
    <row r="335">
      <c r="A335" s="127"/>
      <c r="B335" s="22"/>
      <c r="C335" s="127"/>
      <c r="D335" s="22"/>
      <c r="E335" s="22"/>
      <c r="F335" s="22"/>
      <c r="G335" s="22"/>
      <c r="H335" s="22"/>
      <c r="I335" s="22"/>
      <c r="J335" s="22"/>
      <c r="K335" s="127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</row>
    <row r="336">
      <c r="A336" s="127"/>
      <c r="B336" s="22"/>
      <c r="C336" s="127"/>
      <c r="D336" s="22"/>
      <c r="E336" s="22"/>
      <c r="F336" s="22"/>
      <c r="G336" s="22"/>
      <c r="H336" s="22"/>
      <c r="I336" s="22"/>
      <c r="J336" s="22"/>
      <c r="K336" s="127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</row>
    <row r="337">
      <c r="A337" s="127"/>
      <c r="B337" s="22"/>
      <c r="C337" s="127"/>
      <c r="D337" s="22"/>
      <c r="E337" s="22"/>
      <c r="F337" s="22"/>
      <c r="G337" s="22"/>
      <c r="H337" s="22"/>
      <c r="I337" s="22"/>
      <c r="J337" s="22"/>
      <c r="K337" s="127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</row>
    <row r="338">
      <c r="A338" s="127"/>
      <c r="B338" s="22"/>
      <c r="C338" s="127"/>
      <c r="D338" s="22"/>
      <c r="E338" s="22"/>
      <c r="F338" s="22"/>
      <c r="G338" s="22"/>
      <c r="H338" s="22"/>
      <c r="I338" s="22"/>
      <c r="J338" s="22"/>
      <c r="K338" s="127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</row>
    <row r="339">
      <c r="A339" s="127"/>
      <c r="B339" s="22"/>
      <c r="C339" s="127"/>
      <c r="D339" s="22"/>
      <c r="E339" s="22"/>
      <c r="F339" s="22"/>
      <c r="G339" s="22"/>
      <c r="H339" s="22"/>
      <c r="I339" s="22"/>
      <c r="J339" s="22"/>
      <c r="K339" s="127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</row>
    <row r="340">
      <c r="A340" s="127"/>
      <c r="B340" s="22"/>
      <c r="C340" s="127"/>
      <c r="D340" s="22"/>
      <c r="E340" s="22"/>
      <c r="F340" s="22"/>
      <c r="G340" s="22"/>
      <c r="H340" s="22"/>
      <c r="I340" s="22"/>
      <c r="J340" s="22"/>
      <c r="K340" s="127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</row>
    <row r="341">
      <c r="A341" s="127"/>
      <c r="B341" s="22"/>
      <c r="C341" s="127"/>
      <c r="D341" s="22"/>
      <c r="E341" s="22"/>
      <c r="F341" s="22"/>
      <c r="G341" s="22"/>
      <c r="H341" s="22"/>
      <c r="I341" s="22"/>
      <c r="J341" s="22"/>
      <c r="K341" s="127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</row>
    <row r="342">
      <c r="A342" s="127"/>
      <c r="B342" s="22"/>
      <c r="C342" s="127"/>
      <c r="D342" s="22"/>
      <c r="E342" s="22"/>
      <c r="F342" s="22"/>
      <c r="G342" s="22"/>
      <c r="H342" s="22"/>
      <c r="I342" s="22"/>
      <c r="J342" s="22"/>
      <c r="K342" s="127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</row>
    <row r="343">
      <c r="A343" s="127"/>
      <c r="B343" s="22"/>
      <c r="C343" s="127"/>
      <c r="D343" s="22"/>
      <c r="E343" s="22"/>
      <c r="F343" s="22"/>
      <c r="G343" s="22"/>
      <c r="H343" s="22"/>
      <c r="I343" s="22"/>
      <c r="J343" s="22"/>
      <c r="K343" s="127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</row>
    <row r="344">
      <c r="A344" s="127"/>
      <c r="B344" s="22"/>
      <c r="C344" s="127"/>
      <c r="D344" s="22"/>
      <c r="E344" s="22"/>
      <c r="F344" s="22"/>
      <c r="G344" s="22"/>
      <c r="H344" s="22"/>
      <c r="I344" s="22"/>
      <c r="J344" s="22"/>
      <c r="K344" s="127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</row>
    <row r="345">
      <c r="A345" s="127"/>
      <c r="B345" s="22"/>
      <c r="C345" s="127"/>
      <c r="D345" s="22"/>
      <c r="E345" s="22"/>
      <c r="F345" s="22"/>
      <c r="G345" s="22"/>
      <c r="H345" s="22"/>
      <c r="I345" s="22"/>
      <c r="J345" s="22"/>
      <c r="K345" s="127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</row>
    <row r="346">
      <c r="A346" s="127"/>
      <c r="B346" s="22"/>
      <c r="C346" s="127"/>
      <c r="D346" s="22"/>
      <c r="E346" s="22"/>
      <c r="F346" s="22"/>
      <c r="G346" s="22"/>
      <c r="H346" s="22"/>
      <c r="I346" s="22"/>
      <c r="J346" s="22"/>
      <c r="K346" s="127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</row>
    <row r="347">
      <c r="A347" s="127"/>
      <c r="B347" s="22"/>
      <c r="C347" s="127"/>
      <c r="D347" s="22"/>
      <c r="E347" s="22"/>
      <c r="F347" s="22"/>
      <c r="G347" s="22"/>
      <c r="H347" s="22"/>
      <c r="I347" s="22"/>
      <c r="J347" s="22"/>
      <c r="K347" s="127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</row>
    <row r="348">
      <c r="A348" s="127"/>
      <c r="B348" s="22"/>
      <c r="C348" s="127"/>
      <c r="D348" s="22"/>
      <c r="E348" s="22"/>
      <c r="F348" s="22"/>
      <c r="G348" s="22"/>
      <c r="H348" s="22"/>
      <c r="I348" s="22"/>
      <c r="J348" s="22"/>
      <c r="K348" s="127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</row>
    <row r="349">
      <c r="A349" s="127"/>
      <c r="B349" s="22"/>
      <c r="C349" s="127"/>
      <c r="D349" s="22"/>
      <c r="E349" s="22"/>
      <c r="F349" s="22"/>
      <c r="G349" s="22"/>
      <c r="H349" s="22"/>
      <c r="I349" s="22"/>
      <c r="J349" s="22"/>
      <c r="K349" s="127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</row>
    <row r="350">
      <c r="A350" s="127"/>
      <c r="B350" s="22"/>
      <c r="C350" s="127"/>
      <c r="D350" s="22"/>
      <c r="E350" s="22"/>
      <c r="F350" s="22"/>
      <c r="G350" s="22"/>
      <c r="H350" s="22"/>
      <c r="I350" s="22"/>
      <c r="J350" s="22"/>
      <c r="K350" s="127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</row>
    <row r="351">
      <c r="A351" s="127"/>
      <c r="B351" s="22"/>
      <c r="C351" s="127"/>
      <c r="D351" s="22"/>
      <c r="E351" s="22"/>
      <c r="F351" s="22"/>
      <c r="G351" s="22"/>
      <c r="H351" s="22"/>
      <c r="I351" s="22"/>
      <c r="J351" s="22"/>
      <c r="K351" s="127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</row>
    <row r="352">
      <c r="A352" s="127"/>
      <c r="B352" s="22"/>
      <c r="C352" s="127"/>
      <c r="D352" s="22"/>
      <c r="E352" s="22"/>
      <c r="F352" s="22"/>
      <c r="G352" s="22"/>
      <c r="H352" s="22"/>
      <c r="I352" s="22"/>
      <c r="J352" s="22"/>
      <c r="K352" s="127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</row>
    <row r="353">
      <c r="A353" s="127"/>
      <c r="B353" s="22"/>
      <c r="C353" s="127"/>
      <c r="D353" s="22"/>
      <c r="E353" s="22"/>
      <c r="F353" s="22"/>
      <c r="G353" s="22"/>
      <c r="H353" s="22"/>
      <c r="I353" s="22"/>
      <c r="J353" s="22"/>
      <c r="K353" s="127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</row>
    <row r="354">
      <c r="A354" s="127"/>
      <c r="B354" s="22"/>
      <c r="C354" s="127"/>
      <c r="D354" s="22"/>
      <c r="E354" s="22"/>
      <c r="F354" s="22"/>
      <c r="G354" s="22"/>
      <c r="H354" s="22"/>
      <c r="I354" s="22"/>
      <c r="J354" s="22"/>
      <c r="K354" s="127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</row>
    <row r="355">
      <c r="A355" s="127"/>
      <c r="B355" s="22"/>
      <c r="C355" s="127"/>
      <c r="D355" s="22"/>
      <c r="E355" s="22"/>
      <c r="F355" s="22"/>
      <c r="G355" s="22"/>
      <c r="H355" s="22"/>
      <c r="I355" s="22"/>
      <c r="J355" s="22"/>
      <c r="K355" s="127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</row>
    <row r="356">
      <c r="A356" s="127"/>
      <c r="B356" s="22"/>
      <c r="C356" s="127"/>
      <c r="D356" s="22"/>
      <c r="E356" s="22"/>
      <c r="F356" s="22"/>
      <c r="G356" s="22"/>
      <c r="H356" s="22"/>
      <c r="I356" s="22"/>
      <c r="J356" s="22"/>
      <c r="K356" s="127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</row>
    <row r="357">
      <c r="A357" s="127"/>
      <c r="B357" s="22"/>
      <c r="C357" s="127"/>
      <c r="D357" s="22"/>
      <c r="E357" s="22"/>
      <c r="F357" s="22"/>
      <c r="G357" s="22"/>
      <c r="H357" s="22"/>
      <c r="I357" s="22"/>
      <c r="J357" s="22"/>
      <c r="K357" s="127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</row>
    <row r="358">
      <c r="A358" s="127"/>
      <c r="B358" s="22"/>
      <c r="C358" s="127"/>
      <c r="D358" s="22"/>
      <c r="E358" s="22"/>
      <c r="F358" s="22"/>
      <c r="G358" s="22"/>
      <c r="H358" s="22"/>
      <c r="I358" s="22"/>
      <c r="J358" s="22"/>
      <c r="K358" s="127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</row>
    <row r="359">
      <c r="A359" s="127"/>
      <c r="B359" s="22"/>
      <c r="C359" s="127"/>
      <c r="D359" s="22"/>
      <c r="E359" s="22"/>
      <c r="F359" s="22"/>
      <c r="G359" s="22"/>
      <c r="H359" s="22"/>
      <c r="I359" s="22"/>
      <c r="J359" s="22"/>
      <c r="K359" s="127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</row>
    <row r="360">
      <c r="A360" s="127"/>
      <c r="B360" s="22"/>
      <c r="C360" s="127"/>
      <c r="D360" s="22"/>
      <c r="E360" s="22"/>
      <c r="F360" s="22"/>
      <c r="G360" s="22"/>
      <c r="H360" s="22"/>
      <c r="I360" s="22"/>
      <c r="J360" s="22"/>
      <c r="K360" s="127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</row>
    <row r="361">
      <c r="A361" s="127"/>
      <c r="B361" s="22"/>
      <c r="C361" s="127"/>
      <c r="D361" s="22"/>
      <c r="E361" s="22"/>
      <c r="F361" s="22"/>
      <c r="G361" s="22"/>
      <c r="H361" s="22"/>
      <c r="I361" s="22"/>
      <c r="J361" s="22"/>
      <c r="K361" s="127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</row>
    <row r="362">
      <c r="A362" s="127"/>
      <c r="B362" s="22"/>
      <c r="C362" s="127"/>
      <c r="D362" s="22"/>
      <c r="E362" s="22"/>
      <c r="F362" s="22"/>
      <c r="G362" s="22"/>
      <c r="H362" s="22"/>
      <c r="I362" s="22"/>
      <c r="J362" s="22"/>
      <c r="K362" s="127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</row>
    <row r="363">
      <c r="A363" s="127"/>
      <c r="B363" s="22"/>
      <c r="C363" s="127"/>
      <c r="D363" s="22"/>
      <c r="E363" s="22"/>
      <c r="F363" s="22"/>
      <c r="G363" s="22"/>
      <c r="H363" s="22"/>
      <c r="I363" s="22"/>
      <c r="J363" s="22"/>
      <c r="K363" s="127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</row>
    <row r="364">
      <c r="A364" s="127"/>
      <c r="B364" s="22"/>
      <c r="C364" s="127"/>
      <c r="D364" s="22"/>
      <c r="E364" s="22"/>
      <c r="F364" s="22"/>
      <c r="G364" s="22"/>
      <c r="H364" s="22"/>
      <c r="I364" s="22"/>
      <c r="J364" s="22"/>
      <c r="K364" s="127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</row>
    <row r="365">
      <c r="A365" s="127"/>
      <c r="B365" s="22"/>
      <c r="C365" s="127"/>
      <c r="D365" s="22"/>
      <c r="E365" s="22"/>
      <c r="F365" s="22"/>
      <c r="G365" s="22"/>
      <c r="H365" s="22"/>
      <c r="I365" s="22"/>
      <c r="J365" s="22"/>
      <c r="K365" s="127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</row>
    <row r="366">
      <c r="A366" s="127"/>
      <c r="B366" s="22"/>
      <c r="C366" s="127"/>
      <c r="D366" s="22"/>
      <c r="E366" s="22"/>
      <c r="F366" s="22"/>
      <c r="G366" s="22"/>
      <c r="H366" s="22"/>
      <c r="I366" s="22"/>
      <c r="J366" s="22"/>
      <c r="K366" s="127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</row>
    <row r="367">
      <c r="A367" s="127"/>
      <c r="B367" s="22"/>
      <c r="C367" s="127"/>
      <c r="D367" s="22"/>
      <c r="E367" s="22"/>
      <c r="F367" s="22"/>
      <c r="G367" s="22"/>
      <c r="H367" s="22"/>
      <c r="I367" s="22"/>
      <c r="J367" s="22"/>
      <c r="K367" s="127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</row>
    <row r="368">
      <c r="A368" s="127"/>
      <c r="B368" s="22"/>
      <c r="C368" s="127"/>
      <c r="D368" s="22"/>
      <c r="E368" s="22"/>
      <c r="F368" s="22"/>
      <c r="G368" s="22"/>
      <c r="H368" s="22"/>
      <c r="I368" s="22"/>
      <c r="J368" s="22"/>
      <c r="K368" s="127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</row>
    <row r="369">
      <c r="A369" s="127"/>
      <c r="B369" s="22"/>
      <c r="C369" s="127"/>
      <c r="D369" s="22"/>
      <c r="E369" s="22"/>
      <c r="F369" s="22"/>
      <c r="G369" s="22"/>
      <c r="H369" s="22"/>
      <c r="I369" s="22"/>
      <c r="J369" s="22"/>
      <c r="K369" s="127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</row>
    <row r="370">
      <c r="A370" s="127"/>
      <c r="B370" s="22"/>
      <c r="C370" s="127"/>
      <c r="D370" s="22"/>
      <c r="E370" s="22"/>
      <c r="F370" s="22"/>
      <c r="G370" s="22"/>
      <c r="H370" s="22"/>
      <c r="I370" s="22"/>
      <c r="J370" s="22"/>
      <c r="K370" s="127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</row>
    <row r="371">
      <c r="A371" s="127"/>
      <c r="B371" s="22"/>
      <c r="C371" s="127"/>
      <c r="D371" s="22"/>
      <c r="E371" s="22"/>
      <c r="F371" s="22"/>
      <c r="G371" s="22"/>
      <c r="H371" s="22"/>
      <c r="I371" s="22"/>
      <c r="J371" s="22"/>
      <c r="K371" s="127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</row>
    <row r="372">
      <c r="A372" s="127"/>
      <c r="B372" s="22"/>
      <c r="C372" s="127"/>
      <c r="D372" s="22"/>
      <c r="E372" s="22"/>
      <c r="F372" s="22"/>
      <c r="G372" s="22"/>
      <c r="H372" s="22"/>
      <c r="I372" s="22"/>
      <c r="J372" s="22"/>
      <c r="K372" s="127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</row>
    <row r="373">
      <c r="A373" s="127"/>
      <c r="B373" s="22"/>
      <c r="C373" s="127"/>
      <c r="D373" s="22"/>
      <c r="E373" s="22"/>
      <c r="F373" s="22"/>
      <c r="G373" s="22"/>
      <c r="H373" s="22"/>
      <c r="I373" s="22"/>
      <c r="J373" s="22"/>
      <c r="K373" s="127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</row>
    <row r="374">
      <c r="A374" s="127"/>
      <c r="B374" s="22"/>
      <c r="C374" s="127"/>
      <c r="D374" s="22"/>
      <c r="E374" s="22"/>
      <c r="F374" s="22"/>
      <c r="G374" s="22"/>
      <c r="H374" s="22"/>
      <c r="I374" s="22"/>
      <c r="J374" s="22"/>
      <c r="K374" s="127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</row>
    <row r="375">
      <c r="A375" s="127"/>
      <c r="B375" s="22"/>
      <c r="C375" s="127"/>
      <c r="D375" s="22"/>
      <c r="E375" s="22"/>
      <c r="F375" s="22"/>
      <c r="G375" s="22"/>
      <c r="H375" s="22"/>
      <c r="I375" s="22"/>
      <c r="J375" s="22"/>
      <c r="K375" s="127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</row>
    <row r="376">
      <c r="A376" s="127"/>
      <c r="B376" s="22"/>
      <c r="C376" s="127"/>
      <c r="D376" s="22"/>
      <c r="E376" s="22"/>
      <c r="F376" s="22"/>
      <c r="G376" s="22"/>
      <c r="H376" s="22"/>
      <c r="I376" s="22"/>
      <c r="J376" s="22"/>
      <c r="K376" s="127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</row>
    <row r="377">
      <c r="A377" s="127"/>
      <c r="B377" s="22"/>
      <c r="C377" s="127"/>
      <c r="D377" s="22"/>
      <c r="E377" s="22"/>
      <c r="F377" s="22"/>
      <c r="G377" s="22"/>
      <c r="H377" s="22"/>
      <c r="I377" s="22"/>
      <c r="J377" s="22"/>
      <c r="K377" s="127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</row>
    <row r="378">
      <c r="A378" s="127"/>
      <c r="B378" s="22"/>
      <c r="C378" s="127"/>
      <c r="D378" s="22"/>
      <c r="E378" s="22"/>
      <c r="F378" s="22"/>
      <c r="G378" s="22"/>
      <c r="H378" s="22"/>
      <c r="I378" s="22"/>
      <c r="J378" s="22"/>
      <c r="K378" s="127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</row>
    <row r="379">
      <c r="A379" s="127"/>
      <c r="B379" s="22"/>
      <c r="C379" s="127"/>
      <c r="D379" s="22"/>
      <c r="E379" s="22"/>
      <c r="F379" s="22"/>
      <c r="G379" s="22"/>
      <c r="H379" s="22"/>
      <c r="I379" s="22"/>
      <c r="J379" s="22"/>
      <c r="K379" s="127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</row>
    <row r="380">
      <c r="A380" s="127"/>
      <c r="B380" s="22"/>
      <c r="C380" s="127"/>
      <c r="D380" s="22"/>
      <c r="E380" s="22"/>
      <c r="F380" s="22"/>
      <c r="G380" s="22"/>
      <c r="H380" s="22"/>
      <c r="I380" s="22"/>
      <c r="J380" s="22"/>
      <c r="K380" s="127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</row>
    <row r="381">
      <c r="A381" s="127"/>
      <c r="B381" s="22"/>
      <c r="C381" s="127"/>
      <c r="D381" s="22"/>
      <c r="E381" s="22"/>
      <c r="F381" s="22"/>
      <c r="G381" s="22"/>
      <c r="H381" s="22"/>
      <c r="I381" s="22"/>
      <c r="J381" s="22"/>
      <c r="K381" s="127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</row>
    <row r="382">
      <c r="A382" s="127"/>
      <c r="B382" s="22"/>
      <c r="C382" s="127"/>
      <c r="D382" s="22"/>
      <c r="E382" s="22"/>
      <c r="F382" s="22"/>
      <c r="G382" s="22"/>
      <c r="H382" s="22"/>
      <c r="I382" s="22"/>
      <c r="J382" s="22"/>
      <c r="K382" s="127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</row>
    <row r="383">
      <c r="A383" s="127"/>
      <c r="B383" s="22"/>
      <c r="C383" s="127"/>
      <c r="D383" s="22"/>
      <c r="E383" s="22"/>
      <c r="F383" s="22"/>
      <c r="G383" s="22"/>
      <c r="H383" s="22"/>
      <c r="I383" s="22"/>
      <c r="J383" s="22"/>
      <c r="K383" s="127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</row>
    <row r="384">
      <c r="A384" s="127"/>
      <c r="B384" s="22"/>
      <c r="C384" s="127"/>
      <c r="D384" s="22"/>
      <c r="E384" s="22"/>
      <c r="F384" s="22"/>
      <c r="G384" s="22"/>
      <c r="H384" s="22"/>
      <c r="I384" s="22"/>
      <c r="J384" s="22"/>
      <c r="K384" s="127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</row>
    <row r="385">
      <c r="A385" s="127"/>
      <c r="B385" s="22"/>
      <c r="C385" s="127"/>
      <c r="D385" s="22"/>
      <c r="E385" s="22"/>
      <c r="F385" s="22"/>
      <c r="G385" s="22"/>
      <c r="H385" s="22"/>
      <c r="I385" s="22"/>
      <c r="J385" s="22"/>
      <c r="K385" s="127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</row>
    <row r="386">
      <c r="A386" s="127"/>
      <c r="B386" s="22"/>
      <c r="C386" s="127"/>
      <c r="D386" s="22"/>
      <c r="E386" s="22"/>
      <c r="F386" s="22"/>
      <c r="G386" s="22"/>
      <c r="H386" s="22"/>
      <c r="I386" s="22"/>
      <c r="J386" s="22"/>
      <c r="K386" s="127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</row>
    <row r="387">
      <c r="A387" s="127"/>
      <c r="B387" s="22"/>
      <c r="C387" s="127"/>
      <c r="D387" s="22"/>
      <c r="E387" s="22"/>
      <c r="F387" s="22"/>
      <c r="G387" s="22"/>
      <c r="H387" s="22"/>
      <c r="I387" s="22"/>
      <c r="J387" s="22"/>
      <c r="K387" s="127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</row>
    <row r="388">
      <c r="A388" s="127"/>
      <c r="B388" s="22"/>
      <c r="C388" s="127"/>
      <c r="D388" s="22"/>
      <c r="E388" s="22"/>
      <c r="F388" s="22"/>
      <c r="G388" s="22"/>
      <c r="H388" s="22"/>
      <c r="I388" s="22"/>
      <c r="J388" s="22"/>
      <c r="K388" s="127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</row>
    <row r="389">
      <c r="A389" s="127"/>
      <c r="B389" s="22"/>
      <c r="C389" s="127"/>
      <c r="D389" s="22"/>
      <c r="E389" s="22"/>
      <c r="F389" s="22"/>
      <c r="G389" s="22"/>
      <c r="H389" s="22"/>
      <c r="I389" s="22"/>
      <c r="J389" s="22"/>
      <c r="K389" s="127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</row>
    <row r="390">
      <c r="A390" s="127"/>
      <c r="B390" s="22"/>
      <c r="C390" s="127"/>
      <c r="D390" s="22"/>
      <c r="E390" s="22"/>
      <c r="F390" s="22"/>
      <c r="G390" s="22"/>
      <c r="H390" s="22"/>
      <c r="I390" s="22"/>
      <c r="J390" s="22"/>
      <c r="K390" s="127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</row>
    <row r="391">
      <c r="A391" s="127"/>
      <c r="B391" s="22"/>
      <c r="C391" s="127"/>
      <c r="D391" s="22"/>
      <c r="E391" s="22"/>
      <c r="F391" s="22"/>
      <c r="G391" s="22"/>
      <c r="H391" s="22"/>
      <c r="I391" s="22"/>
      <c r="J391" s="22"/>
      <c r="K391" s="127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</row>
    <row r="392">
      <c r="A392" s="127"/>
      <c r="B392" s="22"/>
      <c r="C392" s="127"/>
      <c r="D392" s="22"/>
      <c r="E392" s="22"/>
      <c r="F392" s="22"/>
      <c r="G392" s="22"/>
      <c r="H392" s="22"/>
      <c r="I392" s="22"/>
      <c r="J392" s="22"/>
      <c r="K392" s="127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</row>
    <row r="393">
      <c r="A393" s="127"/>
      <c r="B393" s="22"/>
      <c r="C393" s="127"/>
      <c r="D393" s="22"/>
      <c r="E393" s="22"/>
      <c r="F393" s="22"/>
      <c r="G393" s="22"/>
      <c r="H393" s="22"/>
      <c r="I393" s="22"/>
      <c r="J393" s="22"/>
      <c r="K393" s="127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</row>
    <row r="394">
      <c r="A394" s="127"/>
      <c r="B394" s="22"/>
      <c r="C394" s="127"/>
      <c r="D394" s="22"/>
      <c r="E394" s="22"/>
      <c r="F394" s="22"/>
      <c r="G394" s="22"/>
      <c r="H394" s="22"/>
      <c r="I394" s="22"/>
      <c r="J394" s="22"/>
      <c r="K394" s="127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</row>
    <row r="395">
      <c r="A395" s="127"/>
      <c r="B395" s="22"/>
      <c r="C395" s="127"/>
      <c r="D395" s="22"/>
      <c r="E395" s="22"/>
      <c r="F395" s="22"/>
      <c r="G395" s="22"/>
      <c r="H395" s="22"/>
      <c r="I395" s="22"/>
      <c r="J395" s="22"/>
      <c r="K395" s="127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</row>
    <row r="396">
      <c r="A396" s="127"/>
      <c r="B396" s="22"/>
      <c r="C396" s="127"/>
      <c r="D396" s="22"/>
      <c r="E396" s="22"/>
      <c r="F396" s="22"/>
      <c r="G396" s="22"/>
      <c r="H396" s="22"/>
      <c r="I396" s="22"/>
      <c r="J396" s="22"/>
      <c r="K396" s="127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</row>
    <row r="397">
      <c r="A397" s="127"/>
      <c r="B397" s="22"/>
      <c r="C397" s="127"/>
      <c r="D397" s="22"/>
      <c r="E397" s="22"/>
      <c r="F397" s="22"/>
      <c r="G397" s="22"/>
      <c r="H397" s="22"/>
      <c r="I397" s="22"/>
      <c r="J397" s="22"/>
      <c r="K397" s="127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</row>
    <row r="398">
      <c r="A398" s="127"/>
      <c r="B398" s="22"/>
      <c r="C398" s="127"/>
      <c r="D398" s="22"/>
      <c r="E398" s="22"/>
      <c r="F398" s="22"/>
      <c r="G398" s="22"/>
      <c r="H398" s="22"/>
      <c r="I398" s="22"/>
      <c r="J398" s="22"/>
      <c r="K398" s="127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</row>
    <row r="399">
      <c r="A399" s="127"/>
      <c r="B399" s="22"/>
      <c r="C399" s="127"/>
      <c r="D399" s="22"/>
      <c r="E399" s="22"/>
      <c r="F399" s="22"/>
      <c r="G399" s="22"/>
      <c r="H399" s="22"/>
      <c r="I399" s="22"/>
      <c r="J399" s="22"/>
      <c r="K399" s="127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</row>
    <row r="400">
      <c r="A400" s="127"/>
      <c r="B400" s="22"/>
      <c r="C400" s="127"/>
      <c r="D400" s="22"/>
      <c r="E400" s="22"/>
      <c r="F400" s="22"/>
      <c r="G400" s="22"/>
      <c r="H400" s="22"/>
      <c r="I400" s="22"/>
      <c r="J400" s="22"/>
      <c r="K400" s="127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</row>
    <row r="401">
      <c r="A401" s="127"/>
      <c r="B401" s="22"/>
      <c r="C401" s="127"/>
      <c r="D401" s="22"/>
      <c r="E401" s="22"/>
      <c r="F401" s="22"/>
      <c r="G401" s="22"/>
      <c r="H401" s="22"/>
      <c r="I401" s="22"/>
      <c r="J401" s="22"/>
      <c r="K401" s="127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</row>
    <row r="402">
      <c r="A402" s="127"/>
      <c r="B402" s="22"/>
      <c r="C402" s="127"/>
      <c r="D402" s="22"/>
      <c r="E402" s="22"/>
      <c r="F402" s="22"/>
      <c r="G402" s="22"/>
      <c r="H402" s="22"/>
      <c r="I402" s="22"/>
      <c r="J402" s="22"/>
      <c r="K402" s="127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</row>
    <row r="403">
      <c r="A403" s="127"/>
      <c r="B403" s="22"/>
      <c r="C403" s="127"/>
      <c r="D403" s="22"/>
      <c r="E403" s="22"/>
      <c r="F403" s="22"/>
      <c r="G403" s="22"/>
      <c r="H403" s="22"/>
      <c r="I403" s="22"/>
      <c r="J403" s="22"/>
      <c r="K403" s="127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</row>
    <row r="404">
      <c r="A404" s="127"/>
      <c r="B404" s="22"/>
      <c r="C404" s="127"/>
      <c r="D404" s="22"/>
      <c r="E404" s="22"/>
      <c r="F404" s="22"/>
      <c r="G404" s="22"/>
      <c r="H404" s="22"/>
      <c r="I404" s="22"/>
      <c r="J404" s="22"/>
      <c r="K404" s="127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</row>
    <row r="405">
      <c r="A405" s="127"/>
      <c r="B405" s="22"/>
      <c r="C405" s="127"/>
      <c r="D405" s="22"/>
      <c r="E405" s="22"/>
      <c r="F405" s="22"/>
      <c r="G405" s="22"/>
      <c r="H405" s="22"/>
      <c r="I405" s="22"/>
      <c r="J405" s="22"/>
      <c r="K405" s="127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</row>
    <row r="406">
      <c r="A406" s="127"/>
      <c r="B406" s="22"/>
      <c r="C406" s="127"/>
      <c r="D406" s="22"/>
      <c r="E406" s="22"/>
      <c r="F406" s="22"/>
      <c r="G406" s="22"/>
      <c r="H406" s="22"/>
      <c r="I406" s="22"/>
      <c r="J406" s="22"/>
      <c r="K406" s="127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</row>
    <row r="407">
      <c r="A407" s="127"/>
      <c r="B407" s="22"/>
      <c r="C407" s="127"/>
      <c r="D407" s="22"/>
      <c r="E407" s="22"/>
      <c r="F407" s="22"/>
      <c r="G407" s="22"/>
      <c r="H407" s="22"/>
      <c r="I407" s="22"/>
      <c r="J407" s="22"/>
      <c r="K407" s="127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</row>
    <row r="408">
      <c r="A408" s="127"/>
      <c r="B408" s="22"/>
      <c r="C408" s="127"/>
      <c r="D408" s="22"/>
      <c r="E408" s="22"/>
      <c r="F408" s="22"/>
      <c r="G408" s="22"/>
      <c r="H408" s="22"/>
      <c r="I408" s="22"/>
      <c r="J408" s="22"/>
      <c r="K408" s="127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</row>
    <row r="409">
      <c r="A409" s="127"/>
      <c r="B409" s="22"/>
      <c r="C409" s="127"/>
      <c r="D409" s="22"/>
      <c r="E409" s="22"/>
      <c r="F409" s="22"/>
      <c r="G409" s="22"/>
      <c r="H409" s="22"/>
      <c r="I409" s="22"/>
      <c r="J409" s="22"/>
      <c r="K409" s="127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</row>
    <row r="410">
      <c r="A410" s="127"/>
      <c r="B410" s="22"/>
      <c r="C410" s="127"/>
      <c r="D410" s="22"/>
      <c r="E410" s="22"/>
      <c r="F410" s="22"/>
      <c r="G410" s="22"/>
      <c r="H410" s="22"/>
      <c r="I410" s="22"/>
      <c r="J410" s="22"/>
      <c r="K410" s="127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</row>
    <row r="411">
      <c r="A411" s="127"/>
      <c r="B411" s="22"/>
      <c r="C411" s="127"/>
      <c r="D411" s="22"/>
      <c r="E411" s="22"/>
      <c r="F411" s="22"/>
      <c r="G411" s="22"/>
      <c r="H411" s="22"/>
      <c r="I411" s="22"/>
      <c r="J411" s="22"/>
      <c r="K411" s="127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</row>
    <row r="412">
      <c r="A412" s="127"/>
      <c r="B412" s="22"/>
      <c r="C412" s="127"/>
      <c r="D412" s="22"/>
      <c r="E412" s="22"/>
      <c r="F412" s="22"/>
      <c r="G412" s="22"/>
      <c r="H412" s="22"/>
      <c r="I412" s="22"/>
      <c r="J412" s="22"/>
      <c r="K412" s="127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</row>
    <row r="413">
      <c r="A413" s="127"/>
      <c r="B413" s="22"/>
      <c r="C413" s="127"/>
      <c r="D413" s="22"/>
      <c r="E413" s="22"/>
      <c r="F413" s="22"/>
      <c r="G413" s="22"/>
      <c r="H413" s="22"/>
      <c r="I413" s="22"/>
      <c r="J413" s="22"/>
      <c r="K413" s="127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</row>
    <row r="414">
      <c r="A414" s="127"/>
      <c r="B414" s="22"/>
      <c r="C414" s="127"/>
      <c r="D414" s="22"/>
      <c r="E414" s="22"/>
      <c r="F414" s="22"/>
      <c r="G414" s="22"/>
      <c r="H414" s="22"/>
      <c r="I414" s="22"/>
      <c r="J414" s="22"/>
      <c r="K414" s="127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</row>
    <row r="415">
      <c r="A415" s="127"/>
      <c r="B415" s="22"/>
      <c r="C415" s="127"/>
      <c r="D415" s="22"/>
      <c r="E415" s="22"/>
      <c r="F415" s="22"/>
      <c r="G415" s="22"/>
      <c r="H415" s="22"/>
      <c r="I415" s="22"/>
      <c r="J415" s="22"/>
      <c r="K415" s="127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</row>
    <row r="416">
      <c r="A416" s="127"/>
      <c r="B416" s="22"/>
      <c r="C416" s="127"/>
      <c r="D416" s="22"/>
      <c r="E416" s="22"/>
      <c r="F416" s="22"/>
      <c r="G416" s="22"/>
      <c r="H416" s="22"/>
      <c r="I416" s="22"/>
      <c r="J416" s="22"/>
      <c r="K416" s="127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</row>
    <row r="417">
      <c r="A417" s="127"/>
      <c r="B417" s="22"/>
      <c r="C417" s="127"/>
      <c r="D417" s="22"/>
      <c r="E417" s="22"/>
      <c r="F417" s="22"/>
      <c r="G417" s="22"/>
      <c r="H417" s="22"/>
      <c r="I417" s="22"/>
      <c r="J417" s="22"/>
      <c r="K417" s="127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</row>
    <row r="418">
      <c r="A418" s="127"/>
      <c r="B418" s="22"/>
      <c r="C418" s="127"/>
      <c r="D418" s="22"/>
      <c r="E418" s="22"/>
      <c r="F418" s="22"/>
      <c r="G418" s="22"/>
      <c r="H418" s="22"/>
      <c r="I418" s="22"/>
      <c r="J418" s="22"/>
      <c r="K418" s="127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</row>
    <row r="419">
      <c r="A419" s="127"/>
      <c r="B419" s="22"/>
      <c r="C419" s="127"/>
      <c r="D419" s="22"/>
      <c r="E419" s="22"/>
      <c r="F419" s="22"/>
      <c r="G419" s="22"/>
      <c r="H419" s="22"/>
      <c r="I419" s="22"/>
      <c r="J419" s="22"/>
      <c r="K419" s="127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</row>
    <row r="420">
      <c r="A420" s="127"/>
      <c r="B420" s="22"/>
      <c r="C420" s="127"/>
      <c r="D420" s="22"/>
      <c r="E420" s="22"/>
      <c r="F420" s="22"/>
      <c r="G420" s="22"/>
      <c r="H420" s="22"/>
      <c r="I420" s="22"/>
      <c r="J420" s="22"/>
      <c r="K420" s="127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</row>
    <row r="421">
      <c r="A421" s="127"/>
      <c r="B421" s="22"/>
      <c r="C421" s="127"/>
      <c r="D421" s="22"/>
      <c r="E421" s="22"/>
      <c r="F421" s="22"/>
      <c r="G421" s="22"/>
      <c r="H421" s="22"/>
      <c r="I421" s="22"/>
      <c r="J421" s="22"/>
      <c r="K421" s="127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</row>
    <row r="422">
      <c r="A422" s="127"/>
      <c r="B422" s="22"/>
      <c r="C422" s="127"/>
      <c r="D422" s="22"/>
      <c r="E422" s="22"/>
      <c r="F422" s="22"/>
      <c r="G422" s="22"/>
      <c r="H422" s="22"/>
      <c r="I422" s="22"/>
      <c r="J422" s="22"/>
      <c r="K422" s="127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</row>
    <row r="423">
      <c r="A423" s="127"/>
      <c r="B423" s="22"/>
      <c r="C423" s="127"/>
      <c r="D423" s="22"/>
      <c r="E423" s="22"/>
      <c r="F423" s="22"/>
      <c r="G423" s="22"/>
      <c r="H423" s="22"/>
      <c r="I423" s="22"/>
      <c r="J423" s="22"/>
      <c r="K423" s="127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</row>
    <row r="424">
      <c r="A424" s="127"/>
      <c r="B424" s="22"/>
      <c r="C424" s="127"/>
      <c r="D424" s="22"/>
      <c r="E424" s="22"/>
      <c r="F424" s="22"/>
      <c r="G424" s="22"/>
      <c r="H424" s="22"/>
      <c r="I424" s="22"/>
      <c r="J424" s="22"/>
      <c r="K424" s="127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</row>
    <row r="425">
      <c r="A425" s="127"/>
      <c r="B425" s="22"/>
      <c r="C425" s="127"/>
      <c r="D425" s="22"/>
      <c r="E425" s="22"/>
      <c r="F425" s="22"/>
      <c r="G425" s="22"/>
      <c r="H425" s="22"/>
      <c r="I425" s="22"/>
      <c r="J425" s="22"/>
      <c r="K425" s="127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</row>
    <row r="426">
      <c r="A426" s="127"/>
      <c r="B426" s="22"/>
      <c r="C426" s="127"/>
      <c r="D426" s="22"/>
      <c r="E426" s="22"/>
      <c r="F426" s="22"/>
      <c r="G426" s="22"/>
      <c r="H426" s="22"/>
      <c r="I426" s="22"/>
      <c r="J426" s="22"/>
      <c r="K426" s="127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</row>
    <row r="427">
      <c r="A427" s="127"/>
      <c r="B427" s="22"/>
      <c r="C427" s="127"/>
      <c r="D427" s="22"/>
      <c r="E427" s="22"/>
      <c r="F427" s="22"/>
      <c r="G427" s="22"/>
      <c r="H427" s="22"/>
      <c r="I427" s="22"/>
      <c r="J427" s="22"/>
      <c r="K427" s="127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</row>
    <row r="428">
      <c r="A428" s="127"/>
      <c r="B428" s="22"/>
      <c r="C428" s="127"/>
      <c r="D428" s="22"/>
      <c r="E428" s="22"/>
      <c r="F428" s="22"/>
      <c r="G428" s="22"/>
      <c r="H428" s="22"/>
      <c r="I428" s="22"/>
      <c r="J428" s="22"/>
      <c r="K428" s="127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</row>
    <row r="429">
      <c r="A429" s="127"/>
      <c r="B429" s="22"/>
      <c r="C429" s="127"/>
      <c r="D429" s="22"/>
      <c r="E429" s="22"/>
      <c r="F429" s="22"/>
      <c r="G429" s="22"/>
      <c r="H429" s="22"/>
      <c r="I429" s="22"/>
      <c r="J429" s="22"/>
      <c r="K429" s="127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</row>
    <row r="430">
      <c r="A430" s="127"/>
      <c r="B430" s="22"/>
      <c r="C430" s="127"/>
      <c r="D430" s="22"/>
      <c r="E430" s="22"/>
      <c r="F430" s="22"/>
      <c r="G430" s="22"/>
      <c r="H430" s="22"/>
      <c r="I430" s="22"/>
      <c r="J430" s="22"/>
      <c r="K430" s="127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</row>
    <row r="431">
      <c r="A431" s="127"/>
      <c r="B431" s="22"/>
      <c r="C431" s="127"/>
      <c r="D431" s="22"/>
      <c r="E431" s="22"/>
      <c r="F431" s="22"/>
      <c r="G431" s="22"/>
      <c r="H431" s="22"/>
      <c r="I431" s="22"/>
      <c r="J431" s="22"/>
      <c r="K431" s="127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</row>
    <row r="432">
      <c r="A432" s="127"/>
      <c r="B432" s="22"/>
      <c r="C432" s="127"/>
      <c r="D432" s="22"/>
      <c r="E432" s="22"/>
      <c r="F432" s="22"/>
      <c r="G432" s="22"/>
      <c r="H432" s="22"/>
      <c r="I432" s="22"/>
      <c r="J432" s="22"/>
      <c r="K432" s="127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</row>
    <row r="433">
      <c r="A433" s="127"/>
      <c r="B433" s="22"/>
      <c r="C433" s="127"/>
      <c r="D433" s="22"/>
      <c r="E433" s="22"/>
      <c r="F433" s="22"/>
      <c r="G433" s="22"/>
      <c r="H433" s="22"/>
      <c r="I433" s="22"/>
      <c r="J433" s="22"/>
      <c r="K433" s="127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</row>
    <row r="434">
      <c r="A434" s="127"/>
      <c r="B434" s="22"/>
      <c r="C434" s="127"/>
      <c r="D434" s="22"/>
      <c r="E434" s="22"/>
      <c r="F434" s="22"/>
      <c r="G434" s="22"/>
      <c r="H434" s="22"/>
      <c r="I434" s="22"/>
      <c r="J434" s="22"/>
      <c r="K434" s="127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</row>
    <row r="435">
      <c r="A435" s="127"/>
      <c r="B435" s="22"/>
      <c r="C435" s="127"/>
      <c r="D435" s="22"/>
      <c r="E435" s="22"/>
      <c r="F435" s="22"/>
      <c r="G435" s="22"/>
      <c r="H435" s="22"/>
      <c r="I435" s="22"/>
      <c r="J435" s="22"/>
      <c r="K435" s="127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</row>
    <row r="436">
      <c r="A436" s="127"/>
      <c r="B436" s="22"/>
      <c r="C436" s="127"/>
      <c r="D436" s="22"/>
      <c r="E436" s="22"/>
      <c r="F436" s="22"/>
      <c r="G436" s="22"/>
      <c r="H436" s="22"/>
      <c r="I436" s="22"/>
      <c r="J436" s="22"/>
      <c r="K436" s="127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</row>
    <row r="437">
      <c r="A437" s="127"/>
      <c r="B437" s="22"/>
      <c r="C437" s="127"/>
      <c r="D437" s="22"/>
      <c r="E437" s="22"/>
      <c r="F437" s="22"/>
      <c r="G437" s="22"/>
      <c r="H437" s="22"/>
      <c r="I437" s="22"/>
      <c r="J437" s="22"/>
      <c r="K437" s="127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</row>
    <row r="438">
      <c r="A438" s="127"/>
      <c r="B438" s="22"/>
      <c r="C438" s="127"/>
      <c r="D438" s="22"/>
      <c r="E438" s="22"/>
      <c r="F438" s="22"/>
      <c r="G438" s="22"/>
      <c r="H438" s="22"/>
      <c r="I438" s="22"/>
      <c r="J438" s="22"/>
      <c r="K438" s="127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</row>
    <row r="439">
      <c r="A439" s="127"/>
      <c r="B439" s="22"/>
      <c r="C439" s="127"/>
      <c r="D439" s="22"/>
      <c r="E439" s="22"/>
      <c r="F439" s="22"/>
      <c r="G439" s="22"/>
      <c r="H439" s="22"/>
      <c r="I439" s="22"/>
      <c r="J439" s="22"/>
      <c r="K439" s="127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</row>
    <row r="440">
      <c r="A440" s="127"/>
      <c r="B440" s="22"/>
      <c r="C440" s="127"/>
      <c r="D440" s="22"/>
      <c r="E440" s="22"/>
      <c r="F440" s="22"/>
      <c r="G440" s="22"/>
      <c r="H440" s="22"/>
      <c r="I440" s="22"/>
      <c r="J440" s="22"/>
      <c r="K440" s="127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</row>
    <row r="441">
      <c r="A441" s="127"/>
      <c r="B441" s="22"/>
      <c r="C441" s="127"/>
      <c r="D441" s="22"/>
      <c r="E441" s="22"/>
      <c r="F441" s="22"/>
      <c r="G441" s="22"/>
      <c r="H441" s="22"/>
      <c r="I441" s="22"/>
      <c r="J441" s="22"/>
      <c r="K441" s="127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</row>
    <row r="442">
      <c r="A442" s="127"/>
      <c r="B442" s="22"/>
      <c r="C442" s="127"/>
      <c r="D442" s="22"/>
      <c r="E442" s="22"/>
      <c r="F442" s="22"/>
      <c r="G442" s="22"/>
      <c r="H442" s="22"/>
      <c r="I442" s="22"/>
      <c r="J442" s="22"/>
      <c r="K442" s="127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</row>
    <row r="443">
      <c r="A443" s="127"/>
      <c r="B443" s="22"/>
      <c r="C443" s="127"/>
      <c r="D443" s="22"/>
      <c r="E443" s="22"/>
      <c r="F443" s="22"/>
      <c r="G443" s="22"/>
      <c r="H443" s="22"/>
      <c r="I443" s="22"/>
      <c r="J443" s="22"/>
      <c r="K443" s="127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</row>
    <row r="444">
      <c r="A444" s="127"/>
      <c r="B444" s="22"/>
      <c r="C444" s="127"/>
      <c r="D444" s="22"/>
      <c r="E444" s="22"/>
      <c r="F444" s="22"/>
      <c r="G444" s="22"/>
      <c r="H444" s="22"/>
      <c r="I444" s="22"/>
      <c r="J444" s="22"/>
      <c r="K444" s="127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</row>
    <row r="445">
      <c r="A445" s="127"/>
      <c r="B445" s="22"/>
      <c r="C445" s="127"/>
      <c r="D445" s="22"/>
      <c r="E445" s="22"/>
      <c r="F445" s="22"/>
      <c r="G445" s="22"/>
      <c r="H445" s="22"/>
      <c r="I445" s="22"/>
      <c r="J445" s="22"/>
      <c r="K445" s="127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</row>
    <row r="446">
      <c r="A446" s="127"/>
      <c r="B446" s="22"/>
      <c r="C446" s="127"/>
      <c r="D446" s="22"/>
      <c r="E446" s="22"/>
      <c r="F446" s="22"/>
      <c r="G446" s="22"/>
      <c r="H446" s="22"/>
      <c r="I446" s="22"/>
      <c r="J446" s="22"/>
      <c r="K446" s="127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</row>
    <row r="447">
      <c r="A447" s="127"/>
      <c r="B447" s="22"/>
      <c r="C447" s="127"/>
      <c r="D447" s="22"/>
      <c r="E447" s="22"/>
      <c r="F447" s="22"/>
      <c r="G447" s="22"/>
      <c r="H447" s="22"/>
      <c r="I447" s="22"/>
      <c r="J447" s="22"/>
      <c r="K447" s="127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</row>
    <row r="448">
      <c r="A448" s="127"/>
      <c r="B448" s="22"/>
      <c r="C448" s="127"/>
      <c r="D448" s="22"/>
      <c r="E448" s="22"/>
      <c r="F448" s="22"/>
      <c r="G448" s="22"/>
      <c r="H448" s="22"/>
      <c r="I448" s="22"/>
      <c r="J448" s="22"/>
      <c r="K448" s="127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</row>
    <row r="449">
      <c r="A449" s="127"/>
      <c r="B449" s="22"/>
      <c r="C449" s="127"/>
      <c r="D449" s="22"/>
      <c r="E449" s="22"/>
      <c r="F449" s="22"/>
      <c r="G449" s="22"/>
      <c r="H449" s="22"/>
      <c r="I449" s="22"/>
      <c r="J449" s="22"/>
      <c r="K449" s="127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</row>
    <row r="450">
      <c r="A450" s="127"/>
      <c r="B450" s="22"/>
      <c r="C450" s="127"/>
      <c r="D450" s="22"/>
      <c r="E450" s="22"/>
      <c r="F450" s="22"/>
      <c r="G450" s="22"/>
      <c r="H450" s="22"/>
      <c r="I450" s="22"/>
      <c r="J450" s="22"/>
      <c r="K450" s="127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</row>
    <row r="451">
      <c r="A451" s="127"/>
      <c r="B451" s="22"/>
      <c r="C451" s="127"/>
      <c r="D451" s="22"/>
      <c r="E451" s="22"/>
      <c r="F451" s="22"/>
      <c r="G451" s="22"/>
      <c r="H451" s="22"/>
      <c r="I451" s="22"/>
      <c r="J451" s="22"/>
      <c r="K451" s="127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</row>
    <row r="452">
      <c r="A452" s="127"/>
      <c r="B452" s="22"/>
      <c r="C452" s="127"/>
      <c r="D452" s="22"/>
      <c r="E452" s="22"/>
      <c r="F452" s="22"/>
      <c r="G452" s="22"/>
      <c r="H452" s="22"/>
      <c r="I452" s="22"/>
      <c r="J452" s="22"/>
      <c r="K452" s="127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</row>
    <row r="453">
      <c r="A453" s="127"/>
      <c r="B453" s="22"/>
      <c r="C453" s="127"/>
      <c r="D453" s="22"/>
      <c r="E453" s="22"/>
      <c r="F453" s="22"/>
      <c r="G453" s="22"/>
      <c r="H453" s="22"/>
      <c r="I453" s="22"/>
      <c r="J453" s="22"/>
      <c r="K453" s="127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</row>
    <row r="454">
      <c r="A454" s="127"/>
      <c r="B454" s="22"/>
      <c r="C454" s="127"/>
      <c r="D454" s="22"/>
      <c r="E454" s="22"/>
      <c r="F454" s="22"/>
      <c r="G454" s="22"/>
      <c r="H454" s="22"/>
      <c r="I454" s="22"/>
      <c r="J454" s="22"/>
      <c r="K454" s="127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</row>
    <row r="455">
      <c r="A455" s="127"/>
      <c r="B455" s="22"/>
      <c r="C455" s="127"/>
      <c r="D455" s="22"/>
      <c r="E455" s="22"/>
      <c r="F455" s="22"/>
      <c r="G455" s="22"/>
      <c r="H455" s="22"/>
      <c r="I455" s="22"/>
      <c r="J455" s="22"/>
      <c r="K455" s="127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</row>
    <row r="456">
      <c r="A456" s="127"/>
      <c r="B456" s="22"/>
      <c r="C456" s="127"/>
      <c r="D456" s="22"/>
      <c r="E456" s="22"/>
      <c r="F456" s="22"/>
      <c r="G456" s="22"/>
      <c r="H456" s="22"/>
      <c r="I456" s="22"/>
      <c r="J456" s="22"/>
      <c r="K456" s="127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</row>
    <row r="457">
      <c r="A457" s="127"/>
      <c r="B457" s="22"/>
      <c r="C457" s="127"/>
      <c r="D457" s="22"/>
      <c r="E457" s="22"/>
      <c r="F457" s="22"/>
      <c r="G457" s="22"/>
      <c r="H457" s="22"/>
      <c r="I457" s="22"/>
      <c r="J457" s="22"/>
      <c r="K457" s="127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</row>
    <row r="458">
      <c r="A458" s="127"/>
      <c r="B458" s="22"/>
      <c r="C458" s="127"/>
      <c r="D458" s="22"/>
      <c r="E458" s="22"/>
      <c r="F458" s="22"/>
      <c r="G458" s="22"/>
      <c r="H458" s="22"/>
      <c r="I458" s="22"/>
      <c r="J458" s="22"/>
      <c r="K458" s="127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</row>
    <row r="459">
      <c r="A459" s="127"/>
      <c r="B459" s="22"/>
      <c r="C459" s="127"/>
      <c r="D459" s="22"/>
      <c r="E459" s="22"/>
      <c r="F459" s="22"/>
      <c r="G459" s="22"/>
      <c r="H459" s="22"/>
      <c r="I459" s="22"/>
      <c r="J459" s="22"/>
      <c r="K459" s="127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</row>
    <row r="460">
      <c r="A460" s="127"/>
      <c r="B460" s="22"/>
      <c r="C460" s="127"/>
      <c r="D460" s="22"/>
      <c r="E460" s="22"/>
      <c r="F460" s="22"/>
      <c r="G460" s="22"/>
      <c r="H460" s="22"/>
      <c r="I460" s="22"/>
      <c r="J460" s="22"/>
      <c r="K460" s="127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</row>
    <row r="461">
      <c r="A461" s="127"/>
      <c r="B461" s="22"/>
      <c r="C461" s="127"/>
      <c r="D461" s="22"/>
      <c r="E461" s="22"/>
      <c r="F461" s="22"/>
      <c r="G461" s="22"/>
      <c r="H461" s="22"/>
      <c r="I461" s="22"/>
      <c r="J461" s="22"/>
      <c r="K461" s="127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</row>
    <row r="462">
      <c r="A462" s="127"/>
      <c r="B462" s="22"/>
      <c r="C462" s="127"/>
      <c r="D462" s="22"/>
      <c r="E462" s="22"/>
      <c r="F462" s="22"/>
      <c r="G462" s="22"/>
      <c r="H462" s="22"/>
      <c r="I462" s="22"/>
      <c r="J462" s="22"/>
      <c r="K462" s="127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</row>
    <row r="463">
      <c r="A463" s="127"/>
      <c r="B463" s="22"/>
      <c r="C463" s="127"/>
      <c r="D463" s="22"/>
      <c r="E463" s="22"/>
      <c r="F463" s="22"/>
      <c r="G463" s="22"/>
      <c r="H463" s="22"/>
      <c r="I463" s="22"/>
      <c r="J463" s="22"/>
      <c r="K463" s="127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</row>
    <row r="464">
      <c r="A464" s="127"/>
      <c r="B464" s="22"/>
      <c r="C464" s="127"/>
      <c r="D464" s="22"/>
      <c r="E464" s="22"/>
      <c r="F464" s="22"/>
      <c r="G464" s="22"/>
      <c r="H464" s="22"/>
      <c r="I464" s="22"/>
      <c r="J464" s="22"/>
      <c r="K464" s="127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</row>
    <row r="465">
      <c r="A465" s="127"/>
      <c r="B465" s="22"/>
      <c r="C465" s="127"/>
      <c r="D465" s="22"/>
      <c r="E465" s="22"/>
      <c r="F465" s="22"/>
      <c r="G465" s="22"/>
      <c r="H465" s="22"/>
      <c r="I465" s="22"/>
      <c r="J465" s="22"/>
      <c r="K465" s="127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</row>
    <row r="466">
      <c r="A466" s="127"/>
      <c r="B466" s="22"/>
      <c r="C466" s="127"/>
      <c r="D466" s="22"/>
      <c r="E466" s="22"/>
      <c r="F466" s="22"/>
      <c r="G466" s="22"/>
      <c r="H466" s="22"/>
      <c r="I466" s="22"/>
      <c r="J466" s="22"/>
      <c r="K466" s="127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</row>
    <row r="467">
      <c r="A467" s="127"/>
      <c r="B467" s="22"/>
      <c r="C467" s="127"/>
      <c r="D467" s="22"/>
      <c r="E467" s="22"/>
      <c r="F467" s="22"/>
      <c r="G467" s="22"/>
      <c r="H467" s="22"/>
      <c r="I467" s="22"/>
      <c r="J467" s="22"/>
      <c r="K467" s="127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</row>
    <row r="468">
      <c r="A468" s="127"/>
      <c r="B468" s="22"/>
      <c r="C468" s="127"/>
      <c r="D468" s="22"/>
      <c r="E468" s="22"/>
      <c r="F468" s="22"/>
      <c r="G468" s="22"/>
      <c r="H468" s="22"/>
      <c r="I468" s="22"/>
      <c r="J468" s="22"/>
      <c r="K468" s="127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</row>
    <row r="469">
      <c r="A469" s="127"/>
      <c r="B469" s="22"/>
      <c r="C469" s="127"/>
      <c r="D469" s="22"/>
      <c r="E469" s="22"/>
      <c r="F469" s="22"/>
      <c r="G469" s="22"/>
      <c r="H469" s="22"/>
      <c r="I469" s="22"/>
      <c r="J469" s="22"/>
      <c r="K469" s="127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</row>
    <row r="470">
      <c r="A470" s="127"/>
      <c r="B470" s="22"/>
      <c r="C470" s="127"/>
      <c r="D470" s="22"/>
      <c r="E470" s="22"/>
      <c r="F470" s="22"/>
      <c r="G470" s="22"/>
      <c r="H470" s="22"/>
      <c r="I470" s="22"/>
      <c r="J470" s="22"/>
      <c r="K470" s="127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</row>
    <row r="471">
      <c r="A471" s="127"/>
      <c r="B471" s="22"/>
      <c r="C471" s="127"/>
      <c r="D471" s="22"/>
      <c r="E471" s="22"/>
      <c r="F471" s="22"/>
      <c r="G471" s="22"/>
      <c r="H471" s="22"/>
      <c r="I471" s="22"/>
      <c r="J471" s="22"/>
      <c r="K471" s="127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</row>
    <row r="472">
      <c r="A472" s="127"/>
      <c r="B472" s="22"/>
      <c r="C472" s="127"/>
      <c r="D472" s="22"/>
      <c r="E472" s="22"/>
      <c r="F472" s="22"/>
      <c r="G472" s="22"/>
      <c r="H472" s="22"/>
      <c r="I472" s="22"/>
      <c r="J472" s="22"/>
      <c r="K472" s="127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</row>
    <row r="473">
      <c r="A473" s="127"/>
      <c r="B473" s="22"/>
      <c r="C473" s="127"/>
      <c r="D473" s="22"/>
      <c r="E473" s="22"/>
      <c r="F473" s="22"/>
      <c r="G473" s="22"/>
      <c r="H473" s="22"/>
      <c r="I473" s="22"/>
      <c r="J473" s="22"/>
      <c r="K473" s="127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</row>
    <row r="474">
      <c r="A474" s="127"/>
      <c r="B474" s="22"/>
      <c r="C474" s="127"/>
      <c r="D474" s="22"/>
      <c r="E474" s="22"/>
      <c r="F474" s="22"/>
      <c r="G474" s="22"/>
      <c r="H474" s="22"/>
      <c r="I474" s="22"/>
      <c r="J474" s="22"/>
      <c r="K474" s="127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</row>
    <row r="475">
      <c r="A475" s="127"/>
      <c r="B475" s="22"/>
      <c r="C475" s="127"/>
      <c r="D475" s="22"/>
      <c r="E475" s="22"/>
      <c r="F475" s="22"/>
      <c r="G475" s="22"/>
      <c r="H475" s="22"/>
      <c r="I475" s="22"/>
      <c r="J475" s="22"/>
      <c r="K475" s="127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</row>
    <row r="476">
      <c r="A476" s="127"/>
      <c r="B476" s="22"/>
      <c r="C476" s="127"/>
      <c r="D476" s="22"/>
      <c r="E476" s="22"/>
      <c r="F476" s="22"/>
      <c r="G476" s="22"/>
      <c r="H476" s="22"/>
      <c r="I476" s="22"/>
      <c r="J476" s="22"/>
      <c r="K476" s="127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</row>
    <row r="477">
      <c r="A477" s="127"/>
      <c r="B477" s="22"/>
      <c r="C477" s="127"/>
      <c r="D477" s="22"/>
      <c r="E477" s="22"/>
      <c r="F477" s="22"/>
      <c r="G477" s="22"/>
      <c r="H477" s="22"/>
      <c r="I477" s="22"/>
      <c r="J477" s="22"/>
      <c r="K477" s="127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</row>
    <row r="478">
      <c r="A478" s="127"/>
      <c r="B478" s="22"/>
      <c r="C478" s="127"/>
      <c r="D478" s="22"/>
      <c r="E478" s="22"/>
      <c r="F478" s="22"/>
      <c r="G478" s="22"/>
      <c r="H478" s="22"/>
      <c r="I478" s="22"/>
      <c r="J478" s="22"/>
      <c r="K478" s="127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</row>
    <row r="479">
      <c r="A479" s="127"/>
      <c r="B479" s="22"/>
      <c r="C479" s="127"/>
      <c r="D479" s="22"/>
      <c r="E479" s="22"/>
      <c r="F479" s="22"/>
      <c r="G479" s="22"/>
      <c r="H479" s="22"/>
      <c r="I479" s="22"/>
      <c r="J479" s="22"/>
      <c r="K479" s="127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</row>
    <row r="480">
      <c r="A480" s="127"/>
      <c r="B480" s="22"/>
      <c r="C480" s="127"/>
      <c r="D480" s="22"/>
      <c r="E480" s="22"/>
      <c r="F480" s="22"/>
      <c r="G480" s="22"/>
      <c r="H480" s="22"/>
      <c r="I480" s="22"/>
      <c r="J480" s="22"/>
      <c r="K480" s="127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</row>
    <row r="481">
      <c r="A481" s="127"/>
      <c r="B481" s="22"/>
      <c r="C481" s="127"/>
      <c r="D481" s="22"/>
      <c r="E481" s="22"/>
      <c r="F481" s="22"/>
      <c r="G481" s="22"/>
      <c r="H481" s="22"/>
      <c r="I481" s="22"/>
      <c r="J481" s="22"/>
      <c r="K481" s="127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</row>
    <row r="482">
      <c r="A482" s="127"/>
      <c r="B482" s="22"/>
      <c r="C482" s="127"/>
      <c r="D482" s="22"/>
      <c r="E482" s="22"/>
      <c r="F482" s="22"/>
      <c r="G482" s="22"/>
      <c r="H482" s="22"/>
      <c r="I482" s="22"/>
      <c r="J482" s="22"/>
      <c r="K482" s="127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</row>
    <row r="483">
      <c r="A483" s="127"/>
      <c r="B483" s="22"/>
      <c r="C483" s="127"/>
      <c r="D483" s="22"/>
      <c r="E483" s="22"/>
      <c r="F483" s="22"/>
      <c r="G483" s="22"/>
      <c r="H483" s="22"/>
      <c r="I483" s="22"/>
      <c r="J483" s="22"/>
      <c r="K483" s="127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</row>
    <row r="484">
      <c r="A484" s="127"/>
      <c r="B484" s="22"/>
      <c r="C484" s="127"/>
      <c r="D484" s="22"/>
      <c r="E484" s="22"/>
      <c r="F484" s="22"/>
      <c r="G484" s="22"/>
      <c r="H484" s="22"/>
      <c r="I484" s="22"/>
      <c r="J484" s="22"/>
      <c r="K484" s="127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</row>
    <row r="485">
      <c r="A485" s="127"/>
      <c r="B485" s="22"/>
      <c r="C485" s="127"/>
      <c r="D485" s="22"/>
      <c r="E485" s="22"/>
      <c r="F485" s="22"/>
      <c r="G485" s="22"/>
      <c r="H485" s="22"/>
      <c r="I485" s="22"/>
      <c r="J485" s="22"/>
      <c r="K485" s="127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</row>
    <row r="486">
      <c r="A486" s="127"/>
      <c r="B486" s="22"/>
      <c r="C486" s="127"/>
      <c r="D486" s="22"/>
      <c r="E486" s="22"/>
      <c r="F486" s="22"/>
      <c r="G486" s="22"/>
      <c r="H486" s="22"/>
      <c r="I486" s="22"/>
      <c r="J486" s="22"/>
      <c r="K486" s="127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</row>
    <row r="487">
      <c r="A487" s="127"/>
      <c r="B487" s="22"/>
      <c r="C487" s="127"/>
      <c r="D487" s="22"/>
      <c r="E487" s="22"/>
      <c r="F487" s="22"/>
      <c r="G487" s="22"/>
      <c r="H487" s="22"/>
      <c r="I487" s="22"/>
      <c r="J487" s="22"/>
      <c r="K487" s="127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</row>
    <row r="488">
      <c r="A488" s="127"/>
      <c r="B488" s="22"/>
      <c r="C488" s="127"/>
      <c r="D488" s="22"/>
      <c r="E488" s="22"/>
      <c r="F488" s="22"/>
      <c r="G488" s="22"/>
      <c r="H488" s="22"/>
      <c r="I488" s="22"/>
      <c r="J488" s="22"/>
      <c r="K488" s="127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</row>
    <row r="489">
      <c r="A489" s="127"/>
      <c r="B489" s="22"/>
      <c r="C489" s="127"/>
      <c r="D489" s="22"/>
      <c r="E489" s="22"/>
      <c r="F489" s="22"/>
      <c r="G489" s="22"/>
      <c r="H489" s="22"/>
      <c r="I489" s="22"/>
      <c r="J489" s="22"/>
      <c r="K489" s="127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</row>
    <row r="490">
      <c r="A490" s="127"/>
      <c r="B490" s="22"/>
      <c r="C490" s="127"/>
      <c r="D490" s="22"/>
      <c r="E490" s="22"/>
      <c r="F490" s="22"/>
      <c r="G490" s="22"/>
      <c r="H490" s="22"/>
      <c r="I490" s="22"/>
      <c r="J490" s="22"/>
      <c r="K490" s="127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>
      <c r="A491" s="127"/>
      <c r="B491" s="22"/>
      <c r="C491" s="127"/>
      <c r="D491" s="22"/>
      <c r="E491" s="22"/>
      <c r="F491" s="22"/>
      <c r="G491" s="22"/>
      <c r="H491" s="22"/>
      <c r="I491" s="22"/>
      <c r="J491" s="22"/>
      <c r="K491" s="127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>
      <c r="A492" s="127"/>
      <c r="B492" s="22"/>
      <c r="C492" s="127"/>
      <c r="D492" s="22"/>
      <c r="E492" s="22"/>
      <c r="F492" s="22"/>
      <c r="G492" s="22"/>
      <c r="H492" s="22"/>
      <c r="I492" s="22"/>
      <c r="J492" s="22"/>
      <c r="K492" s="127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>
      <c r="A493" s="127"/>
      <c r="B493" s="22"/>
      <c r="C493" s="127"/>
      <c r="D493" s="22"/>
      <c r="E493" s="22"/>
      <c r="F493" s="22"/>
      <c r="G493" s="22"/>
      <c r="H493" s="22"/>
      <c r="I493" s="22"/>
      <c r="J493" s="22"/>
      <c r="K493" s="127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>
      <c r="A494" s="127"/>
      <c r="B494" s="22"/>
      <c r="C494" s="127"/>
      <c r="D494" s="22"/>
      <c r="E494" s="22"/>
      <c r="F494" s="22"/>
      <c r="G494" s="22"/>
      <c r="H494" s="22"/>
      <c r="I494" s="22"/>
      <c r="J494" s="22"/>
      <c r="K494" s="127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>
      <c r="A495" s="127"/>
      <c r="B495" s="22"/>
      <c r="C495" s="127"/>
      <c r="D495" s="22"/>
      <c r="E495" s="22"/>
      <c r="F495" s="22"/>
      <c r="G495" s="22"/>
      <c r="H495" s="22"/>
      <c r="I495" s="22"/>
      <c r="J495" s="22"/>
      <c r="K495" s="127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>
      <c r="A496" s="127"/>
      <c r="B496" s="22"/>
      <c r="C496" s="127"/>
      <c r="D496" s="22"/>
      <c r="E496" s="22"/>
      <c r="F496" s="22"/>
      <c r="G496" s="22"/>
      <c r="H496" s="22"/>
      <c r="I496" s="22"/>
      <c r="J496" s="22"/>
      <c r="K496" s="127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>
      <c r="A497" s="127"/>
      <c r="B497" s="22"/>
      <c r="C497" s="127"/>
      <c r="D497" s="22"/>
      <c r="E497" s="22"/>
      <c r="F497" s="22"/>
      <c r="G497" s="22"/>
      <c r="H497" s="22"/>
      <c r="I497" s="22"/>
      <c r="J497" s="22"/>
      <c r="K497" s="127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>
      <c r="A498" s="127"/>
      <c r="B498" s="22"/>
      <c r="C498" s="127"/>
      <c r="D498" s="22"/>
      <c r="E498" s="22"/>
      <c r="F498" s="22"/>
      <c r="G498" s="22"/>
      <c r="H498" s="22"/>
      <c r="I498" s="22"/>
      <c r="J498" s="22"/>
      <c r="K498" s="127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>
      <c r="A499" s="127"/>
      <c r="B499" s="22"/>
      <c r="C499" s="127"/>
      <c r="D499" s="22"/>
      <c r="E499" s="22"/>
      <c r="F499" s="22"/>
      <c r="G499" s="22"/>
      <c r="H499" s="22"/>
      <c r="I499" s="22"/>
      <c r="J499" s="22"/>
      <c r="K499" s="127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>
      <c r="A500" s="127"/>
      <c r="B500" s="22"/>
      <c r="C500" s="127"/>
      <c r="D500" s="22"/>
      <c r="E500" s="22"/>
      <c r="F500" s="22"/>
      <c r="G500" s="22"/>
      <c r="H500" s="22"/>
      <c r="I500" s="22"/>
      <c r="J500" s="22"/>
      <c r="K500" s="127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>
      <c r="A501" s="127"/>
      <c r="B501" s="22"/>
      <c r="C501" s="127"/>
      <c r="D501" s="22"/>
      <c r="E501" s="22"/>
      <c r="F501" s="22"/>
      <c r="G501" s="22"/>
      <c r="H501" s="22"/>
      <c r="I501" s="22"/>
      <c r="J501" s="22"/>
      <c r="K501" s="127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>
      <c r="A502" s="127"/>
      <c r="B502" s="22"/>
      <c r="C502" s="127"/>
      <c r="D502" s="22"/>
      <c r="E502" s="22"/>
      <c r="F502" s="22"/>
      <c r="G502" s="22"/>
      <c r="H502" s="22"/>
      <c r="I502" s="22"/>
      <c r="J502" s="22"/>
      <c r="K502" s="127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>
      <c r="A503" s="127"/>
      <c r="B503" s="22"/>
      <c r="C503" s="127"/>
      <c r="D503" s="22"/>
      <c r="E503" s="22"/>
      <c r="F503" s="22"/>
      <c r="G503" s="22"/>
      <c r="H503" s="22"/>
      <c r="I503" s="22"/>
      <c r="J503" s="22"/>
      <c r="K503" s="127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>
      <c r="A504" s="127"/>
      <c r="B504" s="22"/>
      <c r="C504" s="127"/>
      <c r="D504" s="22"/>
      <c r="E504" s="22"/>
      <c r="F504" s="22"/>
      <c r="G504" s="22"/>
      <c r="H504" s="22"/>
      <c r="I504" s="22"/>
      <c r="J504" s="22"/>
      <c r="K504" s="127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>
      <c r="A505" s="127"/>
      <c r="B505" s="22"/>
      <c r="C505" s="127"/>
      <c r="D505" s="22"/>
      <c r="E505" s="22"/>
      <c r="F505" s="22"/>
      <c r="G505" s="22"/>
      <c r="H505" s="22"/>
      <c r="I505" s="22"/>
      <c r="J505" s="22"/>
      <c r="K505" s="127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>
      <c r="A506" s="127"/>
      <c r="B506" s="22"/>
      <c r="C506" s="127"/>
      <c r="D506" s="22"/>
      <c r="E506" s="22"/>
      <c r="F506" s="22"/>
      <c r="G506" s="22"/>
      <c r="H506" s="22"/>
      <c r="I506" s="22"/>
      <c r="J506" s="22"/>
      <c r="K506" s="127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>
      <c r="A507" s="127"/>
      <c r="B507" s="22"/>
      <c r="C507" s="127"/>
      <c r="D507" s="22"/>
      <c r="E507" s="22"/>
      <c r="F507" s="22"/>
      <c r="G507" s="22"/>
      <c r="H507" s="22"/>
      <c r="I507" s="22"/>
      <c r="J507" s="22"/>
      <c r="K507" s="127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>
      <c r="A508" s="127"/>
      <c r="B508" s="22"/>
      <c r="C508" s="127"/>
      <c r="D508" s="22"/>
      <c r="E508" s="22"/>
      <c r="F508" s="22"/>
      <c r="G508" s="22"/>
      <c r="H508" s="22"/>
      <c r="I508" s="22"/>
      <c r="J508" s="22"/>
      <c r="K508" s="127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>
      <c r="A509" s="127"/>
      <c r="B509" s="22"/>
      <c r="C509" s="127"/>
      <c r="D509" s="22"/>
      <c r="E509" s="22"/>
      <c r="F509" s="22"/>
      <c r="G509" s="22"/>
      <c r="H509" s="22"/>
      <c r="I509" s="22"/>
      <c r="J509" s="22"/>
      <c r="K509" s="127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>
      <c r="A510" s="127"/>
      <c r="B510" s="22"/>
      <c r="C510" s="127"/>
      <c r="D510" s="22"/>
      <c r="E510" s="22"/>
      <c r="F510" s="22"/>
      <c r="G510" s="22"/>
      <c r="H510" s="22"/>
      <c r="I510" s="22"/>
      <c r="J510" s="22"/>
      <c r="K510" s="127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>
      <c r="A511" s="127"/>
      <c r="B511" s="22"/>
      <c r="C511" s="127"/>
      <c r="D511" s="22"/>
      <c r="E511" s="22"/>
      <c r="F511" s="22"/>
      <c r="G511" s="22"/>
      <c r="H511" s="22"/>
      <c r="I511" s="22"/>
      <c r="J511" s="22"/>
      <c r="K511" s="127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>
      <c r="A512" s="127"/>
      <c r="B512" s="22"/>
      <c r="C512" s="127"/>
      <c r="D512" s="22"/>
      <c r="E512" s="22"/>
      <c r="F512" s="22"/>
      <c r="G512" s="22"/>
      <c r="H512" s="22"/>
      <c r="I512" s="22"/>
      <c r="J512" s="22"/>
      <c r="K512" s="127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>
      <c r="A513" s="127"/>
      <c r="B513" s="22"/>
      <c r="C513" s="127"/>
      <c r="D513" s="22"/>
      <c r="E513" s="22"/>
      <c r="F513" s="22"/>
      <c r="G513" s="22"/>
      <c r="H513" s="22"/>
      <c r="I513" s="22"/>
      <c r="J513" s="22"/>
      <c r="K513" s="127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>
      <c r="A514" s="127"/>
      <c r="B514" s="22"/>
      <c r="C514" s="127"/>
      <c r="D514" s="22"/>
      <c r="E514" s="22"/>
      <c r="F514" s="22"/>
      <c r="G514" s="22"/>
      <c r="H514" s="22"/>
      <c r="I514" s="22"/>
      <c r="J514" s="22"/>
      <c r="K514" s="127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>
      <c r="A515" s="127"/>
      <c r="B515" s="22"/>
      <c r="C515" s="127"/>
      <c r="D515" s="22"/>
      <c r="E515" s="22"/>
      <c r="F515" s="22"/>
      <c r="G515" s="22"/>
      <c r="H515" s="22"/>
      <c r="I515" s="22"/>
      <c r="J515" s="22"/>
      <c r="K515" s="127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>
      <c r="A516" s="127"/>
      <c r="B516" s="22"/>
      <c r="C516" s="127"/>
      <c r="D516" s="22"/>
      <c r="E516" s="22"/>
      <c r="F516" s="22"/>
      <c r="G516" s="22"/>
      <c r="H516" s="22"/>
      <c r="I516" s="22"/>
      <c r="J516" s="22"/>
      <c r="K516" s="127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>
      <c r="A517" s="127"/>
      <c r="B517" s="22"/>
      <c r="C517" s="127"/>
      <c r="D517" s="22"/>
      <c r="E517" s="22"/>
      <c r="F517" s="22"/>
      <c r="G517" s="22"/>
      <c r="H517" s="22"/>
      <c r="I517" s="22"/>
      <c r="J517" s="22"/>
      <c r="K517" s="127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>
      <c r="A518" s="127"/>
      <c r="B518" s="22"/>
      <c r="C518" s="127"/>
      <c r="D518" s="22"/>
      <c r="E518" s="22"/>
      <c r="F518" s="22"/>
      <c r="G518" s="22"/>
      <c r="H518" s="22"/>
      <c r="I518" s="22"/>
      <c r="J518" s="22"/>
      <c r="K518" s="127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>
      <c r="A519" s="127"/>
      <c r="B519" s="22"/>
      <c r="C519" s="127"/>
      <c r="D519" s="22"/>
      <c r="E519" s="22"/>
      <c r="F519" s="22"/>
      <c r="G519" s="22"/>
      <c r="H519" s="22"/>
      <c r="I519" s="22"/>
      <c r="J519" s="22"/>
      <c r="K519" s="127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>
      <c r="A520" s="127"/>
      <c r="B520" s="22"/>
      <c r="C520" s="127"/>
      <c r="D520" s="22"/>
      <c r="E520" s="22"/>
      <c r="F520" s="22"/>
      <c r="G520" s="22"/>
      <c r="H520" s="22"/>
      <c r="I520" s="22"/>
      <c r="J520" s="22"/>
      <c r="K520" s="127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>
      <c r="A521" s="127"/>
      <c r="B521" s="22"/>
      <c r="C521" s="127"/>
      <c r="D521" s="22"/>
      <c r="E521" s="22"/>
      <c r="F521" s="22"/>
      <c r="G521" s="22"/>
      <c r="H521" s="22"/>
      <c r="I521" s="22"/>
      <c r="J521" s="22"/>
      <c r="K521" s="127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>
      <c r="A522" s="127"/>
      <c r="B522" s="22"/>
      <c r="C522" s="127"/>
      <c r="D522" s="22"/>
      <c r="E522" s="22"/>
      <c r="F522" s="22"/>
      <c r="G522" s="22"/>
      <c r="H522" s="22"/>
      <c r="I522" s="22"/>
      <c r="J522" s="22"/>
      <c r="K522" s="127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>
      <c r="A523" s="127"/>
      <c r="B523" s="22"/>
      <c r="C523" s="127"/>
      <c r="D523" s="22"/>
      <c r="E523" s="22"/>
      <c r="F523" s="22"/>
      <c r="G523" s="22"/>
      <c r="H523" s="22"/>
      <c r="I523" s="22"/>
      <c r="J523" s="22"/>
      <c r="K523" s="127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>
      <c r="A524" s="127"/>
      <c r="B524" s="22"/>
      <c r="C524" s="127"/>
      <c r="D524" s="22"/>
      <c r="E524" s="22"/>
      <c r="F524" s="22"/>
      <c r="G524" s="22"/>
      <c r="H524" s="22"/>
      <c r="I524" s="22"/>
      <c r="J524" s="22"/>
      <c r="K524" s="127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>
      <c r="A525" s="127"/>
      <c r="B525" s="22"/>
      <c r="C525" s="127"/>
      <c r="D525" s="22"/>
      <c r="E525" s="22"/>
      <c r="F525" s="22"/>
      <c r="G525" s="22"/>
      <c r="H525" s="22"/>
      <c r="I525" s="22"/>
      <c r="J525" s="22"/>
      <c r="K525" s="127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>
      <c r="A526" s="127"/>
      <c r="B526" s="22"/>
      <c r="C526" s="127"/>
      <c r="D526" s="22"/>
      <c r="E526" s="22"/>
      <c r="F526" s="22"/>
      <c r="G526" s="22"/>
      <c r="H526" s="22"/>
      <c r="I526" s="22"/>
      <c r="J526" s="22"/>
      <c r="K526" s="127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>
      <c r="A527" s="127"/>
      <c r="B527" s="22"/>
      <c r="C527" s="127"/>
      <c r="D527" s="22"/>
      <c r="E527" s="22"/>
      <c r="F527" s="22"/>
      <c r="G527" s="22"/>
      <c r="H527" s="22"/>
      <c r="I527" s="22"/>
      <c r="J527" s="22"/>
      <c r="K527" s="127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>
      <c r="A528" s="127"/>
      <c r="B528" s="22"/>
      <c r="C528" s="127"/>
      <c r="D528" s="22"/>
      <c r="E528" s="22"/>
      <c r="F528" s="22"/>
      <c r="G528" s="22"/>
      <c r="H528" s="22"/>
      <c r="I528" s="22"/>
      <c r="J528" s="22"/>
      <c r="K528" s="127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>
      <c r="A529" s="127"/>
      <c r="B529" s="22"/>
      <c r="C529" s="127"/>
      <c r="D529" s="22"/>
      <c r="E529" s="22"/>
      <c r="F529" s="22"/>
      <c r="G529" s="22"/>
      <c r="H529" s="22"/>
      <c r="I529" s="22"/>
      <c r="J529" s="22"/>
      <c r="K529" s="127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>
      <c r="A530" s="127"/>
      <c r="B530" s="22"/>
      <c r="C530" s="127"/>
      <c r="D530" s="22"/>
      <c r="E530" s="22"/>
      <c r="F530" s="22"/>
      <c r="G530" s="22"/>
      <c r="H530" s="22"/>
      <c r="I530" s="22"/>
      <c r="J530" s="22"/>
      <c r="K530" s="127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>
      <c r="A531" s="127"/>
      <c r="B531" s="22"/>
      <c r="C531" s="127"/>
      <c r="D531" s="22"/>
      <c r="E531" s="22"/>
      <c r="F531" s="22"/>
      <c r="G531" s="22"/>
      <c r="H531" s="22"/>
      <c r="I531" s="22"/>
      <c r="J531" s="22"/>
      <c r="K531" s="127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>
      <c r="A532" s="127"/>
      <c r="B532" s="22"/>
      <c r="C532" s="127"/>
      <c r="D532" s="22"/>
      <c r="E532" s="22"/>
      <c r="F532" s="22"/>
      <c r="G532" s="22"/>
      <c r="H532" s="22"/>
      <c r="I532" s="22"/>
      <c r="J532" s="22"/>
      <c r="K532" s="127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>
      <c r="A533" s="127"/>
      <c r="B533" s="22"/>
      <c r="C533" s="127"/>
      <c r="D533" s="22"/>
      <c r="E533" s="22"/>
      <c r="F533" s="22"/>
      <c r="G533" s="22"/>
      <c r="H533" s="22"/>
      <c r="I533" s="22"/>
      <c r="J533" s="22"/>
      <c r="K533" s="127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>
      <c r="A534" s="127"/>
      <c r="B534" s="22"/>
      <c r="C534" s="127"/>
      <c r="D534" s="22"/>
      <c r="E534" s="22"/>
      <c r="F534" s="22"/>
      <c r="G534" s="22"/>
      <c r="H534" s="22"/>
      <c r="I534" s="22"/>
      <c r="J534" s="22"/>
      <c r="K534" s="127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>
      <c r="A535" s="127"/>
      <c r="B535" s="22"/>
      <c r="C535" s="127"/>
      <c r="D535" s="22"/>
      <c r="E535" s="22"/>
      <c r="F535" s="22"/>
      <c r="G535" s="22"/>
      <c r="H535" s="22"/>
      <c r="I535" s="22"/>
      <c r="J535" s="22"/>
      <c r="K535" s="127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>
      <c r="A536" s="127"/>
      <c r="B536" s="22"/>
      <c r="C536" s="127"/>
      <c r="D536" s="22"/>
      <c r="E536" s="22"/>
      <c r="F536" s="22"/>
      <c r="G536" s="22"/>
      <c r="H536" s="22"/>
      <c r="I536" s="22"/>
      <c r="J536" s="22"/>
      <c r="K536" s="127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>
      <c r="A537" s="127"/>
      <c r="B537" s="22"/>
      <c r="C537" s="127"/>
      <c r="D537" s="22"/>
      <c r="E537" s="22"/>
      <c r="F537" s="22"/>
      <c r="G537" s="22"/>
      <c r="H537" s="22"/>
      <c r="I537" s="22"/>
      <c r="J537" s="22"/>
      <c r="K537" s="127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>
      <c r="A538" s="127"/>
      <c r="B538" s="22"/>
      <c r="C538" s="127"/>
      <c r="D538" s="22"/>
      <c r="E538" s="22"/>
      <c r="F538" s="22"/>
      <c r="G538" s="22"/>
      <c r="H538" s="22"/>
      <c r="I538" s="22"/>
      <c r="J538" s="22"/>
      <c r="K538" s="127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>
      <c r="A539" s="127"/>
      <c r="B539" s="22"/>
      <c r="C539" s="127"/>
      <c r="D539" s="22"/>
      <c r="E539" s="22"/>
      <c r="F539" s="22"/>
      <c r="G539" s="22"/>
      <c r="H539" s="22"/>
      <c r="I539" s="22"/>
      <c r="J539" s="22"/>
      <c r="K539" s="127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>
      <c r="A540" s="127"/>
      <c r="B540" s="22"/>
      <c r="C540" s="127"/>
      <c r="D540" s="22"/>
      <c r="E540" s="22"/>
      <c r="F540" s="22"/>
      <c r="G540" s="22"/>
      <c r="H540" s="22"/>
      <c r="I540" s="22"/>
      <c r="J540" s="22"/>
      <c r="K540" s="127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>
      <c r="A541" s="127"/>
      <c r="B541" s="22"/>
      <c r="C541" s="127"/>
      <c r="D541" s="22"/>
      <c r="E541" s="22"/>
      <c r="F541" s="22"/>
      <c r="G541" s="22"/>
      <c r="H541" s="22"/>
      <c r="I541" s="22"/>
      <c r="J541" s="22"/>
      <c r="K541" s="127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>
      <c r="A542" s="127"/>
      <c r="B542" s="22"/>
      <c r="C542" s="127"/>
      <c r="D542" s="22"/>
      <c r="E542" s="22"/>
      <c r="F542" s="22"/>
      <c r="G542" s="22"/>
      <c r="H542" s="22"/>
      <c r="I542" s="22"/>
      <c r="J542" s="22"/>
      <c r="K542" s="127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>
      <c r="A543" s="127"/>
      <c r="B543" s="22"/>
      <c r="C543" s="127"/>
      <c r="D543" s="22"/>
      <c r="E543" s="22"/>
      <c r="F543" s="22"/>
      <c r="G543" s="22"/>
      <c r="H543" s="22"/>
      <c r="I543" s="22"/>
      <c r="J543" s="22"/>
      <c r="K543" s="127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>
      <c r="A544" s="127"/>
      <c r="B544" s="22"/>
      <c r="C544" s="127"/>
      <c r="D544" s="22"/>
      <c r="E544" s="22"/>
      <c r="F544" s="22"/>
      <c r="G544" s="22"/>
      <c r="H544" s="22"/>
      <c r="I544" s="22"/>
      <c r="J544" s="22"/>
      <c r="K544" s="127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>
      <c r="A545" s="127"/>
      <c r="B545" s="22"/>
      <c r="C545" s="127"/>
      <c r="D545" s="22"/>
      <c r="E545" s="22"/>
      <c r="F545" s="22"/>
      <c r="G545" s="22"/>
      <c r="H545" s="22"/>
      <c r="I545" s="22"/>
      <c r="J545" s="22"/>
      <c r="K545" s="127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>
      <c r="A546" s="127"/>
      <c r="B546" s="22"/>
      <c r="C546" s="127"/>
      <c r="D546" s="22"/>
      <c r="E546" s="22"/>
      <c r="F546" s="22"/>
      <c r="G546" s="22"/>
      <c r="H546" s="22"/>
      <c r="I546" s="22"/>
      <c r="J546" s="22"/>
      <c r="K546" s="127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>
      <c r="A547" s="127"/>
      <c r="B547" s="22"/>
      <c r="C547" s="127"/>
      <c r="D547" s="22"/>
      <c r="E547" s="22"/>
      <c r="F547" s="22"/>
      <c r="G547" s="22"/>
      <c r="H547" s="22"/>
      <c r="I547" s="22"/>
      <c r="J547" s="22"/>
      <c r="K547" s="127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>
      <c r="A548" s="127"/>
      <c r="B548" s="22"/>
      <c r="C548" s="127"/>
      <c r="D548" s="22"/>
      <c r="E548" s="22"/>
      <c r="F548" s="22"/>
      <c r="G548" s="22"/>
      <c r="H548" s="22"/>
      <c r="I548" s="22"/>
      <c r="J548" s="22"/>
      <c r="K548" s="127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>
      <c r="A549" s="127"/>
      <c r="B549" s="22"/>
      <c r="C549" s="127"/>
      <c r="D549" s="22"/>
      <c r="E549" s="22"/>
      <c r="F549" s="22"/>
      <c r="G549" s="22"/>
      <c r="H549" s="22"/>
      <c r="I549" s="22"/>
      <c r="J549" s="22"/>
      <c r="K549" s="127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>
      <c r="A550" s="127"/>
      <c r="B550" s="22"/>
      <c r="C550" s="127"/>
      <c r="D550" s="22"/>
      <c r="E550" s="22"/>
      <c r="F550" s="22"/>
      <c r="G550" s="22"/>
      <c r="H550" s="22"/>
      <c r="I550" s="22"/>
      <c r="J550" s="22"/>
      <c r="K550" s="127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>
      <c r="A551" s="127"/>
      <c r="B551" s="22"/>
      <c r="C551" s="127"/>
      <c r="D551" s="22"/>
      <c r="E551" s="22"/>
      <c r="F551" s="22"/>
      <c r="G551" s="22"/>
      <c r="H551" s="22"/>
      <c r="I551" s="22"/>
      <c r="J551" s="22"/>
      <c r="K551" s="127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>
      <c r="A552" s="127"/>
      <c r="B552" s="22"/>
      <c r="C552" s="127"/>
      <c r="D552" s="22"/>
      <c r="E552" s="22"/>
      <c r="F552" s="22"/>
      <c r="G552" s="22"/>
      <c r="H552" s="22"/>
      <c r="I552" s="22"/>
      <c r="J552" s="22"/>
      <c r="K552" s="127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>
      <c r="A553" s="127"/>
      <c r="B553" s="22"/>
      <c r="C553" s="127"/>
      <c r="D553" s="22"/>
      <c r="E553" s="22"/>
      <c r="F553" s="22"/>
      <c r="G553" s="22"/>
      <c r="H553" s="22"/>
      <c r="I553" s="22"/>
      <c r="J553" s="22"/>
      <c r="K553" s="127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>
      <c r="A554" s="127"/>
      <c r="B554" s="22"/>
      <c r="C554" s="127"/>
      <c r="D554" s="22"/>
      <c r="E554" s="22"/>
      <c r="F554" s="22"/>
      <c r="G554" s="22"/>
      <c r="H554" s="22"/>
      <c r="I554" s="22"/>
      <c r="J554" s="22"/>
      <c r="K554" s="127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>
      <c r="A555" s="127"/>
      <c r="B555" s="22"/>
      <c r="C555" s="127"/>
      <c r="D555" s="22"/>
      <c r="E555" s="22"/>
      <c r="F555" s="22"/>
      <c r="G555" s="22"/>
      <c r="H555" s="22"/>
      <c r="I555" s="22"/>
      <c r="J555" s="22"/>
      <c r="K555" s="127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>
      <c r="A556" s="127"/>
      <c r="B556" s="22"/>
      <c r="C556" s="127"/>
      <c r="D556" s="22"/>
      <c r="E556" s="22"/>
      <c r="F556" s="22"/>
      <c r="G556" s="22"/>
      <c r="H556" s="22"/>
      <c r="I556" s="22"/>
      <c r="J556" s="22"/>
      <c r="K556" s="127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>
      <c r="A557" s="127"/>
      <c r="B557" s="22"/>
      <c r="C557" s="127"/>
      <c r="D557" s="22"/>
      <c r="E557" s="22"/>
      <c r="F557" s="22"/>
      <c r="G557" s="22"/>
      <c r="H557" s="22"/>
      <c r="I557" s="22"/>
      <c r="J557" s="22"/>
      <c r="K557" s="127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>
      <c r="A558" s="127"/>
      <c r="B558" s="22"/>
      <c r="C558" s="127"/>
      <c r="D558" s="22"/>
      <c r="E558" s="22"/>
      <c r="F558" s="22"/>
      <c r="G558" s="22"/>
      <c r="H558" s="22"/>
      <c r="I558" s="22"/>
      <c r="J558" s="22"/>
      <c r="K558" s="127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>
      <c r="A559" s="127"/>
      <c r="B559" s="22"/>
      <c r="C559" s="127"/>
      <c r="D559" s="22"/>
      <c r="E559" s="22"/>
      <c r="F559" s="22"/>
      <c r="G559" s="22"/>
      <c r="H559" s="22"/>
      <c r="I559" s="22"/>
      <c r="J559" s="22"/>
      <c r="K559" s="127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>
      <c r="A560" s="127"/>
      <c r="B560" s="22"/>
      <c r="C560" s="127"/>
      <c r="D560" s="22"/>
      <c r="E560" s="22"/>
      <c r="F560" s="22"/>
      <c r="G560" s="22"/>
      <c r="H560" s="22"/>
      <c r="I560" s="22"/>
      <c r="J560" s="22"/>
      <c r="K560" s="127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>
      <c r="A561" s="127"/>
      <c r="B561" s="22"/>
      <c r="C561" s="127"/>
      <c r="D561" s="22"/>
      <c r="E561" s="22"/>
      <c r="F561" s="22"/>
      <c r="G561" s="22"/>
      <c r="H561" s="22"/>
      <c r="I561" s="22"/>
      <c r="J561" s="22"/>
      <c r="K561" s="127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>
      <c r="A562" s="127"/>
      <c r="B562" s="22"/>
      <c r="C562" s="127"/>
      <c r="D562" s="22"/>
      <c r="E562" s="22"/>
      <c r="F562" s="22"/>
      <c r="G562" s="22"/>
      <c r="H562" s="22"/>
      <c r="I562" s="22"/>
      <c r="J562" s="22"/>
      <c r="K562" s="127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>
      <c r="A563" s="127"/>
      <c r="B563" s="22"/>
      <c r="C563" s="127"/>
      <c r="D563" s="22"/>
      <c r="E563" s="22"/>
      <c r="F563" s="22"/>
      <c r="G563" s="22"/>
      <c r="H563" s="22"/>
      <c r="I563" s="22"/>
      <c r="J563" s="22"/>
      <c r="K563" s="127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>
      <c r="A564" s="127"/>
      <c r="B564" s="22"/>
      <c r="C564" s="127"/>
      <c r="D564" s="22"/>
      <c r="E564" s="22"/>
      <c r="F564" s="22"/>
      <c r="G564" s="22"/>
      <c r="H564" s="22"/>
      <c r="I564" s="22"/>
      <c r="J564" s="22"/>
      <c r="K564" s="127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>
      <c r="A565" s="127"/>
      <c r="B565" s="22"/>
      <c r="C565" s="127"/>
      <c r="D565" s="22"/>
      <c r="E565" s="22"/>
      <c r="F565" s="22"/>
      <c r="G565" s="22"/>
      <c r="H565" s="22"/>
      <c r="I565" s="22"/>
      <c r="J565" s="22"/>
      <c r="K565" s="127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>
      <c r="A566" s="127"/>
      <c r="B566" s="22"/>
      <c r="C566" s="127"/>
      <c r="D566" s="22"/>
      <c r="E566" s="22"/>
      <c r="F566" s="22"/>
      <c r="G566" s="22"/>
      <c r="H566" s="22"/>
      <c r="I566" s="22"/>
      <c r="J566" s="22"/>
      <c r="K566" s="127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>
      <c r="A567" s="127"/>
      <c r="B567" s="22"/>
      <c r="C567" s="127"/>
      <c r="D567" s="22"/>
      <c r="E567" s="22"/>
      <c r="F567" s="22"/>
      <c r="G567" s="22"/>
      <c r="H567" s="22"/>
      <c r="I567" s="22"/>
      <c r="J567" s="22"/>
      <c r="K567" s="127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>
      <c r="A568" s="127"/>
      <c r="B568" s="22"/>
      <c r="C568" s="127"/>
      <c r="D568" s="22"/>
      <c r="E568" s="22"/>
      <c r="F568" s="22"/>
      <c r="G568" s="22"/>
      <c r="H568" s="22"/>
      <c r="I568" s="22"/>
      <c r="J568" s="22"/>
      <c r="K568" s="127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>
      <c r="A569" s="127"/>
      <c r="B569" s="22"/>
      <c r="C569" s="127"/>
      <c r="D569" s="22"/>
      <c r="E569" s="22"/>
      <c r="F569" s="22"/>
      <c r="G569" s="22"/>
      <c r="H569" s="22"/>
      <c r="I569" s="22"/>
      <c r="J569" s="22"/>
      <c r="K569" s="127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>
      <c r="A570" s="127"/>
      <c r="B570" s="22"/>
      <c r="C570" s="127"/>
      <c r="D570" s="22"/>
      <c r="E570" s="22"/>
      <c r="F570" s="22"/>
      <c r="G570" s="22"/>
      <c r="H570" s="22"/>
      <c r="I570" s="22"/>
      <c r="J570" s="22"/>
      <c r="K570" s="127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>
      <c r="A571" s="127"/>
      <c r="B571" s="22"/>
      <c r="C571" s="127"/>
      <c r="D571" s="22"/>
      <c r="E571" s="22"/>
      <c r="F571" s="22"/>
      <c r="G571" s="22"/>
      <c r="H571" s="22"/>
      <c r="I571" s="22"/>
      <c r="J571" s="22"/>
      <c r="K571" s="127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>
      <c r="A572" s="127"/>
      <c r="B572" s="22"/>
      <c r="C572" s="127"/>
      <c r="D572" s="22"/>
      <c r="E572" s="22"/>
      <c r="F572" s="22"/>
      <c r="G572" s="22"/>
      <c r="H572" s="22"/>
      <c r="I572" s="22"/>
      <c r="J572" s="22"/>
      <c r="K572" s="127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>
      <c r="A573" s="127"/>
      <c r="B573" s="22"/>
      <c r="C573" s="127"/>
      <c r="D573" s="22"/>
      <c r="E573" s="22"/>
      <c r="F573" s="22"/>
      <c r="G573" s="22"/>
      <c r="H573" s="22"/>
      <c r="I573" s="22"/>
      <c r="J573" s="22"/>
      <c r="K573" s="127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>
      <c r="A574" s="127"/>
      <c r="B574" s="22"/>
      <c r="C574" s="127"/>
      <c r="D574" s="22"/>
      <c r="E574" s="22"/>
      <c r="F574" s="22"/>
      <c r="G574" s="22"/>
      <c r="H574" s="22"/>
      <c r="I574" s="22"/>
      <c r="J574" s="22"/>
      <c r="K574" s="127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>
      <c r="A575" s="127"/>
      <c r="B575" s="22"/>
      <c r="C575" s="127"/>
      <c r="D575" s="22"/>
      <c r="E575" s="22"/>
      <c r="F575" s="22"/>
      <c r="G575" s="22"/>
      <c r="H575" s="22"/>
      <c r="I575" s="22"/>
      <c r="J575" s="22"/>
      <c r="K575" s="127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>
      <c r="A576" s="127"/>
      <c r="B576" s="22"/>
      <c r="C576" s="127"/>
      <c r="D576" s="22"/>
      <c r="E576" s="22"/>
      <c r="F576" s="22"/>
      <c r="G576" s="22"/>
      <c r="H576" s="22"/>
      <c r="I576" s="22"/>
      <c r="J576" s="22"/>
      <c r="K576" s="127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>
      <c r="A577" s="127"/>
      <c r="B577" s="22"/>
      <c r="C577" s="127"/>
      <c r="D577" s="22"/>
      <c r="E577" s="22"/>
      <c r="F577" s="22"/>
      <c r="G577" s="22"/>
      <c r="H577" s="22"/>
      <c r="I577" s="22"/>
      <c r="J577" s="22"/>
      <c r="K577" s="127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>
      <c r="A578" s="127"/>
      <c r="B578" s="22"/>
      <c r="C578" s="127"/>
      <c r="D578" s="22"/>
      <c r="E578" s="22"/>
      <c r="F578" s="22"/>
      <c r="G578" s="22"/>
      <c r="H578" s="22"/>
      <c r="I578" s="22"/>
      <c r="J578" s="22"/>
      <c r="K578" s="127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>
      <c r="A579" s="127"/>
      <c r="B579" s="22"/>
      <c r="C579" s="127"/>
      <c r="D579" s="22"/>
      <c r="E579" s="22"/>
      <c r="F579" s="22"/>
      <c r="G579" s="22"/>
      <c r="H579" s="22"/>
      <c r="I579" s="22"/>
      <c r="J579" s="22"/>
      <c r="K579" s="127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>
      <c r="A580" s="127"/>
      <c r="B580" s="22"/>
      <c r="C580" s="127"/>
      <c r="D580" s="22"/>
      <c r="E580" s="22"/>
      <c r="F580" s="22"/>
      <c r="G580" s="22"/>
      <c r="H580" s="22"/>
      <c r="I580" s="22"/>
      <c r="J580" s="22"/>
      <c r="K580" s="127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>
      <c r="A581" s="127"/>
      <c r="B581" s="22"/>
      <c r="C581" s="127"/>
      <c r="D581" s="22"/>
      <c r="E581" s="22"/>
      <c r="F581" s="22"/>
      <c r="G581" s="22"/>
      <c r="H581" s="22"/>
      <c r="I581" s="22"/>
      <c r="J581" s="22"/>
      <c r="K581" s="127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>
      <c r="A582" s="127"/>
      <c r="B582" s="22"/>
      <c r="C582" s="127"/>
      <c r="D582" s="22"/>
      <c r="E582" s="22"/>
      <c r="F582" s="22"/>
      <c r="G582" s="22"/>
      <c r="H582" s="22"/>
      <c r="I582" s="22"/>
      <c r="J582" s="22"/>
      <c r="K582" s="127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>
      <c r="A583" s="127"/>
      <c r="B583" s="22"/>
      <c r="C583" s="127"/>
      <c r="D583" s="22"/>
      <c r="E583" s="22"/>
      <c r="F583" s="22"/>
      <c r="G583" s="22"/>
      <c r="H583" s="22"/>
      <c r="I583" s="22"/>
      <c r="J583" s="22"/>
      <c r="K583" s="127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>
      <c r="A584" s="127"/>
      <c r="B584" s="22"/>
      <c r="C584" s="127"/>
      <c r="D584" s="22"/>
      <c r="E584" s="22"/>
      <c r="F584" s="22"/>
      <c r="G584" s="22"/>
      <c r="H584" s="22"/>
      <c r="I584" s="22"/>
      <c r="J584" s="22"/>
      <c r="K584" s="127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>
      <c r="A585" s="127"/>
      <c r="B585" s="22"/>
      <c r="C585" s="127"/>
      <c r="D585" s="22"/>
      <c r="E585" s="22"/>
      <c r="F585" s="22"/>
      <c r="G585" s="22"/>
      <c r="H585" s="22"/>
      <c r="I585" s="22"/>
      <c r="J585" s="22"/>
      <c r="K585" s="127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>
      <c r="A586" s="127"/>
      <c r="B586" s="22"/>
      <c r="C586" s="127"/>
      <c r="D586" s="22"/>
      <c r="E586" s="22"/>
      <c r="F586" s="22"/>
      <c r="G586" s="22"/>
      <c r="H586" s="22"/>
      <c r="I586" s="22"/>
      <c r="J586" s="22"/>
      <c r="K586" s="127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>
      <c r="A587" s="127"/>
      <c r="B587" s="22"/>
      <c r="C587" s="127"/>
      <c r="D587" s="22"/>
      <c r="E587" s="22"/>
      <c r="F587" s="22"/>
      <c r="G587" s="22"/>
      <c r="H587" s="22"/>
      <c r="I587" s="22"/>
      <c r="J587" s="22"/>
      <c r="K587" s="127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>
      <c r="A588" s="127"/>
      <c r="B588" s="22"/>
      <c r="C588" s="127"/>
      <c r="D588" s="22"/>
      <c r="E588" s="22"/>
      <c r="F588" s="22"/>
      <c r="G588" s="22"/>
      <c r="H588" s="22"/>
      <c r="I588" s="22"/>
      <c r="J588" s="22"/>
      <c r="K588" s="127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>
      <c r="A589" s="127"/>
      <c r="B589" s="22"/>
      <c r="C589" s="127"/>
      <c r="D589" s="22"/>
      <c r="E589" s="22"/>
      <c r="F589" s="22"/>
      <c r="G589" s="22"/>
      <c r="H589" s="22"/>
      <c r="I589" s="22"/>
      <c r="J589" s="22"/>
      <c r="K589" s="127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>
      <c r="A590" s="127"/>
      <c r="B590" s="22"/>
      <c r="C590" s="127"/>
      <c r="D590" s="22"/>
      <c r="E590" s="22"/>
      <c r="F590" s="22"/>
      <c r="G590" s="22"/>
      <c r="H590" s="22"/>
      <c r="I590" s="22"/>
      <c r="J590" s="22"/>
      <c r="K590" s="127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>
      <c r="A591" s="127"/>
      <c r="B591" s="22"/>
      <c r="C591" s="127"/>
      <c r="D591" s="22"/>
      <c r="E591" s="22"/>
      <c r="F591" s="22"/>
      <c r="G591" s="22"/>
      <c r="H591" s="22"/>
      <c r="I591" s="22"/>
      <c r="J591" s="22"/>
      <c r="K591" s="127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>
      <c r="A592" s="127"/>
      <c r="B592" s="22"/>
      <c r="C592" s="127"/>
      <c r="D592" s="22"/>
      <c r="E592" s="22"/>
      <c r="F592" s="22"/>
      <c r="G592" s="22"/>
      <c r="H592" s="22"/>
      <c r="I592" s="22"/>
      <c r="J592" s="22"/>
      <c r="K592" s="127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>
      <c r="A593" s="127"/>
      <c r="B593" s="22"/>
      <c r="C593" s="127"/>
      <c r="D593" s="22"/>
      <c r="E593" s="22"/>
      <c r="F593" s="22"/>
      <c r="G593" s="22"/>
      <c r="H593" s="22"/>
      <c r="I593" s="22"/>
      <c r="J593" s="22"/>
      <c r="K593" s="127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>
      <c r="A594" s="127"/>
      <c r="B594" s="22"/>
      <c r="C594" s="127"/>
      <c r="D594" s="22"/>
      <c r="E594" s="22"/>
      <c r="F594" s="22"/>
      <c r="G594" s="22"/>
      <c r="H594" s="22"/>
      <c r="I594" s="22"/>
      <c r="J594" s="22"/>
      <c r="K594" s="127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>
      <c r="A595" s="127"/>
      <c r="B595" s="22"/>
      <c r="C595" s="127"/>
      <c r="D595" s="22"/>
      <c r="E595" s="22"/>
      <c r="F595" s="22"/>
      <c r="G595" s="22"/>
      <c r="H595" s="22"/>
      <c r="I595" s="22"/>
      <c r="J595" s="22"/>
      <c r="K595" s="127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>
      <c r="A596" s="127"/>
      <c r="B596" s="22"/>
      <c r="C596" s="127"/>
      <c r="D596" s="22"/>
      <c r="E596" s="22"/>
      <c r="F596" s="22"/>
      <c r="G596" s="22"/>
      <c r="H596" s="22"/>
      <c r="I596" s="22"/>
      <c r="J596" s="22"/>
      <c r="K596" s="127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>
      <c r="A597" s="127"/>
      <c r="B597" s="22"/>
      <c r="C597" s="127"/>
      <c r="D597" s="22"/>
      <c r="E597" s="22"/>
      <c r="F597" s="22"/>
      <c r="G597" s="22"/>
      <c r="H597" s="22"/>
      <c r="I597" s="22"/>
      <c r="J597" s="22"/>
      <c r="K597" s="127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>
      <c r="A598" s="127"/>
      <c r="B598" s="22"/>
      <c r="C598" s="127"/>
      <c r="D598" s="22"/>
      <c r="E598" s="22"/>
      <c r="F598" s="22"/>
      <c r="G598" s="22"/>
      <c r="H598" s="22"/>
      <c r="I598" s="22"/>
      <c r="J598" s="22"/>
      <c r="K598" s="127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>
      <c r="A599" s="127"/>
      <c r="B599" s="22"/>
      <c r="C599" s="127"/>
      <c r="D599" s="22"/>
      <c r="E599" s="22"/>
      <c r="F599" s="22"/>
      <c r="G599" s="22"/>
      <c r="H599" s="22"/>
      <c r="I599" s="22"/>
      <c r="J599" s="22"/>
      <c r="K599" s="127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>
      <c r="A600" s="127"/>
      <c r="B600" s="22"/>
      <c r="C600" s="127"/>
      <c r="D600" s="22"/>
      <c r="E600" s="22"/>
      <c r="F600" s="22"/>
      <c r="G600" s="22"/>
      <c r="H600" s="22"/>
      <c r="I600" s="22"/>
      <c r="J600" s="22"/>
      <c r="K600" s="127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>
      <c r="A601" s="127"/>
      <c r="B601" s="22"/>
      <c r="C601" s="127"/>
      <c r="D601" s="22"/>
      <c r="E601" s="22"/>
      <c r="F601" s="22"/>
      <c r="G601" s="22"/>
      <c r="H601" s="22"/>
      <c r="I601" s="22"/>
      <c r="J601" s="22"/>
      <c r="K601" s="127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>
      <c r="A602" s="127"/>
      <c r="B602" s="22"/>
      <c r="C602" s="127"/>
      <c r="D602" s="22"/>
      <c r="E602" s="22"/>
      <c r="F602" s="22"/>
      <c r="G602" s="22"/>
      <c r="H602" s="22"/>
      <c r="I602" s="22"/>
      <c r="J602" s="22"/>
      <c r="K602" s="127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>
      <c r="A603" s="127"/>
      <c r="B603" s="22"/>
      <c r="C603" s="127"/>
      <c r="D603" s="22"/>
      <c r="E603" s="22"/>
      <c r="F603" s="22"/>
      <c r="G603" s="22"/>
      <c r="H603" s="22"/>
      <c r="I603" s="22"/>
      <c r="J603" s="22"/>
      <c r="K603" s="127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>
      <c r="A604" s="127"/>
      <c r="B604" s="22"/>
      <c r="C604" s="127"/>
      <c r="D604" s="22"/>
      <c r="E604" s="22"/>
      <c r="F604" s="22"/>
      <c r="G604" s="22"/>
      <c r="H604" s="22"/>
      <c r="I604" s="22"/>
      <c r="J604" s="22"/>
      <c r="K604" s="127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>
      <c r="A605" s="127"/>
      <c r="B605" s="22"/>
      <c r="C605" s="127"/>
      <c r="D605" s="22"/>
      <c r="E605" s="22"/>
      <c r="F605" s="22"/>
      <c r="G605" s="22"/>
      <c r="H605" s="22"/>
      <c r="I605" s="22"/>
      <c r="J605" s="22"/>
      <c r="K605" s="127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>
      <c r="A606" s="127"/>
      <c r="B606" s="22"/>
      <c r="C606" s="127"/>
      <c r="D606" s="22"/>
      <c r="E606" s="22"/>
      <c r="F606" s="22"/>
      <c r="G606" s="22"/>
      <c r="H606" s="22"/>
      <c r="I606" s="22"/>
      <c r="J606" s="22"/>
      <c r="K606" s="127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>
      <c r="A607" s="127"/>
      <c r="B607" s="22"/>
      <c r="C607" s="127"/>
      <c r="D607" s="22"/>
      <c r="E607" s="22"/>
      <c r="F607" s="22"/>
      <c r="G607" s="22"/>
      <c r="H607" s="22"/>
      <c r="I607" s="22"/>
      <c r="J607" s="22"/>
      <c r="K607" s="127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>
      <c r="A608" s="127"/>
      <c r="B608" s="22"/>
      <c r="C608" s="127"/>
      <c r="D608" s="22"/>
      <c r="E608" s="22"/>
      <c r="F608" s="22"/>
      <c r="G608" s="22"/>
      <c r="H608" s="22"/>
      <c r="I608" s="22"/>
      <c r="J608" s="22"/>
      <c r="K608" s="127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>
      <c r="A609" s="127"/>
      <c r="B609" s="22"/>
      <c r="C609" s="127"/>
      <c r="D609" s="22"/>
      <c r="E609" s="22"/>
      <c r="F609" s="22"/>
      <c r="G609" s="22"/>
      <c r="H609" s="22"/>
      <c r="I609" s="22"/>
      <c r="J609" s="22"/>
      <c r="K609" s="127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>
      <c r="A610" s="127"/>
      <c r="B610" s="22"/>
      <c r="C610" s="127"/>
      <c r="D610" s="22"/>
      <c r="E610" s="22"/>
      <c r="F610" s="22"/>
      <c r="G610" s="22"/>
      <c r="H610" s="22"/>
      <c r="I610" s="22"/>
      <c r="J610" s="22"/>
      <c r="K610" s="127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>
      <c r="A611" s="127"/>
      <c r="B611" s="22"/>
      <c r="C611" s="127"/>
      <c r="D611" s="22"/>
      <c r="E611" s="22"/>
      <c r="F611" s="22"/>
      <c r="G611" s="22"/>
      <c r="H611" s="22"/>
      <c r="I611" s="22"/>
      <c r="J611" s="22"/>
      <c r="K611" s="127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>
      <c r="A612" s="127"/>
      <c r="B612" s="22"/>
      <c r="C612" s="127"/>
      <c r="D612" s="22"/>
      <c r="E612" s="22"/>
      <c r="F612" s="22"/>
      <c r="G612" s="22"/>
      <c r="H612" s="22"/>
      <c r="I612" s="22"/>
      <c r="J612" s="22"/>
      <c r="K612" s="127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>
      <c r="A613" s="127"/>
      <c r="B613" s="22"/>
      <c r="C613" s="127"/>
      <c r="D613" s="22"/>
      <c r="E613" s="22"/>
      <c r="F613" s="22"/>
      <c r="G613" s="22"/>
      <c r="H613" s="22"/>
      <c r="I613" s="22"/>
      <c r="J613" s="22"/>
      <c r="K613" s="127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>
      <c r="A614" s="127"/>
      <c r="B614" s="22"/>
      <c r="C614" s="127"/>
      <c r="D614" s="22"/>
      <c r="E614" s="22"/>
      <c r="F614" s="22"/>
      <c r="G614" s="22"/>
      <c r="H614" s="22"/>
      <c r="I614" s="22"/>
      <c r="J614" s="22"/>
      <c r="K614" s="127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>
      <c r="A615" s="127"/>
      <c r="B615" s="22"/>
      <c r="C615" s="127"/>
      <c r="D615" s="22"/>
      <c r="E615" s="22"/>
      <c r="F615" s="22"/>
      <c r="G615" s="22"/>
      <c r="H615" s="22"/>
      <c r="I615" s="22"/>
      <c r="J615" s="22"/>
      <c r="K615" s="127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>
      <c r="A616" s="127"/>
      <c r="B616" s="22"/>
      <c r="C616" s="127"/>
      <c r="D616" s="22"/>
      <c r="E616" s="22"/>
      <c r="F616" s="22"/>
      <c r="G616" s="22"/>
      <c r="H616" s="22"/>
      <c r="I616" s="22"/>
      <c r="J616" s="22"/>
      <c r="K616" s="127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>
      <c r="A617" s="127"/>
      <c r="B617" s="22"/>
      <c r="C617" s="127"/>
      <c r="D617" s="22"/>
      <c r="E617" s="22"/>
      <c r="F617" s="22"/>
      <c r="G617" s="22"/>
      <c r="H617" s="22"/>
      <c r="I617" s="22"/>
      <c r="J617" s="22"/>
      <c r="K617" s="127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>
      <c r="A618" s="127"/>
      <c r="B618" s="22"/>
      <c r="C618" s="127"/>
      <c r="D618" s="22"/>
      <c r="E618" s="22"/>
      <c r="F618" s="22"/>
      <c r="G618" s="22"/>
      <c r="H618" s="22"/>
      <c r="I618" s="22"/>
      <c r="J618" s="22"/>
      <c r="K618" s="127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>
      <c r="A619" s="127"/>
      <c r="B619" s="22"/>
      <c r="C619" s="127"/>
      <c r="D619" s="22"/>
      <c r="E619" s="22"/>
      <c r="F619" s="22"/>
      <c r="G619" s="22"/>
      <c r="H619" s="22"/>
      <c r="I619" s="22"/>
      <c r="J619" s="22"/>
      <c r="K619" s="127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>
      <c r="A620" s="127"/>
      <c r="B620" s="22"/>
      <c r="C620" s="127"/>
      <c r="D620" s="22"/>
      <c r="E620" s="22"/>
      <c r="F620" s="22"/>
      <c r="G620" s="22"/>
      <c r="H620" s="22"/>
      <c r="I620" s="22"/>
      <c r="J620" s="22"/>
      <c r="K620" s="127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>
      <c r="A621" s="127"/>
      <c r="B621" s="22"/>
      <c r="C621" s="127"/>
      <c r="D621" s="22"/>
      <c r="E621" s="22"/>
      <c r="F621" s="22"/>
      <c r="G621" s="22"/>
      <c r="H621" s="22"/>
      <c r="I621" s="22"/>
      <c r="J621" s="22"/>
      <c r="K621" s="127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>
      <c r="A622" s="127"/>
      <c r="B622" s="22"/>
      <c r="C622" s="127"/>
      <c r="D622" s="22"/>
      <c r="E622" s="22"/>
      <c r="F622" s="22"/>
      <c r="G622" s="22"/>
      <c r="H622" s="22"/>
      <c r="I622" s="22"/>
      <c r="J622" s="22"/>
      <c r="K622" s="127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>
      <c r="A623" s="127"/>
      <c r="B623" s="22"/>
      <c r="C623" s="127"/>
      <c r="D623" s="22"/>
      <c r="E623" s="22"/>
      <c r="F623" s="22"/>
      <c r="G623" s="22"/>
      <c r="H623" s="22"/>
      <c r="I623" s="22"/>
      <c r="J623" s="22"/>
      <c r="K623" s="127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>
      <c r="A624" s="127"/>
      <c r="B624" s="22"/>
      <c r="C624" s="127"/>
      <c r="D624" s="22"/>
      <c r="E624" s="22"/>
      <c r="F624" s="22"/>
      <c r="G624" s="22"/>
      <c r="H624" s="22"/>
      <c r="I624" s="22"/>
      <c r="J624" s="22"/>
      <c r="K624" s="127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>
      <c r="A625" s="127"/>
      <c r="B625" s="22"/>
      <c r="C625" s="127"/>
      <c r="D625" s="22"/>
      <c r="E625" s="22"/>
      <c r="F625" s="22"/>
      <c r="G625" s="22"/>
      <c r="H625" s="22"/>
      <c r="I625" s="22"/>
      <c r="J625" s="22"/>
      <c r="K625" s="127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>
      <c r="A626" s="127"/>
      <c r="B626" s="22"/>
      <c r="C626" s="127"/>
      <c r="D626" s="22"/>
      <c r="E626" s="22"/>
      <c r="F626" s="22"/>
      <c r="G626" s="22"/>
      <c r="H626" s="22"/>
      <c r="I626" s="22"/>
      <c r="J626" s="22"/>
      <c r="K626" s="127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>
      <c r="A627" s="127"/>
      <c r="B627" s="22"/>
      <c r="C627" s="127"/>
      <c r="D627" s="22"/>
      <c r="E627" s="22"/>
      <c r="F627" s="22"/>
      <c r="G627" s="22"/>
      <c r="H627" s="22"/>
      <c r="I627" s="22"/>
      <c r="J627" s="22"/>
      <c r="K627" s="127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>
      <c r="A628" s="127"/>
      <c r="B628" s="22"/>
      <c r="C628" s="127"/>
      <c r="D628" s="22"/>
      <c r="E628" s="22"/>
      <c r="F628" s="22"/>
      <c r="G628" s="22"/>
      <c r="H628" s="22"/>
      <c r="I628" s="22"/>
      <c r="J628" s="22"/>
      <c r="K628" s="127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>
      <c r="A629" s="127"/>
      <c r="B629" s="22"/>
      <c r="C629" s="127"/>
      <c r="D629" s="22"/>
      <c r="E629" s="22"/>
      <c r="F629" s="22"/>
      <c r="G629" s="22"/>
      <c r="H629" s="22"/>
      <c r="I629" s="22"/>
      <c r="J629" s="22"/>
      <c r="K629" s="127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>
      <c r="A630" s="127"/>
      <c r="B630" s="22"/>
      <c r="C630" s="127"/>
      <c r="D630" s="22"/>
      <c r="E630" s="22"/>
      <c r="F630" s="22"/>
      <c r="G630" s="22"/>
      <c r="H630" s="22"/>
      <c r="I630" s="22"/>
      <c r="J630" s="22"/>
      <c r="K630" s="127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>
      <c r="A631" s="127"/>
      <c r="B631" s="22"/>
      <c r="C631" s="127"/>
      <c r="D631" s="22"/>
      <c r="E631" s="22"/>
      <c r="F631" s="22"/>
      <c r="G631" s="22"/>
      <c r="H631" s="22"/>
      <c r="I631" s="22"/>
      <c r="J631" s="22"/>
      <c r="K631" s="127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>
      <c r="A632" s="127"/>
      <c r="B632" s="22"/>
      <c r="C632" s="127"/>
      <c r="D632" s="22"/>
      <c r="E632" s="22"/>
      <c r="F632" s="22"/>
      <c r="G632" s="22"/>
      <c r="H632" s="22"/>
      <c r="I632" s="22"/>
      <c r="J632" s="22"/>
      <c r="K632" s="127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>
      <c r="A633" s="127"/>
      <c r="B633" s="22"/>
      <c r="C633" s="127"/>
      <c r="D633" s="22"/>
      <c r="E633" s="22"/>
      <c r="F633" s="22"/>
      <c r="G633" s="22"/>
      <c r="H633" s="22"/>
      <c r="I633" s="22"/>
      <c r="J633" s="22"/>
      <c r="K633" s="127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>
      <c r="A634" s="127"/>
      <c r="B634" s="22"/>
      <c r="C634" s="127"/>
      <c r="D634" s="22"/>
      <c r="E634" s="22"/>
      <c r="F634" s="22"/>
      <c r="G634" s="22"/>
      <c r="H634" s="22"/>
      <c r="I634" s="22"/>
      <c r="J634" s="22"/>
      <c r="K634" s="127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>
      <c r="A635" s="127"/>
      <c r="B635" s="22"/>
      <c r="C635" s="127"/>
      <c r="D635" s="22"/>
      <c r="E635" s="22"/>
      <c r="F635" s="22"/>
      <c r="G635" s="22"/>
      <c r="H635" s="22"/>
      <c r="I635" s="22"/>
      <c r="J635" s="22"/>
      <c r="K635" s="127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>
      <c r="A636" s="127"/>
      <c r="B636" s="22"/>
      <c r="C636" s="127"/>
      <c r="D636" s="22"/>
      <c r="E636" s="22"/>
      <c r="F636" s="22"/>
      <c r="G636" s="22"/>
      <c r="H636" s="22"/>
      <c r="I636" s="22"/>
      <c r="J636" s="22"/>
      <c r="K636" s="127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>
      <c r="A637" s="127"/>
      <c r="B637" s="22"/>
      <c r="C637" s="127"/>
      <c r="D637" s="22"/>
      <c r="E637" s="22"/>
      <c r="F637" s="22"/>
      <c r="G637" s="22"/>
      <c r="H637" s="22"/>
      <c r="I637" s="22"/>
      <c r="J637" s="22"/>
      <c r="K637" s="127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>
      <c r="A638" s="127"/>
      <c r="B638" s="22"/>
      <c r="C638" s="127"/>
      <c r="D638" s="22"/>
      <c r="E638" s="22"/>
      <c r="F638" s="22"/>
      <c r="G638" s="22"/>
      <c r="H638" s="22"/>
      <c r="I638" s="22"/>
      <c r="J638" s="22"/>
      <c r="K638" s="127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>
      <c r="A639" s="127"/>
      <c r="B639" s="22"/>
      <c r="C639" s="127"/>
      <c r="D639" s="22"/>
      <c r="E639" s="22"/>
      <c r="F639" s="22"/>
      <c r="G639" s="22"/>
      <c r="H639" s="22"/>
      <c r="I639" s="22"/>
      <c r="J639" s="22"/>
      <c r="K639" s="127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>
      <c r="A640" s="127"/>
      <c r="B640" s="22"/>
      <c r="C640" s="127"/>
      <c r="D640" s="22"/>
      <c r="E640" s="22"/>
      <c r="F640" s="22"/>
      <c r="G640" s="22"/>
      <c r="H640" s="22"/>
      <c r="I640" s="22"/>
      <c r="J640" s="22"/>
      <c r="K640" s="127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>
      <c r="A641" s="127"/>
      <c r="B641" s="22"/>
      <c r="C641" s="127"/>
      <c r="D641" s="22"/>
      <c r="E641" s="22"/>
      <c r="F641" s="22"/>
      <c r="G641" s="22"/>
      <c r="H641" s="22"/>
      <c r="I641" s="22"/>
      <c r="J641" s="22"/>
      <c r="K641" s="127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>
      <c r="A642" s="127"/>
      <c r="B642" s="22"/>
      <c r="C642" s="127"/>
      <c r="D642" s="22"/>
      <c r="E642" s="22"/>
      <c r="F642" s="22"/>
      <c r="G642" s="22"/>
      <c r="H642" s="22"/>
      <c r="I642" s="22"/>
      <c r="J642" s="22"/>
      <c r="K642" s="127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>
      <c r="A643" s="127"/>
      <c r="B643" s="22"/>
      <c r="C643" s="127"/>
      <c r="D643" s="22"/>
      <c r="E643" s="22"/>
      <c r="F643" s="22"/>
      <c r="G643" s="22"/>
      <c r="H643" s="22"/>
      <c r="I643" s="22"/>
      <c r="J643" s="22"/>
      <c r="K643" s="127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>
      <c r="A644" s="127"/>
      <c r="B644" s="22"/>
      <c r="C644" s="127"/>
      <c r="D644" s="22"/>
      <c r="E644" s="22"/>
      <c r="F644" s="22"/>
      <c r="G644" s="22"/>
      <c r="H644" s="22"/>
      <c r="I644" s="22"/>
      <c r="J644" s="22"/>
      <c r="K644" s="127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>
      <c r="A645" s="127"/>
      <c r="B645" s="22"/>
      <c r="C645" s="127"/>
      <c r="D645" s="22"/>
      <c r="E645" s="22"/>
      <c r="F645" s="22"/>
      <c r="G645" s="22"/>
      <c r="H645" s="22"/>
      <c r="I645" s="22"/>
      <c r="J645" s="22"/>
      <c r="K645" s="127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>
      <c r="A646" s="127"/>
      <c r="B646" s="22"/>
      <c r="C646" s="127"/>
      <c r="D646" s="22"/>
      <c r="E646" s="22"/>
      <c r="F646" s="22"/>
      <c r="G646" s="22"/>
      <c r="H646" s="22"/>
      <c r="I646" s="22"/>
      <c r="J646" s="22"/>
      <c r="K646" s="127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>
      <c r="A647" s="127"/>
      <c r="B647" s="22"/>
      <c r="C647" s="127"/>
      <c r="D647" s="22"/>
      <c r="E647" s="22"/>
      <c r="F647" s="22"/>
      <c r="G647" s="22"/>
      <c r="H647" s="22"/>
      <c r="I647" s="22"/>
      <c r="J647" s="22"/>
      <c r="K647" s="127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>
      <c r="A648" s="127"/>
      <c r="B648" s="22"/>
      <c r="C648" s="127"/>
      <c r="D648" s="22"/>
      <c r="E648" s="22"/>
      <c r="F648" s="22"/>
      <c r="G648" s="22"/>
      <c r="H648" s="22"/>
      <c r="I648" s="22"/>
      <c r="J648" s="22"/>
      <c r="K648" s="127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>
      <c r="A649" s="127"/>
      <c r="B649" s="22"/>
      <c r="C649" s="127"/>
      <c r="D649" s="22"/>
      <c r="E649" s="22"/>
      <c r="F649" s="22"/>
      <c r="G649" s="22"/>
      <c r="H649" s="22"/>
      <c r="I649" s="22"/>
      <c r="J649" s="22"/>
      <c r="K649" s="127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>
      <c r="A650" s="127"/>
      <c r="B650" s="22"/>
      <c r="C650" s="127"/>
      <c r="D650" s="22"/>
      <c r="E650" s="22"/>
      <c r="F650" s="22"/>
      <c r="G650" s="22"/>
      <c r="H650" s="22"/>
      <c r="I650" s="22"/>
      <c r="J650" s="22"/>
      <c r="K650" s="127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>
      <c r="A651" s="127"/>
      <c r="B651" s="22"/>
      <c r="C651" s="127"/>
      <c r="D651" s="22"/>
      <c r="E651" s="22"/>
      <c r="F651" s="22"/>
      <c r="G651" s="22"/>
      <c r="H651" s="22"/>
      <c r="I651" s="22"/>
      <c r="J651" s="22"/>
      <c r="K651" s="127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>
      <c r="A652" s="127"/>
      <c r="B652" s="22"/>
      <c r="C652" s="127"/>
      <c r="D652" s="22"/>
      <c r="E652" s="22"/>
      <c r="F652" s="22"/>
      <c r="G652" s="22"/>
      <c r="H652" s="22"/>
      <c r="I652" s="22"/>
      <c r="J652" s="22"/>
      <c r="K652" s="127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>
      <c r="A653" s="127"/>
      <c r="B653" s="22"/>
      <c r="C653" s="127"/>
      <c r="D653" s="22"/>
      <c r="E653" s="22"/>
      <c r="F653" s="22"/>
      <c r="G653" s="22"/>
      <c r="H653" s="22"/>
      <c r="I653" s="22"/>
      <c r="J653" s="22"/>
      <c r="K653" s="127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>
      <c r="A654" s="127"/>
      <c r="B654" s="22"/>
      <c r="C654" s="127"/>
      <c r="D654" s="22"/>
      <c r="E654" s="22"/>
      <c r="F654" s="22"/>
      <c r="G654" s="22"/>
      <c r="H654" s="22"/>
      <c r="I654" s="22"/>
      <c r="J654" s="22"/>
      <c r="K654" s="127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>
      <c r="A655" s="127"/>
      <c r="B655" s="22"/>
      <c r="C655" s="127"/>
      <c r="D655" s="22"/>
      <c r="E655" s="22"/>
      <c r="F655" s="22"/>
      <c r="G655" s="22"/>
      <c r="H655" s="22"/>
      <c r="I655" s="22"/>
      <c r="J655" s="22"/>
      <c r="K655" s="127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>
      <c r="A656" s="127"/>
      <c r="B656" s="22"/>
      <c r="C656" s="127"/>
      <c r="D656" s="22"/>
      <c r="E656" s="22"/>
      <c r="F656" s="22"/>
      <c r="G656" s="22"/>
      <c r="H656" s="22"/>
      <c r="I656" s="22"/>
      <c r="J656" s="22"/>
      <c r="K656" s="127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>
      <c r="A657" s="127"/>
      <c r="B657" s="22"/>
      <c r="C657" s="127"/>
      <c r="D657" s="22"/>
      <c r="E657" s="22"/>
      <c r="F657" s="22"/>
      <c r="G657" s="22"/>
      <c r="H657" s="22"/>
      <c r="I657" s="22"/>
      <c r="J657" s="22"/>
      <c r="K657" s="127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>
      <c r="A658" s="127"/>
      <c r="B658" s="22"/>
      <c r="C658" s="127"/>
      <c r="D658" s="22"/>
      <c r="E658" s="22"/>
      <c r="F658" s="22"/>
      <c r="G658" s="22"/>
      <c r="H658" s="22"/>
      <c r="I658" s="22"/>
      <c r="J658" s="22"/>
      <c r="K658" s="127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>
      <c r="A659" s="127"/>
      <c r="B659" s="22"/>
      <c r="C659" s="127"/>
      <c r="D659" s="22"/>
      <c r="E659" s="22"/>
      <c r="F659" s="22"/>
      <c r="G659" s="22"/>
      <c r="H659" s="22"/>
      <c r="I659" s="22"/>
      <c r="J659" s="22"/>
      <c r="K659" s="127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>
      <c r="A660" s="127"/>
      <c r="B660" s="22"/>
      <c r="C660" s="127"/>
      <c r="D660" s="22"/>
      <c r="E660" s="22"/>
      <c r="F660" s="22"/>
      <c r="G660" s="22"/>
      <c r="H660" s="22"/>
      <c r="I660" s="22"/>
      <c r="J660" s="22"/>
      <c r="K660" s="127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>
      <c r="A661" s="127"/>
      <c r="B661" s="22"/>
      <c r="C661" s="127"/>
      <c r="D661" s="22"/>
      <c r="E661" s="22"/>
      <c r="F661" s="22"/>
      <c r="G661" s="22"/>
      <c r="H661" s="22"/>
      <c r="I661" s="22"/>
      <c r="J661" s="22"/>
      <c r="K661" s="127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>
      <c r="A662" s="127"/>
      <c r="B662" s="22"/>
      <c r="C662" s="127"/>
      <c r="D662" s="22"/>
      <c r="E662" s="22"/>
      <c r="F662" s="22"/>
      <c r="G662" s="22"/>
      <c r="H662" s="22"/>
      <c r="I662" s="22"/>
      <c r="J662" s="22"/>
      <c r="K662" s="127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>
      <c r="A663" s="127"/>
      <c r="B663" s="22"/>
      <c r="C663" s="127"/>
      <c r="D663" s="22"/>
      <c r="E663" s="22"/>
      <c r="F663" s="22"/>
      <c r="G663" s="22"/>
      <c r="H663" s="22"/>
      <c r="I663" s="22"/>
      <c r="J663" s="22"/>
      <c r="K663" s="127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>
      <c r="A664" s="127"/>
      <c r="B664" s="22"/>
      <c r="C664" s="127"/>
      <c r="D664" s="22"/>
      <c r="E664" s="22"/>
      <c r="F664" s="22"/>
      <c r="G664" s="22"/>
      <c r="H664" s="22"/>
      <c r="I664" s="22"/>
      <c r="J664" s="22"/>
      <c r="K664" s="127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>
      <c r="A665" s="127"/>
      <c r="B665" s="22"/>
      <c r="C665" s="127"/>
      <c r="D665" s="22"/>
      <c r="E665" s="22"/>
      <c r="F665" s="22"/>
      <c r="G665" s="22"/>
      <c r="H665" s="22"/>
      <c r="I665" s="22"/>
      <c r="J665" s="22"/>
      <c r="K665" s="127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>
      <c r="A666" s="127"/>
      <c r="B666" s="22"/>
      <c r="C666" s="127"/>
      <c r="D666" s="22"/>
      <c r="E666" s="22"/>
      <c r="F666" s="22"/>
      <c r="G666" s="22"/>
      <c r="H666" s="22"/>
      <c r="I666" s="22"/>
      <c r="J666" s="22"/>
      <c r="K666" s="127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>
      <c r="A667" s="127"/>
      <c r="B667" s="22"/>
      <c r="C667" s="127"/>
      <c r="D667" s="22"/>
      <c r="E667" s="22"/>
      <c r="F667" s="22"/>
      <c r="G667" s="22"/>
      <c r="H667" s="22"/>
      <c r="I667" s="22"/>
      <c r="J667" s="22"/>
      <c r="K667" s="127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>
      <c r="A668" s="127"/>
      <c r="B668" s="22"/>
      <c r="C668" s="127"/>
      <c r="D668" s="22"/>
      <c r="E668" s="22"/>
      <c r="F668" s="22"/>
      <c r="G668" s="22"/>
      <c r="H668" s="22"/>
      <c r="I668" s="22"/>
      <c r="J668" s="22"/>
      <c r="K668" s="127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>
      <c r="A669" s="127"/>
      <c r="B669" s="22"/>
      <c r="C669" s="127"/>
      <c r="D669" s="22"/>
      <c r="E669" s="22"/>
      <c r="F669" s="22"/>
      <c r="G669" s="22"/>
      <c r="H669" s="22"/>
      <c r="I669" s="22"/>
      <c r="J669" s="22"/>
      <c r="K669" s="127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>
      <c r="A670" s="127"/>
      <c r="B670" s="22"/>
      <c r="C670" s="127"/>
      <c r="D670" s="22"/>
      <c r="E670" s="22"/>
      <c r="F670" s="22"/>
      <c r="G670" s="22"/>
      <c r="H670" s="22"/>
      <c r="I670" s="22"/>
      <c r="J670" s="22"/>
      <c r="K670" s="127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>
      <c r="A671" s="127"/>
      <c r="B671" s="22"/>
      <c r="C671" s="127"/>
      <c r="D671" s="22"/>
      <c r="E671" s="22"/>
      <c r="F671" s="22"/>
      <c r="G671" s="22"/>
      <c r="H671" s="22"/>
      <c r="I671" s="22"/>
      <c r="J671" s="22"/>
      <c r="K671" s="127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>
      <c r="A672" s="127"/>
      <c r="B672" s="22"/>
      <c r="C672" s="127"/>
      <c r="D672" s="22"/>
      <c r="E672" s="22"/>
      <c r="F672" s="22"/>
      <c r="G672" s="22"/>
      <c r="H672" s="22"/>
      <c r="I672" s="22"/>
      <c r="J672" s="22"/>
      <c r="K672" s="127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>
      <c r="A673" s="127"/>
      <c r="B673" s="22"/>
      <c r="C673" s="127"/>
      <c r="D673" s="22"/>
      <c r="E673" s="22"/>
      <c r="F673" s="22"/>
      <c r="G673" s="22"/>
      <c r="H673" s="22"/>
      <c r="I673" s="22"/>
      <c r="J673" s="22"/>
      <c r="K673" s="127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>
      <c r="A674" s="127"/>
      <c r="B674" s="22"/>
      <c r="C674" s="127"/>
      <c r="D674" s="22"/>
      <c r="E674" s="22"/>
      <c r="F674" s="22"/>
      <c r="G674" s="22"/>
      <c r="H674" s="22"/>
      <c r="I674" s="22"/>
      <c r="J674" s="22"/>
      <c r="K674" s="127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>
      <c r="A675" s="127"/>
      <c r="B675" s="22"/>
      <c r="C675" s="127"/>
      <c r="D675" s="22"/>
      <c r="E675" s="22"/>
      <c r="F675" s="22"/>
      <c r="G675" s="22"/>
      <c r="H675" s="22"/>
      <c r="I675" s="22"/>
      <c r="J675" s="22"/>
      <c r="K675" s="127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>
      <c r="A676" s="127"/>
      <c r="B676" s="22"/>
      <c r="C676" s="127"/>
      <c r="D676" s="22"/>
      <c r="E676" s="22"/>
      <c r="F676" s="22"/>
      <c r="G676" s="22"/>
      <c r="H676" s="22"/>
      <c r="I676" s="22"/>
      <c r="J676" s="22"/>
      <c r="K676" s="127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>
      <c r="A677" s="127"/>
      <c r="B677" s="22"/>
      <c r="C677" s="127"/>
      <c r="D677" s="22"/>
      <c r="E677" s="22"/>
      <c r="F677" s="22"/>
      <c r="G677" s="22"/>
      <c r="H677" s="22"/>
      <c r="I677" s="22"/>
      <c r="J677" s="22"/>
      <c r="K677" s="127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>
      <c r="A678" s="127"/>
      <c r="B678" s="22"/>
      <c r="C678" s="127"/>
      <c r="D678" s="22"/>
      <c r="E678" s="22"/>
      <c r="F678" s="22"/>
      <c r="G678" s="22"/>
      <c r="H678" s="22"/>
      <c r="I678" s="22"/>
      <c r="J678" s="22"/>
      <c r="K678" s="127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>
      <c r="A679" s="127"/>
      <c r="B679" s="22"/>
      <c r="C679" s="127"/>
      <c r="D679" s="22"/>
      <c r="E679" s="22"/>
      <c r="F679" s="22"/>
      <c r="G679" s="22"/>
      <c r="H679" s="22"/>
      <c r="I679" s="22"/>
      <c r="J679" s="22"/>
      <c r="K679" s="127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>
      <c r="A680" s="127"/>
      <c r="B680" s="22"/>
      <c r="C680" s="127"/>
      <c r="D680" s="22"/>
      <c r="E680" s="22"/>
      <c r="F680" s="22"/>
      <c r="G680" s="22"/>
      <c r="H680" s="22"/>
      <c r="I680" s="22"/>
      <c r="J680" s="22"/>
      <c r="K680" s="127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>
      <c r="A681" s="127"/>
      <c r="B681" s="22"/>
      <c r="C681" s="127"/>
      <c r="D681" s="22"/>
      <c r="E681" s="22"/>
      <c r="F681" s="22"/>
      <c r="G681" s="22"/>
      <c r="H681" s="22"/>
      <c r="I681" s="22"/>
      <c r="J681" s="22"/>
      <c r="K681" s="127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>
      <c r="A682" s="127"/>
      <c r="B682" s="22"/>
      <c r="C682" s="127"/>
      <c r="D682" s="22"/>
      <c r="E682" s="22"/>
      <c r="F682" s="22"/>
      <c r="G682" s="22"/>
      <c r="H682" s="22"/>
      <c r="I682" s="22"/>
      <c r="J682" s="22"/>
      <c r="K682" s="127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>
      <c r="A683" s="127"/>
      <c r="B683" s="22"/>
      <c r="C683" s="127"/>
      <c r="D683" s="22"/>
      <c r="E683" s="22"/>
      <c r="F683" s="22"/>
      <c r="G683" s="22"/>
      <c r="H683" s="22"/>
      <c r="I683" s="22"/>
      <c r="J683" s="22"/>
      <c r="K683" s="127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>
      <c r="A684" s="127"/>
      <c r="B684" s="22"/>
      <c r="C684" s="127"/>
      <c r="D684" s="22"/>
      <c r="E684" s="22"/>
      <c r="F684" s="22"/>
      <c r="G684" s="22"/>
      <c r="H684" s="22"/>
      <c r="I684" s="22"/>
      <c r="J684" s="22"/>
      <c r="K684" s="127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>
      <c r="A685" s="127"/>
      <c r="B685" s="22"/>
      <c r="C685" s="127"/>
      <c r="D685" s="22"/>
      <c r="E685" s="22"/>
      <c r="F685" s="22"/>
      <c r="G685" s="22"/>
      <c r="H685" s="22"/>
      <c r="I685" s="22"/>
      <c r="J685" s="22"/>
      <c r="K685" s="127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>
      <c r="A686" s="127"/>
      <c r="B686" s="22"/>
      <c r="C686" s="127"/>
      <c r="D686" s="22"/>
      <c r="E686" s="22"/>
      <c r="F686" s="22"/>
      <c r="G686" s="22"/>
      <c r="H686" s="22"/>
      <c r="I686" s="22"/>
      <c r="J686" s="22"/>
      <c r="K686" s="127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>
      <c r="A687" s="127"/>
      <c r="B687" s="22"/>
      <c r="C687" s="127"/>
      <c r="D687" s="22"/>
      <c r="E687" s="22"/>
      <c r="F687" s="22"/>
      <c r="G687" s="22"/>
      <c r="H687" s="22"/>
      <c r="I687" s="22"/>
      <c r="J687" s="22"/>
      <c r="K687" s="127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>
      <c r="A688" s="127"/>
      <c r="B688" s="22"/>
      <c r="C688" s="127"/>
      <c r="D688" s="22"/>
      <c r="E688" s="22"/>
      <c r="F688" s="22"/>
      <c r="G688" s="22"/>
      <c r="H688" s="22"/>
      <c r="I688" s="22"/>
      <c r="J688" s="22"/>
      <c r="K688" s="127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>
      <c r="A689" s="127"/>
      <c r="B689" s="22"/>
      <c r="C689" s="127"/>
      <c r="D689" s="22"/>
      <c r="E689" s="22"/>
      <c r="F689" s="22"/>
      <c r="G689" s="22"/>
      <c r="H689" s="22"/>
      <c r="I689" s="22"/>
      <c r="J689" s="22"/>
      <c r="K689" s="127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>
      <c r="A690" s="127"/>
      <c r="B690" s="22"/>
      <c r="C690" s="127"/>
      <c r="D690" s="22"/>
      <c r="E690" s="22"/>
      <c r="F690" s="22"/>
      <c r="G690" s="22"/>
      <c r="H690" s="22"/>
      <c r="I690" s="22"/>
      <c r="J690" s="22"/>
      <c r="K690" s="127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>
      <c r="A691" s="127"/>
      <c r="B691" s="22"/>
      <c r="C691" s="127"/>
      <c r="D691" s="22"/>
      <c r="E691" s="22"/>
      <c r="F691" s="22"/>
      <c r="G691" s="22"/>
      <c r="H691" s="22"/>
      <c r="I691" s="22"/>
      <c r="J691" s="22"/>
      <c r="K691" s="127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>
      <c r="A692" s="127"/>
      <c r="B692" s="22"/>
      <c r="C692" s="127"/>
      <c r="D692" s="22"/>
      <c r="E692" s="22"/>
      <c r="F692" s="22"/>
      <c r="G692" s="22"/>
      <c r="H692" s="22"/>
      <c r="I692" s="22"/>
      <c r="J692" s="22"/>
      <c r="K692" s="127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>
      <c r="A693" s="127"/>
      <c r="B693" s="22"/>
      <c r="C693" s="127"/>
      <c r="D693" s="22"/>
      <c r="E693" s="22"/>
      <c r="F693" s="22"/>
      <c r="G693" s="22"/>
      <c r="H693" s="22"/>
      <c r="I693" s="22"/>
      <c r="J693" s="22"/>
      <c r="K693" s="127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>
      <c r="A694" s="127"/>
      <c r="B694" s="22"/>
      <c r="C694" s="127"/>
      <c r="D694" s="22"/>
      <c r="E694" s="22"/>
      <c r="F694" s="22"/>
      <c r="G694" s="22"/>
      <c r="H694" s="22"/>
      <c r="I694" s="22"/>
      <c r="J694" s="22"/>
      <c r="K694" s="127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>
      <c r="A695" s="127"/>
      <c r="B695" s="22"/>
      <c r="C695" s="127"/>
      <c r="D695" s="22"/>
      <c r="E695" s="22"/>
      <c r="F695" s="22"/>
      <c r="G695" s="22"/>
      <c r="H695" s="22"/>
      <c r="I695" s="22"/>
      <c r="J695" s="22"/>
      <c r="K695" s="127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>
      <c r="A696" s="127"/>
      <c r="B696" s="22"/>
      <c r="C696" s="127"/>
      <c r="D696" s="22"/>
      <c r="E696" s="22"/>
      <c r="F696" s="22"/>
      <c r="G696" s="22"/>
      <c r="H696" s="22"/>
      <c r="I696" s="22"/>
      <c r="J696" s="22"/>
      <c r="K696" s="127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>
      <c r="A697" s="127"/>
      <c r="B697" s="22"/>
      <c r="C697" s="127"/>
      <c r="D697" s="22"/>
      <c r="E697" s="22"/>
      <c r="F697" s="22"/>
      <c r="G697" s="22"/>
      <c r="H697" s="22"/>
      <c r="I697" s="22"/>
      <c r="J697" s="22"/>
      <c r="K697" s="127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>
      <c r="A698" s="127"/>
      <c r="B698" s="22"/>
      <c r="C698" s="127"/>
      <c r="D698" s="22"/>
      <c r="E698" s="22"/>
      <c r="F698" s="22"/>
      <c r="G698" s="22"/>
      <c r="H698" s="22"/>
      <c r="I698" s="22"/>
      <c r="J698" s="22"/>
      <c r="K698" s="127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>
      <c r="A699" s="127"/>
      <c r="B699" s="22"/>
      <c r="C699" s="127"/>
      <c r="D699" s="22"/>
      <c r="E699" s="22"/>
      <c r="F699" s="22"/>
      <c r="G699" s="22"/>
      <c r="H699" s="22"/>
      <c r="I699" s="22"/>
      <c r="J699" s="22"/>
      <c r="K699" s="127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>
      <c r="A700" s="127"/>
      <c r="B700" s="22"/>
      <c r="C700" s="127"/>
      <c r="D700" s="22"/>
      <c r="E700" s="22"/>
      <c r="F700" s="22"/>
      <c r="G700" s="22"/>
      <c r="H700" s="22"/>
      <c r="I700" s="22"/>
      <c r="J700" s="22"/>
      <c r="K700" s="127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>
      <c r="A701" s="127"/>
      <c r="B701" s="22"/>
      <c r="C701" s="127"/>
      <c r="D701" s="22"/>
      <c r="E701" s="22"/>
      <c r="F701" s="22"/>
      <c r="G701" s="22"/>
      <c r="H701" s="22"/>
      <c r="I701" s="22"/>
      <c r="J701" s="22"/>
      <c r="K701" s="127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>
      <c r="A702" s="127"/>
      <c r="B702" s="22"/>
      <c r="C702" s="127"/>
      <c r="D702" s="22"/>
      <c r="E702" s="22"/>
      <c r="F702" s="22"/>
      <c r="G702" s="22"/>
      <c r="H702" s="22"/>
      <c r="I702" s="22"/>
      <c r="J702" s="22"/>
      <c r="K702" s="127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>
      <c r="A703" s="127"/>
      <c r="B703" s="22"/>
      <c r="C703" s="127"/>
      <c r="D703" s="22"/>
      <c r="E703" s="22"/>
      <c r="F703" s="22"/>
      <c r="G703" s="22"/>
      <c r="H703" s="22"/>
      <c r="I703" s="22"/>
      <c r="J703" s="22"/>
      <c r="K703" s="127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>
      <c r="A704" s="127"/>
      <c r="B704" s="22"/>
      <c r="C704" s="127"/>
      <c r="D704" s="22"/>
      <c r="E704" s="22"/>
      <c r="F704" s="22"/>
      <c r="G704" s="22"/>
      <c r="H704" s="22"/>
      <c r="I704" s="22"/>
      <c r="J704" s="22"/>
      <c r="K704" s="127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>
      <c r="A705" s="127"/>
      <c r="B705" s="22"/>
      <c r="C705" s="127"/>
      <c r="D705" s="22"/>
      <c r="E705" s="22"/>
      <c r="F705" s="22"/>
      <c r="G705" s="22"/>
      <c r="H705" s="22"/>
      <c r="I705" s="22"/>
      <c r="J705" s="22"/>
      <c r="K705" s="127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>
      <c r="A706" s="127"/>
      <c r="B706" s="22"/>
      <c r="C706" s="127"/>
      <c r="D706" s="22"/>
      <c r="E706" s="22"/>
      <c r="F706" s="22"/>
      <c r="G706" s="22"/>
      <c r="H706" s="22"/>
      <c r="I706" s="22"/>
      <c r="J706" s="22"/>
      <c r="K706" s="127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>
      <c r="A707" s="127"/>
      <c r="B707" s="22"/>
      <c r="C707" s="127"/>
      <c r="D707" s="22"/>
      <c r="E707" s="22"/>
      <c r="F707" s="22"/>
      <c r="G707" s="22"/>
      <c r="H707" s="22"/>
      <c r="I707" s="22"/>
      <c r="J707" s="22"/>
      <c r="K707" s="127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>
      <c r="A708" s="127"/>
      <c r="B708" s="22"/>
      <c r="C708" s="127"/>
      <c r="D708" s="22"/>
      <c r="E708" s="22"/>
      <c r="F708" s="22"/>
      <c r="G708" s="22"/>
      <c r="H708" s="22"/>
      <c r="I708" s="22"/>
      <c r="J708" s="22"/>
      <c r="K708" s="127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>
      <c r="A709" s="127"/>
      <c r="B709" s="22"/>
      <c r="C709" s="127"/>
      <c r="D709" s="22"/>
      <c r="E709" s="22"/>
      <c r="F709" s="22"/>
      <c r="G709" s="22"/>
      <c r="H709" s="22"/>
      <c r="I709" s="22"/>
      <c r="J709" s="22"/>
      <c r="K709" s="127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>
      <c r="A710" s="127"/>
      <c r="B710" s="22"/>
      <c r="C710" s="127"/>
      <c r="D710" s="22"/>
      <c r="E710" s="22"/>
      <c r="F710" s="22"/>
      <c r="G710" s="22"/>
      <c r="H710" s="22"/>
      <c r="I710" s="22"/>
      <c r="J710" s="22"/>
      <c r="K710" s="127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>
      <c r="A711" s="127"/>
      <c r="B711" s="22"/>
      <c r="C711" s="127"/>
      <c r="D711" s="22"/>
      <c r="E711" s="22"/>
      <c r="F711" s="22"/>
      <c r="G711" s="22"/>
      <c r="H711" s="22"/>
      <c r="I711" s="22"/>
      <c r="J711" s="22"/>
      <c r="K711" s="127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>
      <c r="A712" s="127"/>
      <c r="B712" s="22"/>
      <c r="C712" s="127"/>
      <c r="D712" s="22"/>
      <c r="E712" s="22"/>
      <c r="F712" s="22"/>
      <c r="G712" s="22"/>
      <c r="H712" s="22"/>
      <c r="I712" s="22"/>
      <c r="J712" s="22"/>
      <c r="K712" s="127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</row>
    <row r="713">
      <c r="A713" s="127"/>
      <c r="B713" s="22"/>
      <c r="C713" s="127"/>
      <c r="D713" s="22"/>
      <c r="E713" s="22"/>
      <c r="F713" s="22"/>
      <c r="G713" s="22"/>
      <c r="H713" s="22"/>
      <c r="I713" s="22"/>
      <c r="J713" s="22"/>
      <c r="K713" s="127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</row>
    <row r="714">
      <c r="A714" s="127"/>
      <c r="B714" s="22"/>
      <c r="C714" s="127"/>
      <c r="D714" s="22"/>
      <c r="E714" s="22"/>
      <c r="F714" s="22"/>
      <c r="G714" s="22"/>
      <c r="H714" s="22"/>
      <c r="I714" s="22"/>
      <c r="J714" s="22"/>
      <c r="K714" s="127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</row>
    <row r="715">
      <c r="A715" s="127"/>
      <c r="B715" s="22"/>
      <c r="C715" s="127"/>
      <c r="D715" s="22"/>
      <c r="E715" s="22"/>
      <c r="F715" s="22"/>
      <c r="G715" s="22"/>
      <c r="H715" s="22"/>
      <c r="I715" s="22"/>
      <c r="J715" s="22"/>
      <c r="K715" s="127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</row>
    <row r="716">
      <c r="A716" s="127"/>
      <c r="B716" s="22"/>
      <c r="C716" s="127"/>
      <c r="D716" s="22"/>
      <c r="E716" s="22"/>
      <c r="F716" s="22"/>
      <c r="G716" s="22"/>
      <c r="H716" s="22"/>
      <c r="I716" s="22"/>
      <c r="J716" s="22"/>
      <c r="K716" s="127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</row>
    <row r="717">
      <c r="A717" s="127"/>
      <c r="B717" s="22"/>
      <c r="C717" s="127"/>
      <c r="D717" s="22"/>
      <c r="E717" s="22"/>
      <c r="F717" s="22"/>
      <c r="G717" s="22"/>
      <c r="H717" s="22"/>
      <c r="I717" s="22"/>
      <c r="J717" s="22"/>
      <c r="K717" s="127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</row>
    <row r="718">
      <c r="A718" s="127"/>
      <c r="B718" s="22"/>
      <c r="C718" s="127"/>
      <c r="D718" s="22"/>
      <c r="E718" s="22"/>
      <c r="F718" s="22"/>
      <c r="G718" s="22"/>
      <c r="H718" s="22"/>
      <c r="I718" s="22"/>
      <c r="J718" s="22"/>
      <c r="K718" s="127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</row>
    <row r="719">
      <c r="A719" s="127"/>
      <c r="B719" s="22"/>
      <c r="C719" s="127"/>
      <c r="D719" s="22"/>
      <c r="E719" s="22"/>
      <c r="F719" s="22"/>
      <c r="G719" s="22"/>
      <c r="H719" s="22"/>
      <c r="I719" s="22"/>
      <c r="J719" s="22"/>
      <c r="K719" s="127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</row>
    <row r="720">
      <c r="A720" s="127"/>
      <c r="B720" s="22"/>
      <c r="C720" s="127"/>
      <c r="D720" s="22"/>
      <c r="E720" s="22"/>
      <c r="F720" s="22"/>
      <c r="G720" s="22"/>
      <c r="H720" s="22"/>
      <c r="I720" s="22"/>
      <c r="J720" s="22"/>
      <c r="K720" s="127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</row>
    <row r="721">
      <c r="A721" s="127"/>
      <c r="B721" s="22"/>
      <c r="C721" s="127"/>
      <c r="D721" s="22"/>
      <c r="E721" s="22"/>
      <c r="F721" s="22"/>
      <c r="G721" s="22"/>
      <c r="H721" s="22"/>
      <c r="I721" s="22"/>
      <c r="J721" s="22"/>
      <c r="K721" s="127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</row>
    <row r="722">
      <c r="A722" s="127"/>
      <c r="B722" s="22"/>
      <c r="C722" s="127"/>
      <c r="D722" s="22"/>
      <c r="E722" s="22"/>
      <c r="F722" s="22"/>
      <c r="G722" s="22"/>
      <c r="H722" s="22"/>
      <c r="I722" s="22"/>
      <c r="J722" s="22"/>
      <c r="K722" s="127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</row>
    <row r="723">
      <c r="A723" s="127"/>
      <c r="B723" s="22"/>
      <c r="C723" s="127"/>
      <c r="D723" s="22"/>
      <c r="E723" s="22"/>
      <c r="F723" s="22"/>
      <c r="G723" s="22"/>
      <c r="H723" s="22"/>
      <c r="I723" s="22"/>
      <c r="J723" s="22"/>
      <c r="K723" s="127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</row>
    <row r="724">
      <c r="A724" s="127"/>
      <c r="B724" s="22"/>
      <c r="C724" s="127"/>
      <c r="D724" s="22"/>
      <c r="E724" s="22"/>
      <c r="F724" s="22"/>
      <c r="G724" s="22"/>
      <c r="H724" s="22"/>
      <c r="I724" s="22"/>
      <c r="J724" s="22"/>
      <c r="K724" s="127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</row>
    <row r="725">
      <c r="A725" s="127"/>
      <c r="B725" s="22"/>
      <c r="C725" s="127"/>
      <c r="D725" s="22"/>
      <c r="E725" s="22"/>
      <c r="F725" s="22"/>
      <c r="G725" s="22"/>
      <c r="H725" s="22"/>
      <c r="I725" s="22"/>
      <c r="J725" s="22"/>
      <c r="K725" s="127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</row>
    <row r="726">
      <c r="A726" s="127"/>
      <c r="B726" s="22"/>
      <c r="C726" s="127"/>
      <c r="D726" s="22"/>
      <c r="E726" s="22"/>
      <c r="F726" s="22"/>
      <c r="G726" s="22"/>
      <c r="H726" s="22"/>
      <c r="I726" s="22"/>
      <c r="J726" s="22"/>
      <c r="K726" s="127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</row>
    <row r="727">
      <c r="A727" s="127"/>
      <c r="B727" s="22"/>
      <c r="C727" s="127"/>
      <c r="D727" s="22"/>
      <c r="E727" s="22"/>
      <c r="F727" s="22"/>
      <c r="G727" s="22"/>
      <c r="H727" s="22"/>
      <c r="I727" s="22"/>
      <c r="J727" s="22"/>
      <c r="K727" s="127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</row>
    <row r="728">
      <c r="A728" s="127"/>
      <c r="B728" s="22"/>
      <c r="C728" s="127"/>
      <c r="D728" s="22"/>
      <c r="E728" s="22"/>
      <c r="F728" s="22"/>
      <c r="G728" s="22"/>
      <c r="H728" s="22"/>
      <c r="I728" s="22"/>
      <c r="J728" s="22"/>
      <c r="K728" s="127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</row>
    <row r="729">
      <c r="A729" s="127"/>
      <c r="B729" s="22"/>
      <c r="C729" s="127"/>
      <c r="D729" s="22"/>
      <c r="E729" s="22"/>
      <c r="F729" s="22"/>
      <c r="G729" s="22"/>
      <c r="H729" s="22"/>
      <c r="I729" s="22"/>
      <c r="J729" s="22"/>
      <c r="K729" s="127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</row>
    <row r="730">
      <c r="A730" s="127"/>
      <c r="B730" s="22"/>
      <c r="C730" s="127"/>
      <c r="D730" s="22"/>
      <c r="E730" s="22"/>
      <c r="F730" s="22"/>
      <c r="G730" s="22"/>
      <c r="H730" s="22"/>
      <c r="I730" s="22"/>
      <c r="J730" s="22"/>
      <c r="K730" s="127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</row>
    <row r="731">
      <c r="A731" s="127"/>
      <c r="B731" s="22"/>
      <c r="C731" s="127"/>
      <c r="D731" s="22"/>
      <c r="E731" s="22"/>
      <c r="F731" s="22"/>
      <c r="G731" s="22"/>
      <c r="H731" s="22"/>
      <c r="I731" s="22"/>
      <c r="J731" s="22"/>
      <c r="K731" s="127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</row>
    <row r="732">
      <c r="A732" s="127"/>
      <c r="B732" s="22"/>
      <c r="C732" s="127"/>
      <c r="D732" s="22"/>
      <c r="E732" s="22"/>
      <c r="F732" s="22"/>
      <c r="G732" s="22"/>
      <c r="H732" s="22"/>
      <c r="I732" s="22"/>
      <c r="J732" s="22"/>
      <c r="K732" s="127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</row>
    <row r="733">
      <c r="A733" s="127"/>
      <c r="B733" s="22"/>
      <c r="C733" s="127"/>
      <c r="D733" s="22"/>
      <c r="E733" s="22"/>
      <c r="F733" s="22"/>
      <c r="G733" s="22"/>
      <c r="H733" s="22"/>
      <c r="I733" s="22"/>
      <c r="J733" s="22"/>
      <c r="K733" s="127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</row>
    <row r="734">
      <c r="A734" s="127"/>
      <c r="B734" s="22"/>
      <c r="C734" s="127"/>
      <c r="D734" s="22"/>
      <c r="E734" s="22"/>
      <c r="F734" s="22"/>
      <c r="G734" s="22"/>
      <c r="H734" s="22"/>
      <c r="I734" s="22"/>
      <c r="J734" s="22"/>
      <c r="K734" s="127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</row>
    <row r="735">
      <c r="A735" s="127"/>
      <c r="B735" s="22"/>
      <c r="C735" s="127"/>
      <c r="D735" s="22"/>
      <c r="E735" s="22"/>
      <c r="F735" s="22"/>
      <c r="G735" s="22"/>
      <c r="H735" s="22"/>
      <c r="I735" s="22"/>
      <c r="J735" s="22"/>
      <c r="K735" s="127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</row>
    <row r="736">
      <c r="A736" s="127"/>
      <c r="B736" s="22"/>
      <c r="C736" s="127"/>
      <c r="D736" s="22"/>
      <c r="E736" s="22"/>
      <c r="F736" s="22"/>
      <c r="G736" s="22"/>
      <c r="H736" s="22"/>
      <c r="I736" s="22"/>
      <c r="J736" s="22"/>
      <c r="K736" s="127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</row>
    <row r="737">
      <c r="A737" s="127"/>
      <c r="B737" s="22"/>
      <c r="C737" s="127"/>
      <c r="D737" s="22"/>
      <c r="E737" s="22"/>
      <c r="F737" s="22"/>
      <c r="G737" s="22"/>
      <c r="H737" s="22"/>
      <c r="I737" s="22"/>
      <c r="J737" s="22"/>
      <c r="K737" s="127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</row>
    <row r="738">
      <c r="A738" s="127"/>
      <c r="B738" s="22"/>
      <c r="C738" s="127"/>
      <c r="D738" s="22"/>
      <c r="E738" s="22"/>
      <c r="F738" s="22"/>
      <c r="G738" s="22"/>
      <c r="H738" s="22"/>
      <c r="I738" s="22"/>
      <c r="J738" s="22"/>
      <c r="K738" s="127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</row>
    <row r="739">
      <c r="A739" s="127"/>
      <c r="B739" s="22"/>
      <c r="C739" s="127"/>
      <c r="D739" s="22"/>
      <c r="E739" s="22"/>
      <c r="F739" s="22"/>
      <c r="G739" s="22"/>
      <c r="H739" s="22"/>
      <c r="I739" s="22"/>
      <c r="J739" s="22"/>
      <c r="K739" s="127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</row>
    <row r="740">
      <c r="A740" s="127"/>
      <c r="B740" s="22"/>
      <c r="C740" s="127"/>
      <c r="D740" s="22"/>
      <c r="E740" s="22"/>
      <c r="F740" s="22"/>
      <c r="G740" s="22"/>
      <c r="H740" s="22"/>
      <c r="I740" s="22"/>
      <c r="J740" s="22"/>
      <c r="K740" s="127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</row>
    <row r="741">
      <c r="A741" s="127"/>
      <c r="B741" s="22"/>
      <c r="C741" s="127"/>
      <c r="D741" s="22"/>
      <c r="E741" s="22"/>
      <c r="F741" s="22"/>
      <c r="G741" s="22"/>
      <c r="H741" s="22"/>
      <c r="I741" s="22"/>
      <c r="J741" s="22"/>
      <c r="K741" s="127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</row>
    <row r="742">
      <c r="A742" s="127"/>
      <c r="B742" s="22"/>
      <c r="C742" s="127"/>
      <c r="D742" s="22"/>
      <c r="E742" s="22"/>
      <c r="F742" s="22"/>
      <c r="G742" s="22"/>
      <c r="H742" s="22"/>
      <c r="I742" s="22"/>
      <c r="J742" s="22"/>
      <c r="K742" s="127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</row>
    <row r="743">
      <c r="A743" s="127"/>
      <c r="B743" s="22"/>
      <c r="C743" s="127"/>
      <c r="D743" s="22"/>
      <c r="E743" s="22"/>
      <c r="F743" s="22"/>
      <c r="G743" s="22"/>
      <c r="H743" s="22"/>
      <c r="I743" s="22"/>
      <c r="J743" s="22"/>
      <c r="K743" s="127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</row>
    <row r="744">
      <c r="A744" s="127"/>
      <c r="B744" s="22"/>
      <c r="C744" s="127"/>
      <c r="D744" s="22"/>
      <c r="E744" s="22"/>
      <c r="F744" s="22"/>
      <c r="G744" s="22"/>
      <c r="H744" s="22"/>
      <c r="I744" s="22"/>
      <c r="J744" s="22"/>
      <c r="K744" s="127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</row>
    <row r="745">
      <c r="A745" s="127"/>
      <c r="B745" s="22"/>
      <c r="C745" s="127"/>
      <c r="D745" s="22"/>
      <c r="E745" s="22"/>
      <c r="F745" s="22"/>
      <c r="G745" s="22"/>
      <c r="H745" s="22"/>
      <c r="I745" s="22"/>
      <c r="J745" s="22"/>
      <c r="K745" s="127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</row>
    <row r="746">
      <c r="A746" s="127"/>
      <c r="B746" s="22"/>
      <c r="C746" s="127"/>
      <c r="D746" s="22"/>
      <c r="E746" s="22"/>
      <c r="F746" s="22"/>
      <c r="G746" s="22"/>
      <c r="H746" s="22"/>
      <c r="I746" s="22"/>
      <c r="J746" s="22"/>
      <c r="K746" s="127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</row>
    <row r="747">
      <c r="A747" s="127"/>
      <c r="B747" s="22"/>
      <c r="C747" s="127"/>
      <c r="D747" s="22"/>
      <c r="E747" s="22"/>
      <c r="F747" s="22"/>
      <c r="G747" s="22"/>
      <c r="H747" s="22"/>
      <c r="I747" s="22"/>
      <c r="J747" s="22"/>
      <c r="K747" s="127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</row>
    <row r="748">
      <c r="A748" s="127"/>
      <c r="B748" s="22"/>
      <c r="C748" s="127"/>
      <c r="D748" s="22"/>
      <c r="E748" s="22"/>
      <c r="F748" s="22"/>
      <c r="G748" s="22"/>
      <c r="H748" s="22"/>
      <c r="I748" s="22"/>
      <c r="J748" s="22"/>
      <c r="K748" s="127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</row>
    <row r="749">
      <c r="A749" s="127"/>
      <c r="B749" s="22"/>
      <c r="C749" s="127"/>
      <c r="D749" s="22"/>
      <c r="E749" s="22"/>
      <c r="F749" s="22"/>
      <c r="G749" s="22"/>
      <c r="H749" s="22"/>
      <c r="I749" s="22"/>
      <c r="J749" s="22"/>
      <c r="K749" s="127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</row>
    <row r="750">
      <c r="A750" s="127"/>
      <c r="B750" s="22"/>
      <c r="C750" s="127"/>
      <c r="D750" s="22"/>
      <c r="E750" s="22"/>
      <c r="F750" s="22"/>
      <c r="G750" s="22"/>
      <c r="H750" s="22"/>
      <c r="I750" s="22"/>
      <c r="J750" s="22"/>
      <c r="K750" s="127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</row>
    <row r="751">
      <c r="A751" s="127"/>
      <c r="B751" s="22"/>
      <c r="C751" s="127"/>
      <c r="D751" s="22"/>
      <c r="E751" s="22"/>
      <c r="F751" s="22"/>
      <c r="G751" s="22"/>
      <c r="H751" s="22"/>
      <c r="I751" s="22"/>
      <c r="J751" s="22"/>
      <c r="K751" s="127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</row>
    <row r="752">
      <c r="A752" s="127"/>
      <c r="B752" s="22"/>
      <c r="C752" s="127"/>
      <c r="D752" s="22"/>
      <c r="E752" s="22"/>
      <c r="F752" s="22"/>
      <c r="G752" s="22"/>
      <c r="H752" s="22"/>
      <c r="I752" s="22"/>
      <c r="J752" s="22"/>
      <c r="K752" s="127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</row>
    <row r="753">
      <c r="A753" s="127"/>
      <c r="B753" s="22"/>
      <c r="C753" s="127"/>
      <c r="D753" s="22"/>
      <c r="E753" s="22"/>
      <c r="F753" s="22"/>
      <c r="G753" s="22"/>
      <c r="H753" s="22"/>
      <c r="I753" s="22"/>
      <c r="J753" s="22"/>
      <c r="K753" s="127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</row>
    <row r="754">
      <c r="A754" s="127"/>
      <c r="B754" s="22"/>
      <c r="C754" s="127"/>
      <c r="D754" s="22"/>
      <c r="E754" s="22"/>
      <c r="F754" s="22"/>
      <c r="G754" s="22"/>
      <c r="H754" s="22"/>
      <c r="I754" s="22"/>
      <c r="J754" s="22"/>
      <c r="K754" s="127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</row>
    <row r="755">
      <c r="A755" s="127"/>
      <c r="B755" s="22"/>
      <c r="C755" s="127"/>
      <c r="D755" s="22"/>
      <c r="E755" s="22"/>
      <c r="F755" s="22"/>
      <c r="G755" s="22"/>
      <c r="H755" s="22"/>
      <c r="I755" s="22"/>
      <c r="J755" s="22"/>
      <c r="K755" s="127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</row>
    <row r="756">
      <c r="A756" s="127"/>
      <c r="B756" s="22"/>
      <c r="C756" s="127"/>
      <c r="D756" s="22"/>
      <c r="E756" s="22"/>
      <c r="F756" s="22"/>
      <c r="G756" s="22"/>
      <c r="H756" s="22"/>
      <c r="I756" s="22"/>
      <c r="J756" s="22"/>
      <c r="K756" s="127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</row>
    <row r="757">
      <c r="A757" s="127"/>
      <c r="B757" s="22"/>
      <c r="C757" s="127"/>
      <c r="D757" s="22"/>
      <c r="E757" s="22"/>
      <c r="F757" s="22"/>
      <c r="G757" s="22"/>
      <c r="H757" s="22"/>
      <c r="I757" s="22"/>
      <c r="J757" s="22"/>
      <c r="K757" s="127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</row>
    <row r="758">
      <c r="A758" s="127"/>
      <c r="B758" s="22"/>
      <c r="C758" s="127"/>
      <c r="D758" s="22"/>
      <c r="E758" s="22"/>
      <c r="F758" s="22"/>
      <c r="G758" s="22"/>
      <c r="H758" s="22"/>
      <c r="I758" s="22"/>
      <c r="J758" s="22"/>
      <c r="K758" s="127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</row>
    <row r="759">
      <c r="A759" s="127"/>
      <c r="B759" s="22"/>
      <c r="C759" s="127"/>
      <c r="D759" s="22"/>
      <c r="E759" s="22"/>
      <c r="F759" s="22"/>
      <c r="G759" s="22"/>
      <c r="H759" s="22"/>
      <c r="I759" s="22"/>
      <c r="J759" s="22"/>
      <c r="K759" s="127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</row>
    <row r="760">
      <c r="A760" s="127"/>
      <c r="B760" s="22"/>
      <c r="C760" s="127"/>
      <c r="D760" s="22"/>
      <c r="E760" s="22"/>
      <c r="F760" s="22"/>
      <c r="G760" s="22"/>
      <c r="H760" s="22"/>
      <c r="I760" s="22"/>
      <c r="J760" s="22"/>
      <c r="K760" s="127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</row>
    <row r="761">
      <c r="A761" s="127"/>
      <c r="B761" s="22"/>
      <c r="C761" s="127"/>
      <c r="D761" s="22"/>
      <c r="E761" s="22"/>
      <c r="F761" s="22"/>
      <c r="G761" s="22"/>
      <c r="H761" s="22"/>
      <c r="I761" s="22"/>
      <c r="J761" s="22"/>
      <c r="K761" s="127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</row>
    <row r="762">
      <c r="A762" s="127"/>
      <c r="B762" s="22"/>
      <c r="C762" s="127"/>
      <c r="D762" s="22"/>
      <c r="E762" s="22"/>
      <c r="F762" s="22"/>
      <c r="G762" s="22"/>
      <c r="H762" s="22"/>
      <c r="I762" s="22"/>
      <c r="J762" s="22"/>
      <c r="K762" s="127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</row>
    <row r="763">
      <c r="A763" s="127"/>
      <c r="B763" s="22"/>
      <c r="C763" s="127"/>
      <c r="D763" s="22"/>
      <c r="E763" s="22"/>
      <c r="F763" s="22"/>
      <c r="G763" s="22"/>
      <c r="H763" s="22"/>
      <c r="I763" s="22"/>
      <c r="J763" s="22"/>
      <c r="K763" s="127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</row>
    <row r="764">
      <c r="A764" s="127"/>
      <c r="B764" s="22"/>
      <c r="C764" s="127"/>
      <c r="D764" s="22"/>
      <c r="E764" s="22"/>
      <c r="F764" s="22"/>
      <c r="G764" s="22"/>
      <c r="H764" s="22"/>
      <c r="I764" s="22"/>
      <c r="J764" s="22"/>
      <c r="K764" s="127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</row>
    <row r="765">
      <c r="A765" s="127"/>
      <c r="B765" s="22"/>
      <c r="C765" s="127"/>
      <c r="D765" s="22"/>
      <c r="E765" s="22"/>
      <c r="F765" s="22"/>
      <c r="G765" s="22"/>
      <c r="H765" s="22"/>
      <c r="I765" s="22"/>
      <c r="J765" s="22"/>
      <c r="K765" s="127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</row>
    <row r="766">
      <c r="A766" s="127"/>
      <c r="B766" s="22"/>
      <c r="C766" s="127"/>
      <c r="D766" s="22"/>
      <c r="E766" s="22"/>
      <c r="F766" s="22"/>
      <c r="G766" s="22"/>
      <c r="H766" s="22"/>
      <c r="I766" s="22"/>
      <c r="J766" s="22"/>
      <c r="K766" s="127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</row>
    <row r="767">
      <c r="A767" s="127"/>
      <c r="B767" s="22"/>
      <c r="C767" s="127"/>
      <c r="D767" s="22"/>
      <c r="E767" s="22"/>
      <c r="F767" s="22"/>
      <c r="G767" s="22"/>
      <c r="H767" s="22"/>
      <c r="I767" s="22"/>
      <c r="J767" s="22"/>
      <c r="K767" s="127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</row>
    <row r="768">
      <c r="A768" s="127"/>
      <c r="B768" s="22"/>
      <c r="C768" s="127"/>
      <c r="D768" s="22"/>
      <c r="E768" s="22"/>
      <c r="F768" s="22"/>
      <c r="G768" s="22"/>
      <c r="H768" s="22"/>
      <c r="I768" s="22"/>
      <c r="J768" s="22"/>
      <c r="K768" s="127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</row>
    <row r="769">
      <c r="A769" s="127"/>
      <c r="B769" s="22"/>
      <c r="C769" s="127"/>
      <c r="D769" s="22"/>
      <c r="E769" s="22"/>
      <c r="F769" s="22"/>
      <c r="G769" s="22"/>
      <c r="H769" s="22"/>
      <c r="I769" s="22"/>
      <c r="J769" s="22"/>
      <c r="K769" s="127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</row>
    <row r="770">
      <c r="A770" s="127"/>
      <c r="B770" s="22"/>
      <c r="C770" s="127"/>
      <c r="D770" s="22"/>
      <c r="E770" s="22"/>
      <c r="F770" s="22"/>
      <c r="G770" s="22"/>
      <c r="H770" s="22"/>
      <c r="I770" s="22"/>
      <c r="J770" s="22"/>
      <c r="K770" s="127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</row>
    <row r="771">
      <c r="A771" s="127"/>
      <c r="B771" s="22"/>
      <c r="C771" s="127"/>
      <c r="D771" s="22"/>
      <c r="E771" s="22"/>
      <c r="F771" s="22"/>
      <c r="G771" s="22"/>
      <c r="H771" s="22"/>
      <c r="I771" s="22"/>
      <c r="J771" s="22"/>
      <c r="K771" s="127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</row>
    <row r="772">
      <c r="A772" s="127"/>
      <c r="B772" s="22"/>
      <c r="C772" s="127"/>
      <c r="D772" s="22"/>
      <c r="E772" s="22"/>
      <c r="F772" s="22"/>
      <c r="G772" s="22"/>
      <c r="H772" s="22"/>
      <c r="I772" s="22"/>
      <c r="J772" s="22"/>
      <c r="K772" s="127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</row>
    <row r="773">
      <c r="A773" s="127"/>
      <c r="B773" s="22"/>
      <c r="C773" s="127"/>
      <c r="D773" s="22"/>
      <c r="E773" s="22"/>
      <c r="F773" s="22"/>
      <c r="G773" s="22"/>
      <c r="H773" s="22"/>
      <c r="I773" s="22"/>
      <c r="J773" s="22"/>
      <c r="K773" s="127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</row>
    <row r="774">
      <c r="A774" s="127"/>
      <c r="B774" s="22"/>
      <c r="C774" s="127"/>
      <c r="D774" s="22"/>
      <c r="E774" s="22"/>
      <c r="F774" s="22"/>
      <c r="G774" s="22"/>
      <c r="H774" s="22"/>
      <c r="I774" s="22"/>
      <c r="J774" s="22"/>
      <c r="K774" s="127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</row>
    <row r="775">
      <c r="A775" s="127"/>
      <c r="B775" s="22"/>
      <c r="C775" s="127"/>
      <c r="D775" s="22"/>
      <c r="E775" s="22"/>
      <c r="F775" s="22"/>
      <c r="G775" s="22"/>
      <c r="H775" s="22"/>
      <c r="I775" s="22"/>
      <c r="J775" s="22"/>
      <c r="K775" s="127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</row>
    <row r="776">
      <c r="A776" s="127"/>
      <c r="B776" s="22"/>
      <c r="C776" s="127"/>
      <c r="D776" s="22"/>
      <c r="E776" s="22"/>
      <c r="F776" s="22"/>
      <c r="G776" s="22"/>
      <c r="H776" s="22"/>
      <c r="I776" s="22"/>
      <c r="J776" s="22"/>
      <c r="K776" s="127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</row>
    <row r="777">
      <c r="A777" s="127"/>
      <c r="B777" s="22"/>
      <c r="C777" s="127"/>
      <c r="D777" s="22"/>
      <c r="E777" s="22"/>
      <c r="F777" s="22"/>
      <c r="G777" s="22"/>
      <c r="H777" s="22"/>
      <c r="I777" s="22"/>
      <c r="J777" s="22"/>
      <c r="K777" s="127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</row>
    <row r="778">
      <c r="A778" s="127"/>
      <c r="B778" s="22"/>
      <c r="C778" s="127"/>
      <c r="D778" s="22"/>
      <c r="E778" s="22"/>
      <c r="F778" s="22"/>
      <c r="G778" s="22"/>
      <c r="H778" s="22"/>
      <c r="I778" s="22"/>
      <c r="J778" s="22"/>
      <c r="K778" s="127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</row>
    <row r="779">
      <c r="A779" s="127"/>
      <c r="B779" s="22"/>
      <c r="C779" s="127"/>
      <c r="D779" s="22"/>
      <c r="E779" s="22"/>
      <c r="F779" s="22"/>
      <c r="G779" s="22"/>
      <c r="H779" s="22"/>
      <c r="I779" s="22"/>
      <c r="J779" s="22"/>
      <c r="K779" s="127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</row>
    <row r="780">
      <c r="A780" s="127"/>
      <c r="B780" s="22"/>
      <c r="C780" s="127"/>
      <c r="D780" s="22"/>
      <c r="E780" s="22"/>
      <c r="F780" s="22"/>
      <c r="G780" s="22"/>
      <c r="H780" s="22"/>
      <c r="I780" s="22"/>
      <c r="J780" s="22"/>
      <c r="K780" s="127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</row>
    <row r="781">
      <c r="A781" s="127"/>
      <c r="B781" s="22"/>
      <c r="C781" s="127"/>
      <c r="D781" s="22"/>
      <c r="E781" s="22"/>
      <c r="F781" s="22"/>
      <c r="G781" s="22"/>
      <c r="H781" s="22"/>
      <c r="I781" s="22"/>
      <c r="J781" s="22"/>
      <c r="K781" s="127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</row>
    <row r="782">
      <c r="A782" s="127"/>
      <c r="B782" s="22"/>
      <c r="C782" s="127"/>
      <c r="D782" s="22"/>
      <c r="E782" s="22"/>
      <c r="F782" s="22"/>
      <c r="G782" s="22"/>
      <c r="H782" s="22"/>
      <c r="I782" s="22"/>
      <c r="J782" s="22"/>
      <c r="K782" s="127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</row>
    <row r="783">
      <c r="A783" s="127"/>
      <c r="B783" s="22"/>
      <c r="C783" s="127"/>
      <c r="D783" s="22"/>
      <c r="E783" s="22"/>
      <c r="F783" s="22"/>
      <c r="G783" s="22"/>
      <c r="H783" s="22"/>
      <c r="I783" s="22"/>
      <c r="J783" s="22"/>
      <c r="K783" s="127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</row>
    <row r="784">
      <c r="A784" s="127"/>
      <c r="B784" s="22"/>
      <c r="C784" s="127"/>
      <c r="D784" s="22"/>
      <c r="E784" s="22"/>
      <c r="F784" s="22"/>
      <c r="G784" s="22"/>
      <c r="H784" s="22"/>
      <c r="I784" s="22"/>
      <c r="J784" s="22"/>
      <c r="K784" s="127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</row>
    <row r="785">
      <c r="A785" s="127"/>
      <c r="B785" s="22"/>
      <c r="C785" s="127"/>
      <c r="D785" s="22"/>
      <c r="E785" s="22"/>
      <c r="F785" s="22"/>
      <c r="G785" s="22"/>
      <c r="H785" s="22"/>
      <c r="I785" s="22"/>
      <c r="J785" s="22"/>
      <c r="K785" s="127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</row>
    <row r="786">
      <c r="A786" s="127"/>
      <c r="B786" s="22"/>
      <c r="C786" s="127"/>
      <c r="D786" s="22"/>
      <c r="E786" s="22"/>
      <c r="F786" s="22"/>
      <c r="G786" s="22"/>
      <c r="H786" s="22"/>
      <c r="I786" s="22"/>
      <c r="J786" s="22"/>
      <c r="K786" s="127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</row>
    <row r="787">
      <c r="A787" s="127"/>
      <c r="B787" s="22"/>
      <c r="C787" s="127"/>
      <c r="D787" s="22"/>
      <c r="E787" s="22"/>
      <c r="F787" s="22"/>
      <c r="G787" s="22"/>
      <c r="H787" s="22"/>
      <c r="I787" s="22"/>
      <c r="J787" s="22"/>
      <c r="K787" s="127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</row>
    <row r="788">
      <c r="A788" s="127"/>
      <c r="B788" s="22"/>
      <c r="C788" s="127"/>
      <c r="D788" s="22"/>
      <c r="E788" s="22"/>
      <c r="F788" s="22"/>
      <c r="G788" s="22"/>
      <c r="H788" s="22"/>
      <c r="I788" s="22"/>
      <c r="J788" s="22"/>
      <c r="K788" s="127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</row>
    <row r="789">
      <c r="A789" s="127"/>
      <c r="B789" s="22"/>
      <c r="C789" s="127"/>
      <c r="D789" s="22"/>
      <c r="E789" s="22"/>
      <c r="F789" s="22"/>
      <c r="G789" s="22"/>
      <c r="H789" s="22"/>
      <c r="I789" s="22"/>
      <c r="J789" s="22"/>
      <c r="K789" s="127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</row>
    <row r="790">
      <c r="A790" s="127"/>
      <c r="B790" s="22"/>
      <c r="C790" s="127"/>
      <c r="D790" s="22"/>
      <c r="E790" s="22"/>
      <c r="F790" s="22"/>
      <c r="G790" s="22"/>
      <c r="H790" s="22"/>
      <c r="I790" s="22"/>
      <c r="J790" s="22"/>
      <c r="K790" s="127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</row>
    <row r="791">
      <c r="A791" s="127"/>
      <c r="B791" s="22"/>
      <c r="C791" s="127"/>
      <c r="D791" s="22"/>
      <c r="E791" s="22"/>
      <c r="F791" s="22"/>
      <c r="G791" s="22"/>
      <c r="H791" s="22"/>
      <c r="I791" s="22"/>
      <c r="J791" s="22"/>
      <c r="K791" s="127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</row>
    <row r="792">
      <c r="A792" s="127"/>
      <c r="B792" s="22"/>
      <c r="C792" s="127"/>
      <c r="D792" s="22"/>
      <c r="E792" s="22"/>
      <c r="F792" s="22"/>
      <c r="G792" s="22"/>
      <c r="H792" s="22"/>
      <c r="I792" s="22"/>
      <c r="J792" s="22"/>
      <c r="K792" s="127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</row>
    <row r="793">
      <c r="A793" s="127"/>
      <c r="B793" s="22"/>
      <c r="C793" s="127"/>
      <c r="D793" s="22"/>
      <c r="E793" s="22"/>
      <c r="F793" s="22"/>
      <c r="G793" s="22"/>
      <c r="H793" s="22"/>
      <c r="I793" s="22"/>
      <c r="J793" s="22"/>
      <c r="K793" s="127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</row>
    <row r="794">
      <c r="A794" s="127"/>
      <c r="B794" s="22"/>
      <c r="C794" s="127"/>
      <c r="D794" s="22"/>
      <c r="E794" s="22"/>
      <c r="F794" s="22"/>
      <c r="G794" s="22"/>
      <c r="H794" s="22"/>
      <c r="I794" s="22"/>
      <c r="J794" s="22"/>
      <c r="K794" s="127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</row>
    <row r="795">
      <c r="A795" s="127"/>
      <c r="B795" s="22"/>
      <c r="C795" s="127"/>
      <c r="D795" s="22"/>
      <c r="E795" s="22"/>
      <c r="F795" s="22"/>
      <c r="G795" s="22"/>
      <c r="H795" s="22"/>
      <c r="I795" s="22"/>
      <c r="J795" s="22"/>
      <c r="K795" s="127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</row>
    <row r="796">
      <c r="A796" s="127"/>
      <c r="B796" s="22"/>
      <c r="C796" s="127"/>
      <c r="D796" s="22"/>
      <c r="E796" s="22"/>
      <c r="F796" s="22"/>
      <c r="G796" s="22"/>
      <c r="H796" s="22"/>
      <c r="I796" s="22"/>
      <c r="J796" s="22"/>
      <c r="K796" s="127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</row>
    <row r="797">
      <c r="A797" s="127"/>
      <c r="B797" s="22"/>
      <c r="C797" s="127"/>
      <c r="D797" s="22"/>
      <c r="E797" s="22"/>
      <c r="F797" s="22"/>
      <c r="G797" s="22"/>
      <c r="H797" s="22"/>
      <c r="I797" s="22"/>
      <c r="J797" s="22"/>
      <c r="K797" s="127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</row>
    <row r="798">
      <c r="A798" s="127"/>
      <c r="B798" s="22"/>
      <c r="C798" s="127"/>
      <c r="D798" s="22"/>
      <c r="E798" s="22"/>
      <c r="F798" s="22"/>
      <c r="G798" s="22"/>
      <c r="H798" s="22"/>
      <c r="I798" s="22"/>
      <c r="J798" s="22"/>
      <c r="K798" s="127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</row>
    <row r="799">
      <c r="A799" s="127"/>
      <c r="B799" s="22"/>
      <c r="C799" s="127"/>
      <c r="D799" s="22"/>
      <c r="E799" s="22"/>
      <c r="F799" s="22"/>
      <c r="G799" s="22"/>
      <c r="H799" s="22"/>
      <c r="I799" s="22"/>
      <c r="J799" s="22"/>
      <c r="K799" s="127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</row>
    <row r="800">
      <c r="A800" s="127"/>
      <c r="B800" s="22"/>
      <c r="C800" s="127"/>
      <c r="D800" s="22"/>
      <c r="E800" s="22"/>
      <c r="F800" s="22"/>
      <c r="G800" s="22"/>
      <c r="H800" s="22"/>
      <c r="I800" s="22"/>
      <c r="J800" s="22"/>
      <c r="K800" s="127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</row>
    <row r="801">
      <c r="A801" s="127"/>
      <c r="B801" s="22"/>
      <c r="C801" s="127"/>
      <c r="D801" s="22"/>
      <c r="E801" s="22"/>
      <c r="F801" s="22"/>
      <c r="G801" s="22"/>
      <c r="H801" s="22"/>
      <c r="I801" s="22"/>
      <c r="J801" s="22"/>
      <c r="K801" s="127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</row>
    <row r="802">
      <c r="A802" s="127"/>
      <c r="B802" s="22"/>
      <c r="C802" s="127"/>
      <c r="D802" s="22"/>
      <c r="E802" s="22"/>
      <c r="F802" s="22"/>
      <c r="G802" s="22"/>
      <c r="H802" s="22"/>
      <c r="I802" s="22"/>
      <c r="J802" s="22"/>
      <c r="K802" s="127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</row>
    <row r="803">
      <c r="A803" s="127"/>
      <c r="B803" s="22"/>
      <c r="C803" s="127"/>
      <c r="D803" s="22"/>
      <c r="E803" s="22"/>
      <c r="F803" s="22"/>
      <c r="G803" s="22"/>
      <c r="H803" s="22"/>
      <c r="I803" s="22"/>
      <c r="J803" s="22"/>
      <c r="K803" s="127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</row>
    <row r="804">
      <c r="A804" s="127"/>
      <c r="B804" s="22"/>
      <c r="C804" s="127"/>
      <c r="D804" s="22"/>
      <c r="E804" s="22"/>
      <c r="F804" s="22"/>
      <c r="G804" s="22"/>
      <c r="H804" s="22"/>
      <c r="I804" s="22"/>
      <c r="J804" s="22"/>
      <c r="K804" s="127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</row>
    <row r="805">
      <c r="A805" s="127"/>
      <c r="B805" s="22"/>
      <c r="C805" s="127"/>
      <c r="D805" s="22"/>
      <c r="E805" s="22"/>
      <c r="F805" s="22"/>
      <c r="G805" s="22"/>
      <c r="H805" s="22"/>
      <c r="I805" s="22"/>
      <c r="J805" s="22"/>
      <c r="K805" s="127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</row>
    <row r="806">
      <c r="A806" s="127"/>
      <c r="B806" s="22"/>
      <c r="C806" s="127"/>
      <c r="D806" s="22"/>
      <c r="E806" s="22"/>
      <c r="F806" s="22"/>
      <c r="G806" s="22"/>
      <c r="H806" s="22"/>
      <c r="I806" s="22"/>
      <c r="J806" s="22"/>
      <c r="K806" s="127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</row>
    <row r="807">
      <c r="A807" s="127"/>
      <c r="B807" s="22"/>
      <c r="C807" s="127"/>
      <c r="D807" s="22"/>
      <c r="E807" s="22"/>
      <c r="F807" s="22"/>
      <c r="G807" s="22"/>
      <c r="H807" s="22"/>
      <c r="I807" s="22"/>
      <c r="J807" s="22"/>
      <c r="K807" s="127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</row>
    <row r="808">
      <c r="A808" s="127"/>
      <c r="B808" s="22"/>
      <c r="C808" s="127"/>
      <c r="D808" s="22"/>
      <c r="E808" s="22"/>
      <c r="F808" s="22"/>
      <c r="G808" s="22"/>
      <c r="H808" s="22"/>
      <c r="I808" s="22"/>
      <c r="J808" s="22"/>
      <c r="K808" s="127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</row>
    <row r="809">
      <c r="A809" s="127"/>
      <c r="B809" s="22"/>
      <c r="C809" s="127"/>
      <c r="D809" s="22"/>
      <c r="E809" s="22"/>
      <c r="F809" s="22"/>
      <c r="G809" s="22"/>
      <c r="H809" s="22"/>
      <c r="I809" s="22"/>
      <c r="J809" s="22"/>
      <c r="K809" s="127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</row>
    <row r="810">
      <c r="A810" s="127"/>
      <c r="B810" s="22"/>
      <c r="C810" s="127"/>
      <c r="D810" s="22"/>
      <c r="E810" s="22"/>
      <c r="F810" s="22"/>
      <c r="G810" s="22"/>
      <c r="H810" s="22"/>
      <c r="I810" s="22"/>
      <c r="J810" s="22"/>
      <c r="K810" s="127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</row>
    <row r="811">
      <c r="A811" s="127"/>
      <c r="B811" s="22"/>
      <c r="C811" s="127"/>
      <c r="D811" s="22"/>
      <c r="E811" s="22"/>
      <c r="F811" s="22"/>
      <c r="G811" s="22"/>
      <c r="H811" s="22"/>
      <c r="I811" s="22"/>
      <c r="J811" s="22"/>
      <c r="K811" s="127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</row>
    <row r="812">
      <c r="A812" s="127"/>
      <c r="B812" s="22"/>
      <c r="C812" s="127"/>
      <c r="D812" s="22"/>
      <c r="E812" s="22"/>
      <c r="F812" s="22"/>
      <c r="G812" s="22"/>
      <c r="H812" s="22"/>
      <c r="I812" s="22"/>
      <c r="J812" s="22"/>
      <c r="K812" s="127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</row>
    <row r="813">
      <c r="A813" s="127"/>
      <c r="B813" s="22"/>
      <c r="C813" s="127"/>
      <c r="D813" s="22"/>
      <c r="E813" s="22"/>
      <c r="F813" s="22"/>
      <c r="G813" s="22"/>
      <c r="H813" s="22"/>
      <c r="I813" s="22"/>
      <c r="J813" s="22"/>
      <c r="K813" s="127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</row>
    <row r="814">
      <c r="A814" s="127"/>
      <c r="B814" s="22"/>
      <c r="C814" s="127"/>
      <c r="D814" s="22"/>
      <c r="E814" s="22"/>
      <c r="F814" s="22"/>
      <c r="G814" s="22"/>
      <c r="H814" s="22"/>
      <c r="I814" s="22"/>
      <c r="J814" s="22"/>
      <c r="K814" s="127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</row>
    <row r="815">
      <c r="A815" s="127"/>
      <c r="B815" s="22"/>
      <c r="C815" s="127"/>
      <c r="D815" s="22"/>
      <c r="E815" s="22"/>
      <c r="F815" s="22"/>
      <c r="G815" s="22"/>
      <c r="H815" s="22"/>
      <c r="I815" s="22"/>
      <c r="J815" s="22"/>
      <c r="K815" s="127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</row>
    <row r="816">
      <c r="A816" s="127"/>
      <c r="B816" s="22"/>
      <c r="C816" s="127"/>
      <c r="D816" s="22"/>
      <c r="E816" s="22"/>
      <c r="F816" s="22"/>
      <c r="G816" s="22"/>
      <c r="H816" s="22"/>
      <c r="I816" s="22"/>
      <c r="J816" s="22"/>
      <c r="K816" s="127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</row>
    <row r="817">
      <c r="A817" s="127"/>
      <c r="B817" s="22"/>
      <c r="C817" s="127"/>
      <c r="D817" s="22"/>
      <c r="E817" s="22"/>
      <c r="F817" s="22"/>
      <c r="G817" s="22"/>
      <c r="H817" s="22"/>
      <c r="I817" s="22"/>
      <c r="J817" s="22"/>
      <c r="K817" s="127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</row>
    <row r="818">
      <c r="A818" s="127"/>
      <c r="B818" s="22"/>
      <c r="C818" s="127"/>
      <c r="D818" s="22"/>
      <c r="E818" s="22"/>
      <c r="F818" s="22"/>
      <c r="G818" s="22"/>
      <c r="H818" s="22"/>
      <c r="I818" s="22"/>
      <c r="J818" s="22"/>
      <c r="K818" s="127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</row>
    <row r="819">
      <c r="A819" s="127"/>
      <c r="B819" s="22"/>
      <c r="C819" s="127"/>
      <c r="D819" s="22"/>
      <c r="E819" s="22"/>
      <c r="F819" s="22"/>
      <c r="G819" s="22"/>
      <c r="H819" s="22"/>
      <c r="I819" s="22"/>
      <c r="J819" s="22"/>
      <c r="K819" s="127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</row>
    <row r="820">
      <c r="A820" s="127"/>
      <c r="B820" s="22"/>
      <c r="C820" s="127"/>
      <c r="D820" s="22"/>
      <c r="E820" s="22"/>
      <c r="F820" s="22"/>
      <c r="G820" s="22"/>
      <c r="H820" s="22"/>
      <c r="I820" s="22"/>
      <c r="J820" s="22"/>
      <c r="K820" s="127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</row>
    <row r="821">
      <c r="A821" s="127"/>
      <c r="B821" s="22"/>
      <c r="C821" s="127"/>
      <c r="D821" s="22"/>
      <c r="E821" s="22"/>
      <c r="F821" s="22"/>
      <c r="G821" s="22"/>
      <c r="H821" s="22"/>
      <c r="I821" s="22"/>
      <c r="J821" s="22"/>
      <c r="K821" s="127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</row>
    <row r="822">
      <c r="A822" s="127"/>
      <c r="B822" s="22"/>
      <c r="C822" s="127"/>
      <c r="D822" s="22"/>
      <c r="E822" s="22"/>
      <c r="F822" s="22"/>
      <c r="G822" s="22"/>
      <c r="H822" s="22"/>
      <c r="I822" s="22"/>
      <c r="J822" s="22"/>
      <c r="K822" s="127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</row>
    <row r="823">
      <c r="A823" s="127"/>
      <c r="B823" s="22"/>
      <c r="C823" s="127"/>
      <c r="D823" s="22"/>
      <c r="E823" s="22"/>
      <c r="F823" s="22"/>
      <c r="G823" s="22"/>
      <c r="H823" s="22"/>
      <c r="I823" s="22"/>
      <c r="J823" s="22"/>
      <c r="K823" s="127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</row>
    <row r="824">
      <c r="A824" s="127"/>
      <c r="B824" s="22"/>
      <c r="C824" s="127"/>
      <c r="D824" s="22"/>
      <c r="E824" s="22"/>
      <c r="F824" s="22"/>
      <c r="G824" s="22"/>
      <c r="H824" s="22"/>
      <c r="I824" s="22"/>
      <c r="J824" s="22"/>
      <c r="K824" s="127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</row>
    <row r="825">
      <c r="A825" s="127"/>
      <c r="B825" s="22"/>
      <c r="C825" s="127"/>
      <c r="D825" s="22"/>
      <c r="E825" s="22"/>
      <c r="F825" s="22"/>
      <c r="G825" s="22"/>
      <c r="H825" s="22"/>
      <c r="I825" s="22"/>
      <c r="J825" s="22"/>
      <c r="K825" s="127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</row>
    <row r="826">
      <c r="A826" s="127"/>
      <c r="B826" s="22"/>
      <c r="C826" s="127"/>
      <c r="D826" s="22"/>
      <c r="E826" s="22"/>
      <c r="F826" s="22"/>
      <c r="G826" s="22"/>
      <c r="H826" s="22"/>
      <c r="I826" s="22"/>
      <c r="J826" s="22"/>
      <c r="K826" s="127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</row>
    <row r="827">
      <c r="A827" s="127"/>
      <c r="B827" s="22"/>
      <c r="C827" s="127"/>
      <c r="D827" s="22"/>
      <c r="E827" s="22"/>
      <c r="F827" s="22"/>
      <c r="G827" s="22"/>
      <c r="H827" s="22"/>
      <c r="I827" s="22"/>
      <c r="J827" s="22"/>
      <c r="K827" s="127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</row>
    <row r="828">
      <c r="A828" s="127"/>
      <c r="B828" s="22"/>
      <c r="C828" s="127"/>
      <c r="D828" s="22"/>
      <c r="E828" s="22"/>
      <c r="F828" s="22"/>
      <c r="G828" s="22"/>
      <c r="H828" s="22"/>
      <c r="I828" s="22"/>
      <c r="J828" s="22"/>
      <c r="K828" s="127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</row>
    <row r="829">
      <c r="A829" s="127"/>
      <c r="B829" s="22"/>
      <c r="C829" s="127"/>
      <c r="D829" s="22"/>
      <c r="E829" s="22"/>
      <c r="F829" s="22"/>
      <c r="G829" s="22"/>
      <c r="H829" s="22"/>
      <c r="I829" s="22"/>
      <c r="J829" s="22"/>
      <c r="K829" s="127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</row>
    <row r="830">
      <c r="A830" s="127"/>
      <c r="B830" s="22"/>
      <c r="C830" s="127"/>
      <c r="D830" s="22"/>
      <c r="E830" s="22"/>
      <c r="F830" s="22"/>
      <c r="G830" s="22"/>
      <c r="H830" s="22"/>
      <c r="I830" s="22"/>
      <c r="J830" s="22"/>
      <c r="K830" s="127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</row>
    <row r="831">
      <c r="A831" s="127"/>
      <c r="B831" s="22"/>
      <c r="C831" s="127"/>
      <c r="D831" s="22"/>
      <c r="E831" s="22"/>
      <c r="F831" s="22"/>
      <c r="G831" s="22"/>
      <c r="H831" s="22"/>
      <c r="I831" s="22"/>
      <c r="J831" s="22"/>
      <c r="K831" s="127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</row>
    <row r="832">
      <c r="A832" s="127"/>
      <c r="B832" s="22"/>
      <c r="C832" s="127"/>
      <c r="D832" s="22"/>
      <c r="E832" s="22"/>
      <c r="F832" s="22"/>
      <c r="G832" s="22"/>
      <c r="H832" s="22"/>
      <c r="I832" s="22"/>
      <c r="J832" s="22"/>
      <c r="K832" s="127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</row>
    <row r="833">
      <c r="A833" s="127"/>
      <c r="B833" s="22"/>
      <c r="C833" s="127"/>
      <c r="D833" s="22"/>
      <c r="E833" s="22"/>
      <c r="F833" s="22"/>
      <c r="G833" s="22"/>
      <c r="H833" s="22"/>
      <c r="I833" s="22"/>
      <c r="J833" s="22"/>
      <c r="K833" s="127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</row>
    <row r="834">
      <c r="A834" s="127"/>
      <c r="B834" s="22"/>
      <c r="C834" s="127"/>
      <c r="D834" s="22"/>
      <c r="E834" s="22"/>
      <c r="F834" s="22"/>
      <c r="G834" s="22"/>
      <c r="H834" s="22"/>
      <c r="I834" s="22"/>
      <c r="J834" s="22"/>
      <c r="K834" s="127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</row>
    <row r="835">
      <c r="A835" s="127"/>
      <c r="B835" s="22"/>
      <c r="C835" s="127"/>
      <c r="D835" s="22"/>
      <c r="E835" s="22"/>
      <c r="F835" s="22"/>
      <c r="G835" s="22"/>
      <c r="H835" s="22"/>
      <c r="I835" s="22"/>
      <c r="J835" s="22"/>
      <c r="K835" s="127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</row>
    <row r="836">
      <c r="A836" s="127"/>
      <c r="B836" s="22"/>
      <c r="C836" s="127"/>
      <c r="D836" s="22"/>
      <c r="E836" s="22"/>
      <c r="F836" s="22"/>
      <c r="G836" s="22"/>
      <c r="H836" s="22"/>
      <c r="I836" s="22"/>
      <c r="J836" s="22"/>
      <c r="K836" s="127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</row>
    <row r="837">
      <c r="A837" s="127"/>
      <c r="B837" s="22"/>
      <c r="C837" s="127"/>
      <c r="D837" s="22"/>
      <c r="E837" s="22"/>
      <c r="F837" s="22"/>
      <c r="G837" s="22"/>
      <c r="H837" s="22"/>
      <c r="I837" s="22"/>
      <c r="J837" s="22"/>
      <c r="K837" s="127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</row>
    <row r="838">
      <c r="A838" s="127"/>
      <c r="B838" s="22"/>
      <c r="C838" s="127"/>
      <c r="D838" s="22"/>
      <c r="E838" s="22"/>
      <c r="F838" s="22"/>
      <c r="G838" s="22"/>
      <c r="H838" s="22"/>
      <c r="I838" s="22"/>
      <c r="J838" s="22"/>
      <c r="K838" s="127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</row>
    <row r="839">
      <c r="A839" s="127"/>
      <c r="B839" s="22"/>
      <c r="C839" s="127"/>
      <c r="D839" s="22"/>
      <c r="E839" s="22"/>
      <c r="F839" s="22"/>
      <c r="G839" s="22"/>
      <c r="H839" s="22"/>
      <c r="I839" s="22"/>
      <c r="J839" s="22"/>
      <c r="K839" s="127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</row>
    <row r="840">
      <c r="A840" s="127"/>
      <c r="B840" s="22"/>
      <c r="C840" s="127"/>
      <c r="D840" s="22"/>
      <c r="E840" s="22"/>
      <c r="F840" s="22"/>
      <c r="G840" s="22"/>
      <c r="H840" s="22"/>
      <c r="I840" s="22"/>
      <c r="J840" s="22"/>
      <c r="K840" s="127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</row>
    <row r="841">
      <c r="A841" s="127"/>
      <c r="B841" s="22"/>
      <c r="C841" s="127"/>
      <c r="D841" s="22"/>
      <c r="E841" s="22"/>
      <c r="F841" s="22"/>
      <c r="G841" s="22"/>
      <c r="H841" s="22"/>
      <c r="I841" s="22"/>
      <c r="J841" s="22"/>
      <c r="K841" s="127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</row>
    <row r="842">
      <c r="A842" s="127"/>
      <c r="B842" s="22"/>
      <c r="C842" s="127"/>
      <c r="D842" s="22"/>
      <c r="E842" s="22"/>
      <c r="F842" s="22"/>
      <c r="G842" s="22"/>
      <c r="H842" s="22"/>
      <c r="I842" s="22"/>
      <c r="J842" s="22"/>
      <c r="K842" s="127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</row>
    <row r="843">
      <c r="A843" s="127"/>
      <c r="B843" s="22"/>
      <c r="C843" s="127"/>
      <c r="D843" s="22"/>
      <c r="E843" s="22"/>
      <c r="F843" s="22"/>
      <c r="G843" s="22"/>
      <c r="H843" s="22"/>
      <c r="I843" s="22"/>
      <c r="J843" s="22"/>
      <c r="K843" s="127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</row>
    <row r="844">
      <c r="A844" s="127"/>
      <c r="B844" s="22"/>
      <c r="C844" s="127"/>
      <c r="D844" s="22"/>
      <c r="E844" s="22"/>
      <c r="F844" s="22"/>
      <c r="G844" s="22"/>
      <c r="H844" s="22"/>
      <c r="I844" s="22"/>
      <c r="J844" s="22"/>
      <c r="K844" s="127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</row>
    <row r="845">
      <c r="A845" s="127"/>
      <c r="B845" s="22"/>
      <c r="C845" s="127"/>
      <c r="D845" s="22"/>
      <c r="E845" s="22"/>
      <c r="F845" s="22"/>
      <c r="G845" s="22"/>
      <c r="H845" s="22"/>
      <c r="I845" s="22"/>
      <c r="J845" s="22"/>
      <c r="K845" s="127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</row>
    <row r="846">
      <c r="A846" s="127"/>
      <c r="B846" s="22"/>
      <c r="C846" s="127"/>
      <c r="D846" s="22"/>
      <c r="E846" s="22"/>
      <c r="F846" s="22"/>
      <c r="G846" s="22"/>
      <c r="H846" s="22"/>
      <c r="I846" s="22"/>
      <c r="J846" s="22"/>
      <c r="K846" s="127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</row>
    <row r="847">
      <c r="A847" s="127"/>
      <c r="B847" s="22"/>
      <c r="C847" s="127"/>
      <c r="D847" s="22"/>
      <c r="E847" s="22"/>
      <c r="F847" s="22"/>
      <c r="G847" s="22"/>
      <c r="H847" s="22"/>
      <c r="I847" s="22"/>
      <c r="J847" s="22"/>
      <c r="K847" s="127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</row>
    <row r="848">
      <c r="A848" s="127"/>
      <c r="B848" s="22"/>
      <c r="C848" s="127"/>
      <c r="D848" s="22"/>
      <c r="E848" s="22"/>
      <c r="F848" s="22"/>
      <c r="G848" s="22"/>
      <c r="H848" s="22"/>
      <c r="I848" s="22"/>
      <c r="J848" s="22"/>
      <c r="K848" s="127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</row>
    <row r="849">
      <c r="A849" s="127"/>
      <c r="B849" s="22"/>
      <c r="C849" s="127"/>
      <c r="D849" s="22"/>
      <c r="E849" s="22"/>
      <c r="F849" s="22"/>
      <c r="G849" s="22"/>
      <c r="H849" s="22"/>
      <c r="I849" s="22"/>
      <c r="J849" s="22"/>
      <c r="K849" s="127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</row>
    <row r="850">
      <c r="A850" s="127"/>
      <c r="B850" s="22"/>
      <c r="C850" s="127"/>
      <c r="D850" s="22"/>
      <c r="E850" s="22"/>
      <c r="F850" s="22"/>
      <c r="G850" s="22"/>
      <c r="H850" s="22"/>
      <c r="I850" s="22"/>
      <c r="J850" s="22"/>
      <c r="K850" s="127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</row>
    <row r="851">
      <c r="A851" s="127"/>
      <c r="B851" s="22"/>
      <c r="C851" s="127"/>
      <c r="D851" s="22"/>
      <c r="E851" s="22"/>
      <c r="F851" s="22"/>
      <c r="G851" s="22"/>
      <c r="H851" s="22"/>
      <c r="I851" s="22"/>
      <c r="J851" s="22"/>
      <c r="K851" s="127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</row>
    <row r="852">
      <c r="A852" s="127"/>
      <c r="B852" s="22"/>
      <c r="C852" s="127"/>
      <c r="D852" s="22"/>
      <c r="E852" s="22"/>
      <c r="F852" s="22"/>
      <c r="G852" s="22"/>
      <c r="H852" s="22"/>
      <c r="I852" s="22"/>
      <c r="J852" s="22"/>
      <c r="K852" s="127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</row>
    <row r="853">
      <c r="A853" s="127"/>
      <c r="B853" s="22"/>
      <c r="C853" s="127"/>
      <c r="D853" s="22"/>
      <c r="E853" s="22"/>
      <c r="F853" s="22"/>
      <c r="G853" s="22"/>
      <c r="H853" s="22"/>
      <c r="I853" s="22"/>
      <c r="J853" s="22"/>
      <c r="K853" s="127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</row>
    <row r="854">
      <c r="A854" s="127"/>
      <c r="B854" s="22"/>
      <c r="C854" s="127"/>
      <c r="D854" s="22"/>
      <c r="E854" s="22"/>
      <c r="F854" s="22"/>
      <c r="G854" s="22"/>
      <c r="H854" s="22"/>
      <c r="I854" s="22"/>
      <c r="J854" s="22"/>
      <c r="K854" s="127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</row>
    <row r="855">
      <c r="A855" s="127"/>
      <c r="B855" s="22"/>
      <c r="C855" s="127"/>
      <c r="D855" s="22"/>
      <c r="E855" s="22"/>
      <c r="F855" s="22"/>
      <c r="G855" s="22"/>
      <c r="H855" s="22"/>
      <c r="I855" s="22"/>
      <c r="J855" s="22"/>
      <c r="K855" s="127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</row>
    <row r="856">
      <c r="A856" s="127"/>
      <c r="B856" s="22"/>
      <c r="C856" s="127"/>
      <c r="D856" s="22"/>
      <c r="E856" s="22"/>
      <c r="F856" s="22"/>
      <c r="G856" s="22"/>
      <c r="H856" s="22"/>
      <c r="I856" s="22"/>
      <c r="J856" s="22"/>
      <c r="K856" s="127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</row>
    <row r="857">
      <c r="A857" s="127"/>
      <c r="B857" s="22"/>
      <c r="C857" s="127"/>
      <c r="D857" s="22"/>
      <c r="E857" s="22"/>
      <c r="F857" s="22"/>
      <c r="G857" s="22"/>
      <c r="H857" s="22"/>
      <c r="I857" s="22"/>
      <c r="J857" s="22"/>
      <c r="K857" s="127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</row>
    <row r="858">
      <c r="A858" s="127"/>
      <c r="B858" s="22"/>
      <c r="C858" s="127"/>
      <c r="D858" s="22"/>
      <c r="E858" s="22"/>
      <c r="F858" s="22"/>
      <c r="G858" s="22"/>
      <c r="H858" s="22"/>
      <c r="I858" s="22"/>
      <c r="J858" s="22"/>
      <c r="K858" s="127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</row>
    <row r="859">
      <c r="A859" s="127"/>
      <c r="B859" s="22"/>
      <c r="C859" s="127"/>
      <c r="D859" s="22"/>
      <c r="E859" s="22"/>
      <c r="F859" s="22"/>
      <c r="G859" s="22"/>
      <c r="H859" s="22"/>
      <c r="I859" s="22"/>
      <c r="J859" s="22"/>
      <c r="K859" s="127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</row>
    <row r="860">
      <c r="A860" s="127"/>
      <c r="B860" s="22"/>
      <c r="C860" s="127"/>
      <c r="D860" s="22"/>
      <c r="E860" s="22"/>
      <c r="F860" s="22"/>
      <c r="G860" s="22"/>
      <c r="H860" s="22"/>
      <c r="I860" s="22"/>
      <c r="J860" s="22"/>
      <c r="K860" s="127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</row>
    <row r="861">
      <c r="A861" s="127"/>
      <c r="B861" s="22"/>
      <c r="C861" s="127"/>
      <c r="D861" s="22"/>
      <c r="E861" s="22"/>
      <c r="F861" s="22"/>
      <c r="G861" s="22"/>
      <c r="H861" s="22"/>
      <c r="I861" s="22"/>
      <c r="J861" s="22"/>
      <c r="K861" s="127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</row>
    <row r="862">
      <c r="A862" s="127"/>
      <c r="B862" s="22"/>
      <c r="C862" s="127"/>
      <c r="D862" s="22"/>
      <c r="E862" s="22"/>
      <c r="F862" s="22"/>
      <c r="G862" s="22"/>
      <c r="H862" s="22"/>
      <c r="I862" s="22"/>
      <c r="J862" s="22"/>
      <c r="K862" s="127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</row>
    <row r="863">
      <c r="A863" s="127"/>
      <c r="B863" s="22"/>
      <c r="C863" s="127"/>
      <c r="D863" s="22"/>
      <c r="E863" s="22"/>
      <c r="F863" s="22"/>
      <c r="G863" s="22"/>
      <c r="H863" s="22"/>
      <c r="I863" s="22"/>
      <c r="J863" s="22"/>
      <c r="K863" s="127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</row>
    <row r="864">
      <c r="A864" s="127"/>
      <c r="B864" s="22"/>
      <c r="C864" s="127"/>
      <c r="D864" s="22"/>
      <c r="E864" s="22"/>
      <c r="F864" s="22"/>
      <c r="G864" s="22"/>
      <c r="H864" s="22"/>
      <c r="I864" s="22"/>
      <c r="J864" s="22"/>
      <c r="K864" s="127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</row>
    <row r="865">
      <c r="A865" s="127"/>
      <c r="B865" s="22"/>
      <c r="C865" s="127"/>
      <c r="D865" s="22"/>
      <c r="E865" s="22"/>
      <c r="F865" s="22"/>
      <c r="G865" s="22"/>
      <c r="H865" s="22"/>
      <c r="I865" s="22"/>
      <c r="J865" s="22"/>
      <c r="K865" s="127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</row>
    <row r="866">
      <c r="A866" s="127"/>
      <c r="B866" s="22"/>
      <c r="C866" s="127"/>
      <c r="D866" s="22"/>
      <c r="E866" s="22"/>
      <c r="F866" s="22"/>
      <c r="G866" s="22"/>
      <c r="H866" s="22"/>
      <c r="I866" s="22"/>
      <c r="J866" s="22"/>
      <c r="K866" s="127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</row>
    <row r="867">
      <c r="A867" s="127"/>
      <c r="B867" s="22"/>
      <c r="C867" s="127"/>
      <c r="D867" s="22"/>
      <c r="E867" s="22"/>
      <c r="F867" s="22"/>
      <c r="G867" s="22"/>
      <c r="H867" s="22"/>
      <c r="I867" s="22"/>
      <c r="J867" s="22"/>
      <c r="K867" s="127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</row>
    <row r="868">
      <c r="A868" s="127"/>
      <c r="B868" s="22"/>
      <c r="C868" s="127"/>
      <c r="D868" s="22"/>
      <c r="E868" s="22"/>
      <c r="F868" s="22"/>
      <c r="G868" s="22"/>
      <c r="H868" s="22"/>
      <c r="I868" s="22"/>
      <c r="J868" s="22"/>
      <c r="K868" s="127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</row>
    <row r="869">
      <c r="A869" s="127"/>
      <c r="B869" s="22"/>
      <c r="C869" s="127"/>
      <c r="D869" s="22"/>
      <c r="E869" s="22"/>
      <c r="F869" s="22"/>
      <c r="G869" s="22"/>
      <c r="H869" s="22"/>
      <c r="I869" s="22"/>
      <c r="J869" s="22"/>
      <c r="K869" s="127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</row>
    <row r="870">
      <c r="A870" s="127"/>
      <c r="B870" s="22"/>
      <c r="C870" s="127"/>
      <c r="D870" s="22"/>
      <c r="E870" s="22"/>
      <c r="F870" s="22"/>
      <c r="G870" s="22"/>
      <c r="H870" s="22"/>
      <c r="I870" s="22"/>
      <c r="J870" s="22"/>
      <c r="K870" s="127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</row>
    <row r="871">
      <c r="A871" s="127"/>
      <c r="B871" s="22"/>
      <c r="C871" s="127"/>
      <c r="D871" s="22"/>
      <c r="E871" s="22"/>
      <c r="F871" s="22"/>
      <c r="G871" s="22"/>
      <c r="H871" s="22"/>
      <c r="I871" s="22"/>
      <c r="J871" s="22"/>
      <c r="K871" s="127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</row>
    <row r="872">
      <c r="A872" s="127"/>
      <c r="B872" s="22"/>
      <c r="C872" s="127"/>
      <c r="D872" s="22"/>
      <c r="E872" s="22"/>
      <c r="F872" s="22"/>
      <c r="G872" s="22"/>
      <c r="H872" s="22"/>
      <c r="I872" s="22"/>
      <c r="J872" s="22"/>
      <c r="K872" s="127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</row>
    <row r="873">
      <c r="A873" s="127"/>
      <c r="B873" s="22"/>
      <c r="C873" s="127"/>
      <c r="D873" s="22"/>
      <c r="E873" s="22"/>
      <c r="F873" s="22"/>
      <c r="G873" s="22"/>
      <c r="H873" s="22"/>
      <c r="I873" s="22"/>
      <c r="J873" s="22"/>
      <c r="K873" s="127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</row>
    <row r="874">
      <c r="A874" s="127"/>
      <c r="B874" s="22"/>
      <c r="C874" s="127"/>
      <c r="D874" s="22"/>
      <c r="E874" s="22"/>
      <c r="F874" s="22"/>
      <c r="G874" s="22"/>
      <c r="H874" s="22"/>
      <c r="I874" s="22"/>
      <c r="J874" s="22"/>
      <c r="K874" s="127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</row>
    <row r="875">
      <c r="A875" s="127"/>
      <c r="B875" s="22"/>
      <c r="C875" s="127"/>
      <c r="D875" s="22"/>
      <c r="E875" s="22"/>
      <c r="F875" s="22"/>
      <c r="G875" s="22"/>
      <c r="H875" s="22"/>
      <c r="I875" s="22"/>
      <c r="J875" s="22"/>
      <c r="K875" s="127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</row>
    <row r="876">
      <c r="A876" s="127"/>
      <c r="B876" s="22"/>
      <c r="C876" s="127"/>
      <c r="D876" s="22"/>
      <c r="E876" s="22"/>
      <c r="F876" s="22"/>
      <c r="G876" s="22"/>
      <c r="H876" s="22"/>
      <c r="I876" s="22"/>
      <c r="J876" s="22"/>
      <c r="K876" s="127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</row>
    <row r="877">
      <c r="A877" s="127"/>
      <c r="B877" s="22"/>
      <c r="C877" s="127"/>
      <c r="D877" s="22"/>
      <c r="E877" s="22"/>
      <c r="F877" s="22"/>
      <c r="G877" s="22"/>
      <c r="H877" s="22"/>
      <c r="I877" s="22"/>
      <c r="J877" s="22"/>
      <c r="K877" s="127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</row>
    <row r="878">
      <c r="A878" s="127"/>
      <c r="B878" s="22"/>
      <c r="C878" s="127"/>
      <c r="D878" s="22"/>
      <c r="E878" s="22"/>
      <c r="F878" s="22"/>
      <c r="G878" s="22"/>
      <c r="H878" s="22"/>
      <c r="I878" s="22"/>
      <c r="J878" s="22"/>
      <c r="K878" s="127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</row>
    <row r="879">
      <c r="A879" s="127"/>
      <c r="B879" s="22"/>
      <c r="C879" s="127"/>
      <c r="D879" s="22"/>
      <c r="E879" s="22"/>
      <c r="F879" s="22"/>
      <c r="G879" s="22"/>
      <c r="H879" s="22"/>
      <c r="I879" s="22"/>
      <c r="J879" s="22"/>
      <c r="K879" s="127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</row>
    <row r="880">
      <c r="A880" s="127"/>
      <c r="B880" s="22"/>
      <c r="C880" s="127"/>
      <c r="D880" s="22"/>
      <c r="E880" s="22"/>
      <c r="F880" s="22"/>
      <c r="G880" s="22"/>
      <c r="H880" s="22"/>
      <c r="I880" s="22"/>
      <c r="J880" s="22"/>
      <c r="K880" s="127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</row>
    <row r="881">
      <c r="A881" s="127"/>
      <c r="B881" s="22"/>
      <c r="C881" s="127"/>
      <c r="D881" s="22"/>
      <c r="E881" s="22"/>
      <c r="F881" s="22"/>
      <c r="G881" s="22"/>
      <c r="H881" s="22"/>
      <c r="I881" s="22"/>
      <c r="J881" s="22"/>
      <c r="K881" s="127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</row>
    <row r="882">
      <c r="A882" s="127"/>
      <c r="B882" s="22"/>
      <c r="C882" s="127"/>
      <c r="D882" s="22"/>
      <c r="E882" s="22"/>
      <c r="F882" s="22"/>
      <c r="G882" s="22"/>
      <c r="H882" s="22"/>
      <c r="I882" s="22"/>
      <c r="J882" s="22"/>
      <c r="K882" s="127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</row>
    <row r="883">
      <c r="A883" s="127"/>
      <c r="B883" s="22"/>
      <c r="C883" s="127"/>
      <c r="D883" s="22"/>
      <c r="E883" s="22"/>
      <c r="F883" s="22"/>
      <c r="G883" s="22"/>
      <c r="H883" s="22"/>
      <c r="I883" s="22"/>
      <c r="J883" s="22"/>
      <c r="K883" s="127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</row>
    <row r="884">
      <c r="A884" s="127"/>
      <c r="B884" s="22"/>
      <c r="C884" s="127"/>
      <c r="D884" s="22"/>
      <c r="E884" s="22"/>
      <c r="F884" s="22"/>
      <c r="G884" s="22"/>
      <c r="H884" s="22"/>
      <c r="I884" s="22"/>
      <c r="J884" s="22"/>
      <c r="K884" s="127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</row>
    <row r="885">
      <c r="A885" s="127"/>
      <c r="B885" s="22"/>
      <c r="C885" s="127"/>
      <c r="D885" s="22"/>
      <c r="E885" s="22"/>
      <c r="F885" s="22"/>
      <c r="G885" s="22"/>
      <c r="H885" s="22"/>
      <c r="I885" s="22"/>
      <c r="J885" s="22"/>
      <c r="K885" s="127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</row>
    <row r="886">
      <c r="A886" s="127"/>
      <c r="B886" s="22"/>
      <c r="C886" s="127"/>
      <c r="D886" s="22"/>
      <c r="E886" s="22"/>
      <c r="F886" s="22"/>
      <c r="G886" s="22"/>
      <c r="H886" s="22"/>
      <c r="I886" s="22"/>
      <c r="J886" s="22"/>
      <c r="K886" s="127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</row>
    <row r="887">
      <c r="A887" s="127"/>
      <c r="B887" s="22"/>
      <c r="C887" s="127"/>
      <c r="D887" s="22"/>
      <c r="E887" s="22"/>
      <c r="F887" s="22"/>
      <c r="G887" s="22"/>
      <c r="H887" s="22"/>
      <c r="I887" s="22"/>
      <c r="J887" s="22"/>
      <c r="K887" s="127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</row>
    <row r="888">
      <c r="A888" s="127"/>
      <c r="B888" s="22"/>
      <c r="C888" s="127"/>
      <c r="D888" s="22"/>
      <c r="E888" s="22"/>
      <c r="F888" s="22"/>
      <c r="G888" s="22"/>
      <c r="H888" s="22"/>
      <c r="I888" s="22"/>
      <c r="J888" s="22"/>
      <c r="K888" s="127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</row>
    <row r="889">
      <c r="A889" s="127"/>
      <c r="B889" s="22"/>
      <c r="C889" s="127"/>
      <c r="D889" s="22"/>
      <c r="E889" s="22"/>
      <c r="F889" s="22"/>
      <c r="G889" s="22"/>
      <c r="H889" s="22"/>
      <c r="I889" s="22"/>
      <c r="J889" s="22"/>
      <c r="K889" s="127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</row>
    <row r="890">
      <c r="A890" s="127"/>
      <c r="B890" s="22"/>
      <c r="C890" s="127"/>
      <c r="D890" s="22"/>
      <c r="E890" s="22"/>
      <c r="F890" s="22"/>
      <c r="G890" s="22"/>
      <c r="H890" s="22"/>
      <c r="I890" s="22"/>
      <c r="J890" s="22"/>
      <c r="K890" s="127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</row>
    <row r="891">
      <c r="A891" s="127"/>
      <c r="B891" s="22"/>
      <c r="C891" s="127"/>
      <c r="D891" s="22"/>
      <c r="E891" s="22"/>
      <c r="F891" s="22"/>
      <c r="G891" s="22"/>
      <c r="H891" s="22"/>
      <c r="I891" s="22"/>
      <c r="J891" s="22"/>
      <c r="K891" s="127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</row>
    <row r="892">
      <c r="A892" s="127"/>
      <c r="B892" s="22"/>
      <c r="C892" s="127"/>
      <c r="D892" s="22"/>
      <c r="E892" s="22"/>
      <c r="F892" s="22"/>
      <c r="G892" s="22"/>
      <c r="H892" s="22"/>
      <c r="I892" s="22"/>
      <c r="J892" s="22"/>
      <c r="K892" s="127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</row>
    <row r="893">
      <c r="A893" s="127"/>
      <c r="B893" s="22"/>
      <c r="C893" s="127"/>
      <c r="D893" s="22"/>
      <c r="E893" s="22"/>
      <c r="F893" s="22"/>
      <c r="G893" s="22"/>
      <c r="H893" s="22"/>
      <c r="I893" s="22"/>
      <c r="J893" s="22"/>
      <c r="K893" s="127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</row>
    <row r="894">
      <c r="A894" s="127"/>
      <c r="B894" s="22"/>
      <c r="C894" s="127"/>
      <c r="D894" s="22"/>
      <c r="E894" s="22"/>
      <c r="F894" s="22"/>
      <c r="G894" s="22"/>
      <c r="H894" s="22"/>
      <c r="I894" s="22"/>
      <c r="J894" s="22"/>
      <c r="K894" s="127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</row>
    <row r="895">
      <c r="A895" s="127"/>
      <c r="B895" s="22"/>
      <c r="C895" s="127"/>
      <c r="D895" s="22"/>
      <c r="E895" s="22"/>
      <c r="F895" s="22"/>
      <c r="G895" s="22"/>
      <c r="H895" s="22"/>
      <c r="I895" s="22"/>
      <c r="J895" s="22"/>
      <c r="K895" s="127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</row>
    <row r="896">
      <c r="A896" s="127"/>
      <c r="B896" s="22"/>
      <c r="C896" s="127"/>
      <c r="D896" s="22"/>
      <c r="E896" s="22"/>
      <c r="F896" s="22"/>
      <c r="G896" s="22"/>
      <c r="H896" s="22"/>
      <c r="I896" s="22"/>
      <c r="J896" s="22"/>
      <c r="K896" s="127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</row>
    <row r="897">
      <c r="A897" s="127"/>
      <c r="B897" s="22"/>
      <c r="C897" s="127"/>
      <c r="D897" s="22"/>
      <c r="E897" s="22"/>
      <c r="F897" s="22"/>
      <c r="G897" s="22"/>
      <c r="H897" s="22"/>
      <c r="I897" s="22"/>
      <c r="J897" s="22"/>
      <c r="K897" s="127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</row>
    <row r="898">
      <c r="A898" s="127"/>
      <c r="B898" s="22"/>
      <c r="C898" s="127"/>
      <c r="D898" s="22"/>
      <c r="E898" s="22"/>
      <c r="F898" s="22"/>
      <c r="G898" s="22"/>
      <c r="H898" s="22"/>
      <c r="I898" s="22"/>
      <c r="J898" s="22"/>
      <c r="K898" s="127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</row>
    <row r="899">
      <c r="A899" s="127"/>
      <c r="B899" s="22"/>
      <c r="C899" s="127"/>
      <c r="D899" s="22"/>
      <c r="E899" s="22"/>
      <c r="F899" s="22"/>
      <c r="G899" s="22"/>
      <c r="H899" s="22"/>
      <c r="I899" s="22"/>
      <c r="J899" s="22"/>
      <c r="K899" s="127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</row>
    <row r="900">
      <c r="A900" s="127"/>
      <c r="B900" s="22"/>
      <c r="C900" s="127"/>
      <c r="D900" s="22"/>
      <c r="E900" s="22"/>
      <c r="F900" s="22"/>
      <c r="G900" s="22"/>
      <c r="H900" s="22"/>
      <c r="I900" s="22"/>
      <c r="J900" s="22"/>
      <c r="K900" s="127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</row>
    <row r="901">
      <c r="A901" s="127"/>
      <c r="B901" s="22"/>
      <c r="C901" s="127"/>
      <c r="D901" s="22"/>
      <c r="E901" s="22"/>
      <c r="F901" s="22"/>
      <c r="G901" s="22"/>
      <c r="H901" s="22"/>
      <c r="I901" s="22"/>
      <c r="J901" s="22"/>
      <c r="K901" s="127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</row>
    <row r="902">
      <c r="A902" s="127"/>
      <c r="B902" s="22"/>
      <c r="C902" s="127"/>
      <c r="D902" s="22"/>
      <c r="E902" s="22"/>
      <c r="F902" s="22"/>
      <c r="G902" s="22"/>
      <c r="H902" s="22"/>
      <c r="I902" s="22"/>
      <c r="J902" s="22"/>
      <c r="K902" s="127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</row>
    <row r="903">
      <c r="A903" s="127"/>
      <c r="B903" s="22"/>
      <c r="C903" s="127"/>
      <c r="D903" s="22"/>
      <c r="E903" s="22"/>
      <c r="F903" s="22"/>
      <c r="G903" s="22"/>
      <c r="H903" s="22"/>
      <c r="I903" s="22"/>
      <c r="J903" s="22"/>
      <c r="K903" s="127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</row>
    <row r="904">
      <c r="A904" s="127"/>
      <c r="B904" s="22"/>
      <c r="C904" s="127"/>
      <c r="D904" s="22"/>
      <c r="E904" s="22"/>
      <c r="F904" s="22"/>
      <c r="G904" s="22"/>
      <c r="H904" s="22"/>
      <c r="I904" s="22"/>
      <c r="J904" s="22"/>
      <c r="K904" s="127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</row>
    <row r="905">
      <c r="A905" s="127"/>
      <c r="B905" s="22"/>
      <c r="C905" s="127"/>
      <c r="D905" s="22"/>
      <c r="E905" s="22"/>
      <c r="F905" s="22"/>
      <c r="G905" s="22"/>
      <c r="H905" s="22"/>
      <c r="I905" s="22"/>
      <c r="J905" s="22"/>
      <c r="K905" s="127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</row>
    <row r="906">
      <c r="A906" s="127"/>
      <c r="B906" s="22"/>
      <c r="C906" s="127"/>
      <c r="D906" s="22"/>
      <c r="E906" s="22"/>
      <c r="F906" s="22"/>
      <c r="G906" s="22"/>
      <c r="H906" s="22"/>
      <c r="I906" s="22"/>
      <c r="J906" s="22"/>
      <c r="K906" s="127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</row>
    <row r="907">
      <c r="A907" s="127"/>
      <c r="B907" s="22"/>
      <c r="C907" s="127"/>
      <c r="D907" s="22"/>
      <c r="E907" s="22"/>
      <c r="F907" s="22"/>
      <c r="G907" s="22"/>
      <c r="H907" s="22"/>
      <c r="I907" s="22"/>
      <c r="J907" s="22"/>
      <c r="K907" s="127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</row>
    <row r="908">
      <c r="A908" s="127"/>
      <c r="B908" s="22"/>
      <c r="C908" s="127"/>
      <c r="D908" s="22"/>
      <c r="E908" s="22"/>
      <c r="F908" s="22"/>
      <c r="G908" s="22"/>
      <c r="H908" s="22"/>
      <c r="I908" s="22"/>
      <c r="J908" s="22"/>
      <c r="K908" s="127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</row>
    <row r="909">
      <c r="A909" s="127"/>
      <c r="B909" s="22"/>
      <c r="C909" s="127"/>
      <c r="D909" s="22"/>
      <c r="E909" s="22"/>
      <c r="F909" s="22"/>
      <c r="G909" s="22"/>
      <c r="H909" s="22"/>
      <c r="I909" s="22"/>
      <c r="J909" s="22"/>
      <c r="K909" s="127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</row>
    <row r="910">
      <c r="A910" s="127"/>
      <c r="B910" s="22"/>
      <c r="C910" s="127"/>
      <c r="D910" s="22"/>
      <c r="E910" s="22"/>
      <c r="F910" s="22"/>
      <c r="G910" s="22"/>
      <c r="H910" s="22"/>
      <c r="I910" s="22"/>
      <c r="J910" s="22"/>
      <c r="K910" s="127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</row>
    <row r="911">
      <c r="A911" s="127"/>
      <c r="B911" s="22"/>
      <c r="C911" s="127"/>
      <c r="D911" s="22"/>
      <c r="E911" s="22"/>
      <c r="F911" s="22"/>
      <c r="G911" s="22"/>
      <c r="H911" s="22"/>
      <c r="I911" s="22"/>
      <c r="J911" s="22"/>
      <c r="K911" s="127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</row>
    <row r="912">
      <c r="A912" s="127"/>
      <c r="B912" s="22"/>
      <c r="C912" s="127"/>
      <c r="D912" s="22"/>
      <c r="E912" s="22"/>
      <c r="F912" s="22"/>
      <c r="G912" s="22"/>
      <c r="H912" s="22"/>
      <c r="I912" s="22"/>
      <c r="J912" s="22"/>
      <c r="K912" s="127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</row>
    <row r="913">
      <c r="A913" s="127"/>
      <c r="B913" s="22"/>
      <c r="C913" s="127"/>
      <c r="D913" s="22"/>
      <c r="E913" s="22"/>
      <c r="F913" s="22"/>
      <c r="G913" s="22"/>
      <c r="H913" s="22"/>
      <c r="I913" s="22"/>
      <c r="J913" s="22"/>
      <c r="K913" s="127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</row>
    <row r="914">
      <c r="A914" s="127"/>
      <c r="B914" s="22"/>
      <c r="C914" s="127"/>
      <c r="D914" s="22"/>
      <c r="E914" s="22"/>
      <c r="F914" s="22"/>
      <c r="G914" s="22"/>
      <c r="H914" s="22"/>
      <c r="I914" s="22"/>
      <c r="J914" s="22"/>
      <c r="K914" s="127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</row>
    <row r="915">
      <c r="A915" s="127"/>
      <c r="B915" s="22"/>
      <c r="C915" s="127"/>
      <c r="D915" s="22"/>
      <c r="E915" s="22"/>
      <c r="F915" s="22"/>
      <c r="G915" s="22"/>
      <c r="H915" s="22"/>
      <c r="I915" s="22"/>
      <c r="J915" s="22"/>
      <c r="K915" s="127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</row>
    <row r="916">
      <c r="A916" s="127"/>
      <c r="B916" s="22"/>
      <c r="C916" s="127"/>
      <c r="D916" s="22"/>
      <c r="E916" s="22"/>
      <c r="F916" s="22"/>
      <c r="G916" s="22"/>
      <c r="H916" s="22"/>
      <c r="I916" s="22"/>
      <c r="J916" s="22"/>
      <c r="K916" s="127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</row>
    <row r="917">
      <c r="A917" s="127"/>
      <c r="B917" s="22"/>
      <c r="C917" s="127"/>
      <c r="D917" s="22"/>
      <c r="E917" s="22"/>
      <c r="F917" s="22"/>
      <c r="G917" s="22"/>
      <c r="H917" s="22"/>
      <c r="I917" s="22"/>
      <c r="J917" s="22"/>
      <c r="K917" s="127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</row>
    <row r="918">
      <c r="A918" s="127"/>
      <c r="B918" s="22"/>
      <c r="C918" s="127"/>
      <c r="D918" s="22"/>
      <c r="E918" s="22"/>
      <c r="F918" s="22"/>
      <c r="G918" s="22"/>
      <c r="H918" s="22"/>
      <c r="I918" s="22"/>
      <c r="J918" s="22"/>
      <c r="K918" s="127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</row>
    <row r="919">
      <c r="A919" s="127"/>
      <c r="B919" s="22"/>
      <c r="C919" s="127"/>
      <c r="D919" s="22"/>
      <c r="E919" s="22"/>
      <c r="F919" s="22"/>
      <c r="G919" s="22"/>
      <c r="H919" s="22"/>
      <c r="I919" s="22"/>
      <c r="J919" s="22"/>
      <c r="K919" s="127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</row>
    <row r="920">
      <c r="A920" s="127"/>
      <c r="B920" s="22"/>
      <c r="C920" s="127"/>
      <c r="D920" s="22"/>
      <c r="E920" s="22"/>
      <c r="F920" s="22"/>
      <c r="G920" s="22"/>
      <c r="H920" s="22"/>
      <c r="I920" s="22"/>
      <c r="J920" s="22"/>
      <c r="K920" s="127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</row>
    <row r="921">
      <c r="A921" s="127"/>
      <c r="B921" s="22"/>
      <c r="C921" s="127"/>
      <c r="D921" s="22"/>
      <c r="E921" s="22"/>
      <c r="F921" s="22"/>
      <c r="G921" s="22"/>
      <c r="H921" s="22"/>
      <c r="I921" s="22"/>
      <c r="J921" s="22"/>
      <c r="K921" s="127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</row>
    <row r="922">
      <c r="A922" s="127"/>
      <c r="B922" s="22"/>
      <c r="C922" s="127"/>
      <c r="D922" s="22"/>
      <c r="E922" s="22"/>
      <c r="F922" s="22"/>
      <c r="G922" s="22"/>
      <c r="H922" s="22"/>
      <c r="I922" s="22"/>
      <c r="J922" s="22"/>
      <c r="K922" s="127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</row>
    <row r="923">
      <c r="A923" s="127"/>
      <c r="B923" s="22"/>
      <c r="C923" s="127"/>
      <c r="D923" s="22"/>
      <c r="E923" s="22"/>
      <c r="F923" s="22"/>
      <c r="G923" s="22"/>
      <c r="H923" s="22"/>
      <c r="I923" s="22"/>
      <c r="J923" s="22"/>
      <c r="K923" s="127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</row>
    <row r="924">
      <c r="A924" s="127"/>
      <c r="B924" s="22"/>
      <c r="C924" s="127"/>
      <c r="D924" s="22"/>
      <c r="E924" s="22"/>
      <c r="F924" s="22"/>
      <c r="G924" s="22"/>
      <c r="H924" s="22"/>
      <c r="I924" s="22"/>
      <c r="J924" s="22"/>
      <c r="K924" s="127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</row>
    <row r="925">
      <c r="A925" s="127"/>
      <c r="B925" s="22"/>
      <c r="C925" s="127"/>
      <c r="D925" s="22"/>
      <c r="E925" s="22"/>
      <c r="F925" s="22"/>
      <c r="G925" s="22"/>
      <c r="H925" s="22"/>
      <c r="I925" s="22"/>
      <c r="J925" s="22"/>
      <c r="K925" s="127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</row>
    <row r="926">
      <c r="A926" s="127"/>
      <c r="B926" s="22"/>
      <c r="C926" s="127"/>
      <c r="D926" s="22"/>
      <c r="E926" s="22"/>
      <c r="F926" s="22"/>
      <c r="G926" s="22"/>
      <c r="H926" s="22"/>
      <c r="I926" s="22"/>
      <c r="J926" s="22"/>
      <c r="K926" s="127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</row>
    <row r="927">
      <c r="A927" s="127"/>
      <c r="B927" s="22"/>
      <c r="C927" s="127"/>
      <c r="D927" s="22"/>
      <c r="E927" s="22"/>
      <c r="F927" s="22"/>
      <c r="G927" s="22"/>
      <c r="H927" s="22"/>
      <c r="I927" s="22"/>
      <c r="J927" s="22"/>
      <c r="K927" s="127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</row>
    <row r="928">
      <c r="A928" s="127"/>
      <c r="B928" s="22"/>
      <c r="C928" s="127"/>
      <c r="D928" s="22"/>
      <c r="E928" s="22"/>
      <c r="F928" s="22"/>
      <c r="G928" s="22"/>
      <c r="H928" s="22"/>
      <c r="I928" s="22"/>
      <c r="J928" s="22"/>
      <c r="K928" s="127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</row>
    <row r="929">
      <c r="A929" s="127"/>
      <c r="B929" s="22"/>
      <c r="C929" s="127"/>
      <c r="D929" s="22"/>
      <c r="E929" s="22"/>
      <c r="F929" s="22"/>
      <c r="G929" s="22"/>
      <c r="H929" s="22"/>
      <c r="I929" s="22"/>
      <c r="J929" s="22"/>
      <c r="K929" s="127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</row>
    <row r="930">
      <c r="A930" s="127"/>
      <c r="B930" s="22"/>
      <c r="C930" s="127"/>
      <c r="D930" s="22"/>
      <c r="E930" s="22"/>
      <c r="F930" s="22"/>
      <c r="G930" s="22"/>
      <c r="H930" s="22"/>
      <c r="I930" s="22"/>
      <c r="J930" s="22"/>
      <c r="K930" s="127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</row>
    <row r="931">
      <c r="A931" s="127"/>
      <c r="B931" s="22"/>
      <c r="C931" s="127"/>
      <c r="D931" s="22"/>
      <c r="E931" s="22"/>
      <c r="F931" s="22"/>
      <c r="G931" s="22"/>
      <c r="H931" s="22"/>
      <c r="I931" s="22"/>
      <c r="J931" s="22"/>
      <c r="K931" s="127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</row>
    <row r="932">
      <c r="A932" s="127"/>
      <c r="B932" s="22"/>
      <c r="C932" s="127"/>
      <c r="D932" s="22"/>
      <c r="E932" s="22"/>
      <c r="F932" s="22"/>
      <c r="G932" s="22"/>
      <c r="H932" s="22"/>
      <c r="I932" s="22"/>
      <c r="J932" s="22"/>
      <c r="K932" s="127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</row>
    <row r="933">
      <c r="A933" s="127"/>
      <c r="B933" s="22"/>
      <c r="C933" s="127"/>
      <c r="D933" s="22"/>
      <c r="E933" s="22"/>
      <c r="F933" s="22"/>
      <c r="G933" s="22"/>
      <c r="H933" s="22"/>
      <c r="I933" s="22"/>
      <c r="J933" s="22"/>
      <c r="K933" s="127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</row>
    <row r="934">
      <c r="A934" s="127"/>
      <c r="B934" s="22"/>
      <c r="C934" s="127"/>
      <c r="D934" s="22"/>
      <c r="E934" s="22"/>
      <c r="F934" s="22"/>
      <c r="G934" s="22"/>
      <c r="H934" s="22"/>
      <c r="I934" s="22"/>
      <c r="J934" s="22"/>
      <c r="K934" s="127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</row>
    <row r="935">
      <c r="A935" s="127"/>
      <c r="B935" s="22"/>
      <c r="C935" s="127"/>
      <c r="D935" s="22"/>
      <c r="E935" s="22"/>
      <c r="F935" s="22"/>
      <c r="G935" s="22"/>
      <c r="H935" s="22"/>
      <c r="I935" s="22"/>
      <c r="J935" s="22"/>
      <c r="K935" s="127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</row>
    <row r="936">
      <c r="A936" s="127"/>
      <c r="B936" s="22"/>
      <c r="C936" s="127"/>
      <c r="D936" s="22"/>
      <c r="E936" s="22"/>
      <c r="F936" s="22"/>
      <c r="G936" s="22"/>
      <c r="H936" s="22"/>
      <c r="I936" s="22"/>
      <c r="J936" s="22"/>
      <c r="K936" s="127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</row>
    <row r="937">
      <c r="A937" s="127"/>
      <c r="B937" s="22"/>
      <c r="C937" s="127"/>
      <c r="D937" s="22"/>
      <c r="E937" s="22"/>
      <c r="F937" s="22"/>
      <c r="G937" s="22"/>
      <c r="H937" s="22"/>
      <c r="I937" s="22"/>
      <c r="J937" s="22"/>
      <c r="K937" s="127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</row>
    <row r="938">
      <c r="A938" s="127"/>
      <c r="B938" s="22"/>
      <c r="C938" s="127"/>
      <c r="D938" s="22"/>
      <c r="E938" s="22"/>
      <c r="F938" s="22"/>
      <c r="G938" s="22"/>
      <c r="H938" s="22"/>
      <c r="I938" s="22"/>
      <c r="J938" s="22"/>
      <c r="K938" s="127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</row>
    <row r="939">
      <c r="A939" s="127"/>
      <c r="B939" s="22"/>
      <c r="C939" s="127"/>
      <c r="D939" s="22"/>
      <c r="E939" s="22"/>
      <c r="F939" s="22"/>
      <c r="G939" s="22"/>
      <c r="H939" s="22"/>
      <c r="I939" s="22"/>
      <c r="J939" s="22"/>
      <c r="K939" s="127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</row>
    <row r="940">
      <c r="A940" s="127"/>
      <c r="B940" s="22"/>
      <c r="C940" s="127"/>
      <c r="D940" s="22"/>
      <c r="E940" s="22"/>
      <c r="F940" s="22"/>
      <c r="G940" s="22"/>
      <c r="H940" s="22"/>
      <c r="I940" s="22"/>
      <c r="J940" s="22"/>
      <c r="K940" s="127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</row>
    <row r="941">
      <c r="A941" s="127"/>
      <c r="B941" s="22"/>
      <c r="C941" s="127"/>
      <c r="D941" s="22"/>
      <c r="E941" s="22"/>
      <c r="F941" s="22"/>
      <c r="G941" s="22"/>
      <c r="H941" s="22"/>
      <c r="I941" s="22"/>
      <c r="J941" s="22"/>
      <c r="K941" s="127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</row>
    <row r="942">
      <c r="A942" s="127"/>
      <c r="B942" s="22"/>
      <c r="C942" s="127"/>
      <c r="D942" s="22"/>
      <c r="E942" s="22"/>
      <c r="F942" s="22"/>
      <c r="G942" s="22"/>
      <c r="H942" s="22"/>
      <c r="I942" s="22"/>
      <c r="J942" s="22"/>
      <c r="K942" s="127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</row>
    <row r="943">
      <c r="A943" s="127"/>
      <c r="B943" s="22"/>
      <c r="C943" s="127"/>
      <c r="D943" s="22"/>
      <c r="E943" s="22"/>
      <c r="F943" s="22"/>
      <c r="G943" s="22"/>
      <c r="H943" s="22"/>
      <c r="I943" s="22"/>
      <c r="J943" s="22"/>
      <c r="K943" s="127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</row>
    <row r="944">
      <c r="A944" s="127"/>
      <c r="B944" s="22"/>
      <c r="C944" s="127"/>
      <c r="D944" s="22"/>
      <c r="E944" s="22"/>
      <c r="F944" s="22"/>
      <c r="G944" s="22"/>
      <c r="H944" s="22"/>
      <c r="I944" s="22"/>
      <c r="J944" s="22"/>
      <c r="K944" s="127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</row>
    <row r="945">
      <c r="A945" s="127"/>
      <c r="B945" s="22"/>
      <c r="C945" s="127"/>
      <c r="D945" s="22"/>
      <c r="E945" s="22"/>
      <c r="F945" s="22"/>
      <c r="G945" s="22"/>
      <c r="H945" s="22"/>
      <c r="I945" s="22"/>
      <c r="J945" s="22"/>
      <c r="K945" s="127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</row>
    <row r="946">
      <c r="A946" s="127"/>
      <c r="B946" s="22"/>
      <c r="C946" s="127"/>
      <c r="D946" s="22"/>
      <c r="E946" s="22"/>
      <c r="F946" s="22"/>
      <c r="G946" s="22"/>
      <c r="H946" s="22"/>
      <c r="I946" s="22"/>
      <c r="J946" s="22"/>
      <c r="K946" s="127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</row>
    <row r="947">
      <c r="A947" s="127"/>
      <c r="B947" s="22"/>
      <c r="C947" s="127"/>
      <c r="D947" s="22"/>
      <c r="E947" s="22"/>
      <c r="F947" s="22"/>
      <c r="G947" s="22"/>
      <c r="H947" s="22"/>
      <c r="I947" s="22"/>
      <c r="J947" s="22"/>
      <c r="K947" s="127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</row>
    <row r="948">
      <c r="A948" s="127"/>
      <c r="B948" s="22"/>
      <c r="C948" s="127"/>
      <c r="D948" s="22"/>
      <c r="E948" s="22"/>
      <c r="F948" s="22"/>
      <c r="G948" s="22"/>
      <c r="H948" s="22"/>
      <c r="I948" s="22"/>
      <c r="J948" s="22"/>
      <c r="K948" s="127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</row>
    <row r="949">
      <c r="A949" s="127"/>
      <c r="B949" s="22"/>
      <c r="C949" s="127"/>
      <c r="D949" s="22"/>
      <c r="E949" s="22"/>
      <c r="F949" s="22"/>
      <c r="G949" s="22"/>
      <c r="H949" s="22"/>
      <c r="I949" s="22"/>
      <c r="J949" s="22"/>
      <c r="K949" s="127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</row>
    <row r="950">
      <c r="A950" s="127"/>
      <c r="B950" s="22"/>
      <c r="C950" s="127"/>
      <c r="D950" s="22"/>
      <c r="E950" s="22"/>
      <c r="F950" s="22"/>
      <c r="G950" s="22"/>
      <c r="H950" s="22"/>
      <c r="I950" s="22"/>
      <c r="J950" s="22"/>
      <c r="K950" s="127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</row>
    <row r="951">
      <c r="A951" s="127"/>
      <c r="B951" s="22"/>
      <c r="C951" s="127"/>
      <c r="D951" s="22"/>
      <c r="E951" s="22"/>
      <c r="F951" s="22"/>
      <c r="G951" s="22"/>
      <c r="H951" s="22"/>
      <c r="I951" s="22"/>
      <c r="J951" s="22"/>
      <c r="K951" s="127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</row>
    <row r="952">
      <c r="A952" s="127"/>
      <c r="B952" s="22"/>
      <c r="C952" s="127"/>
      <c r="D952" s="22"/>
      <c r="E952" s="22"/>
      <c r="F952" s="22"/>
      <c r="G952" s="22"/>
      <c r="H952" s="22"/>
      <c r="I952" s="22"/>
      <c r="J952" s="22"/>
      <c r="K952" s="127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</row>
  </sheetData>
  <autoFilter ref="$A$1:$K$66">
    <filterColumn colId="10">
      <filters blank="1">
        <filter val="Agosto"/>
      </filters>
    </filterColumn>
  </autoFilter>
  <dataValidations>
    <dataValidation type="list" allowBlank="1" showErrorMessage="1" sqref="K2:K952">
      <formula1>"Janeiro,Fevereiro,Março,Abril,Maio,Junho,Julho,Agosto,Setembro,Outubro,Novembro,Dezembro"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19.25"/>
    <col customWidth="1" min="3" max="3" width="18.63"/>
    <col customWidth="1" min="4" max="4" width="23.75"/>
    <col customWidth="1" min="5" max="5" width="24.88"/>
    <col customWidth="1" min="6" max="6" width="16.13"/>
    <col customWidth="1" min="7" max="7" width="16.38"/>
    <col customWidth="1" min="8" max="8" width="15.38"/>
    <col customWidth="1" min="9" max="9" width="21.63"/>
    <col customWidth="1" min="10" max="10" width="19.63"/>
    <col customWidth="1" min="11" max="11" width="18.63"/>
    <col customWidth="1" min="12" max="12" width="19.13"/>
  </cols>
  <sheetData>
    <row r="1" ht="24.0" customHeight="1">
      <c r="A1" s="9"/>
      <c r="B1" s="14" t="s">
        <v>21</v>
      </c>
      <c r="C1" s="17" t="s">
        <v>22</v>
      </c>
      <c r="D1" s="17" t="s">
        <v>3</v>
      </c>
      <c r="E1" s="17" t="s">
        <v>8</v>
      </c>
      <c r="F1" s="17" t="s">
        <v>24</v>
      </c>
      <c r="G1" s="17" t="s">
        <v>7</v>
      </c>
      <c r="H1" s="17" t="s">
        <v>10</v>
      </c>
      <c r="I1" s="25" t="s">
        <v>25</v>
      </c>
      <c r="J1" s="25" t="s">
        <v>11</v>
      </c>
      <c r="K1" s="17" t="s">
        <v>16</v>
      </c>
      <c r="L1" s="29" t="s">
        <v>13</v>
      </c>
    </row>
    <row r="2" ht="15.75" customHeight="1">
      <c r="A2" s="9"/>
      <c r="B2" s="32">
        <v>46237.0</v>
      </c>
      <c r="C2" s="35" t="s">
        <v>28</v>
      </c>
      <c r="D2" s="39" t="s">
        <v>30</v>
      </c>
      <c r="E2" s="35" t="s">
        <v>32</v>
      </c>
      <c r="F2" s="43">
        <v>29.9</v>
      </c>
      <c r="G2" s="44">
        <v>300.0</v>
      </c>
      <c r="H2" s="53">
        <f t="shared" ref="H2:H902" si="1">F2*G2</f>
        <v>8970</v>
      </c>
      <c r="I2" s="56" t="s">
        <v>36</v>
      </c>
      <c r="J2" s="57">
        <v>0.02</v>
      </c>
      <c r="K2" s="60">
        <f t="shared" ref="K2:K902" si="2">H2*J2</f>
        <v>179.4</v>
      </c>
      <c r="L2" s="64" t="s">
        <v>40</v>
      </c>
    </row>
    <row r="3" ht="15.75" customHeight="1">
      <c r="A3" s="9"/>
      <c r="B3" s="67">
        <v>46244.0</v>
      </c>
      <c r="C3" s="39" t="s">
        <v>43</v>
      </c>
      <c r="D3" s="39" t="s">
        <v>44</v>
      </c>
      <c r="E3" s="35" t="s">
        <v>45</v>
      </c>
      <c r="F3" s="43">
        <v>37.9</v>
      </c>
      <c r="G3" s="71">
        <v>19.96</v>
      </c>
      <c r="H3" s="53">
        <f t="shared" si="1"/>
        <v>756.484</v>
      </c>
      <c r="I3" s="56" t="s">
        <v>36</v>
      </c>
      <c r="J3" s="57">
        <v>0.02</v>
      </c>
      <c r="K3" s="60">
        <f t="shared" si="2"/>
        <v>15.12968</v>
      </c>
      <c r="L3" s="64" t="s">
        <v>40</v>
      </c>
    </row>
    <row r="4" ht="15.75" customHeight="1">
      <c r="A4" s="9"/>
      <c r="B4" s="67">
        <v>46246.0</v>
      </c>
      <c r="C4" s="39" t="s">
        <v>49</v>
      </c>
      <c r="D4" s="39" t="s">
        <v>50</v>
      </c>
      <c r="E4" s="35" t="s">
        <v>32</v>
      </c>
      <c r="F4" s="43">
        <v>29.9</v>
      </c>
      <c r="G4" s="44">
        <v>1835.57</v>
      </c>
      <c r="H4" s="53">
        <f t="shared" si="1"/>
        <v>54883.543</v>
      </c>
      <c r="I4" s="56" t="s">
        <v>36</v>
      </c>
      <c r="J4" s="57">
        <v>0.02</v>
      </c>
      <c r="K4" s="60">
        <f t="shared" si="2"/>
        <v>1097.67086</v>
      </c>
      <c r="L4" s="64" t="s">
        <v>40</v>
      </c>
    </row>
    <row r="5" ht="15.75" customHeight="1">
      <c r="A5" s="9"/>
      <c r="B5" s="67">
        <v>46246.0</v>
      </c>
      <c r="C5" s="39"/>
      <c r="D5" s="39" t="s">
        <v>52</v>
      </c>
      <c r="E5" s="35" t="s">
        <v>32</v>
      </c>
      <c r="F5" s="43">
        <v>28.9</v>
      </c>
      <c r="G5" s="44">
        <v>113.91</v>
      </c>
      <c r="H5" s="53">
        <f t="shared" si="1"/>
        <v>3291.999</v>
      </c>
      <c r="I5" s="56" t="s">
        <v>36</v>
      </c>
      <c r="J5" s="57">
        <v>0.02</v>
      </c>
      <c r="K5" s="60">
        <f t="shared" si="2"/>
        <v>65.83998</v>
      </c>
      <c r="L5" s="64" t="s">
        <v>40</v>
      </c>
    </row>
    <row r="6" ht="15.75" customHeight="1">
      <c r="A6" s="9"/>
      <c r="B6" s="67">
        <v>46246.0</v>
      </c>
      <c r="C6" s="39" t="s">
        <v>57</v>
      </c>
      <c r="D6" s="39" t="s">
        <v>30</v>
      </c>
      <c r="E6" s="35" t="s">
        <v>32</v>
      </c>
      <c r="F6" s="43">
        <v>28.9</v>
      </c>
      <c r="G6" s="44">
        <v>290.0</v>
      </c>
      <c r="H6" s="53">
        <f t="shared" si="1"/>
        <v>8381</v>
      </c>
      <c r="I6" s="56" t="s">
        <v>36</v>
      </c>
      <c r="J6" s="57">
        <v>0.02</v>
      </c>
      <c r="K6" s="60">
        <f t="shared" si="2"/>
        <v>167.62</v>
      </c>
      <c r="L6" s="64" t="s">
        <v>40</v>
      </c>
    </row>
    <row r="7" ht="15.75" customHeight="1">
      <c r="A7" s="9"/>
      <c r="B7" s="67">
        <v>46247.0</v>
      </c>
      <c r="C7" s="39" t="s">
        <v>61</v>
      </c>
      <c r="D7" s="39" t="s">
        <v>63</v>
      </c>
      <c r="E7" s="35" t="s">
        <v>45</v>
      </c>
      <c r="F7" s="43">
        <v>38.9</v>
      </c>
      <c r="G7" s="44">
        <v>20.0</v>
      </c>
      <c r="H7" s="53">
        <f t="shared" si="1"/>
        <v>778</v>
      </c>
      <c r="I7" s="56" t="s">
        <v>36</v>
      </c>
      <c r="J7" s="57">
        <v>0.02</v>
      </c>
      <c r="K7" s="60">
        <f t="shared" si="2"/>
        <v>15.56</v>
      </c>
      <c r="L7" s="64" t="s">
        <v>40</v>
      </c>
    </row>
    <row r="8" ht="15.75" customHeight="1">
      <c r="A8" s="9"/>
      <c r="B8" s="67"/>
      <c r="C8" s="39"/>
      <c r="D8" s="39" t="s">
        <v>66</v>
      </c>
      <c r="E8" s="35" t="s">
        <v>55</v>
      </c>
      <c r="F8" s="43">
        <v>54.9</v>
      </c>
      <c r="G8" s="44">
        <v>60.0</v>
      </c>
      <c r="H8" s="53">
        <f t="shared" si="1"/>
        <v>3294</v>
      </c>
      <c r="I8" s="56" t="s">
        <v>36</v>
      </c>
      <c r="J8" s="57">
        <v>0.02</v>
      </c>
      <c r="K8" s="60">
        <f t="shared" si="2"/>
        <v>65.88</v>
      </c>
      <c r="L8" s="64" t="s">
        <v>40</v>
      </c>
    </row>
    <row r="9" ht="15.75" customHeight="1">
      <c r="A9" s="9"/>
      <c r="B9" s="67">
        <v>46253.0</v>
      </c>
      <c r="C9" s="39"/>
      <c r="D9" s="39" t="s">
        <v>44</v>
      </c>
      <c r="E9" s="35" t="s">
        <v>45</v>
      </c>
      <c r="F9" s="43">
        <v>37.9</v>
      </c>
      <c r="G9" s="44">
        <v>20.0</v>
      </c>
      <c r="H9" s="53">
        <f t="shared" si="1"/>
        <v>758</v>
      </c>
      <c r="I9" s="56" t="s">
        <v>68</v>
      </c>
      <c r="J9" s="57">
        <v>0.02</v>
      </c>
      <c r="K9" s="60">
        <f t="shared" si="2"/>
        <v>15.16</v>
      </c>
      <c r="L9" s="64"/>
    </row>
    <row r="10" ht="15.75" customHeight="1">
      <c r="A10" s="9"/>
      <c r="B10" s="67">
        <v>46253.0</v>
      </c>
      <c r="C10" s="39"/>
      <c r="D10" s="39" t="s">
        <v>30</v>
      </c>
      <c r="E10" s="35" t="s">
        <v>32</v>
      </c>
      <c r="F10" s="43">
        <v>28.9</v>
      </c>
      <c r="G10" s="44">
        <v>230.0</v>
      </c>
      <c r="H10" s="53">
        <f t="shared" si="1"/>
        <v>6647</v>
      </c>
      <c r="I10" s="56" t="s">
        <v>36</v>
      </c>
      <c r="J10" s="57">
        <v>0.02</v>
      </c>
      <c r="K10" s="60">
        <f t="shared" si="2"/>
        <v>132.94</v>
      </c>
      <c r="L10" s="64" t="s">
        <v>40</v>
      </c>
    </row>
    <row r="11" ht="15.75" customHeight="1">
      <c r="A11" s="9"/>
      <c r="B11" s="67">
        <v>46253.0</v>
      </c>
      <c r="C11" s="39"/>
      <c r="D11" s="39" t="s">
        <v>59</v>
      </c>
      <c r="E11" s="35" t="s">
        <v>32</v>
      </c>
      <c r="F11" s="43">
        <v>28.9</v>
      </c>
      <c r="G11" s="44">
        <v>37.0</v>
      </c>
      <c r="H11" s="53">
        <f t="shared" si="1"/>
        <v>1069.3</v>
      </c>
      <c r="I11" s="56" t="s">
        <v>36</v>
      </c>
      <c r="J11" s="57">
        <v>0.02</v>
      </c>
      <c r="K11" s="60">
        <f t="shared" si="2"/>
        <v>21.386</v>
      </c>
      <c r="L11" s="64" t="s">
        <v>40</v>
      </c>
    </row>
    <row r="12" ht="15.75" customHeight="1">
      <c r="A12" s="9"/>
      <c r="B12" s="105"/>
      <c r="C12" s="56"/>
      <c r="D12" s="39" t="s">
        <v>72</v>
      </c>
      <c r="E12" s="35" t="s">
        <v>32</v>
      </c>
      <c r="F12" s="43">
        <v>28.9</v>
      </c>
      <c r="G12" s="106">
        <v>77.72</v>
      </c>
      <c r="H12" s="53">
        <f t="shared" si="1"/>
        <v>2246.108</v>
      </c>
      <c r="I12" s="56" t="s">
        <v>36</v>
      </c>
      <c r="J12" s="57">
        <v>0.02</v>
      </c>
      <c r="K12" s="60">
        <f t="shared" si="2"/>
        <v>44.92216</v>
      </c>
      <c r="L12" s="64" t="s">
        <v>40</v>
      </c>
    </row>
    <row r="13" ht="15.75" customHeight="1">
      <c r="A13" s="9"/>
      <c r="B13" s="105"/>
      <c r="C13" s="56"/>
      <c r="D13" s="39"/>
      <c r="E13" s="35"/>
      <c r="F13" s="108"/>
      <c r="G13" s="106"/>
      <c r="H13" s="53">
        <f t="shared" si="1"/>
        <v>0</v>
      </c>
      <c r="I13" s="56"/>
      <c r="J13" s="57"/>
      <c r="K13" s="60">
        <f t="shared" si="2"/>
        <v>0</v>
      </c>
      <c r="L13" s="64"/>
    </row>
    <row r="14" ht="15.75" customHeight="1">
      <c r="A14" s="9"/>
      <c r="B14" s="105"/>
      <c r="C14" s="56"/>
      <c r="D14" s="39"/>
      <c r="E14" s="35"/>
      <c r="F14" s="108"/>
      <c r="G14" s="106"/>
      <c r="H14" s="53">
        <f t="shared" si="1"/>
        <v>0</v>
      </c>
      <c r="I14" s="56"/>
      <c r="J14" s="57"/>
      <c r="K14" s="60">
        <f t="shared" si="2"/>
        <v>0</v>
      </c>
      <c r="L14" s="64"/>
    </row>
    <row r="15" ht="15.75" customHeight="1">
      <c r="A15" s="9"/>
      <c r="B15" s="109"/>
      <c r="C15" s="110"/>
      <c r="D15" s="110"/>
      <c r="E15" s="111"/>
      <c r="F15" s="112"/>
      <c r="G15" s="113"/>
      <c r="H15" s="53">
        <f t="shared" si="1"/>
        <v>0</v>
      </c>
      <c r="I15" s="115"/>
      <c r="J15" s="115"/>
      <c r="K15" s="60">
        <f t="shared" si="2"/>
        <v>0</v>
      </c>
      <c r="L15" s="117"/>
    </row>
    <row r="16" ht="15.75" customHeight="1">
      <c r="A16" s="9"/>
      <c r="B16" s="109"/>
      <c r="C16" s="110"/>
      <c r="D16" s="110"/>
      <c r="E16" s="111"/>
      <c r="F16" s="112"/>
      <c r="G16" s="113"/>
      <c r="H16" s="53">
        <f t="shared" si="1"/>
        <v>0</v>
      </c>
      <c r="I16" s="115"/>
      <c r="J16" s="115"/>
      <c r="K16" s="60">
        <f t="shared" si="2"/>
        <v>0</v>
      </c>
      <c r="L16" s="117"/>
    </row>
    <row r="17" ht="15.75" customHeight="1">
      <c r="A17" s="9"/>
      <c r="B17" s="109"/>
      <c r="C17" s="110"/>
      <c r="D17" s="110"/>
      <c r="E17" s="111"/>
      <c r="F17" s="112"/>
      <c r="G17" s="113"/>
      <c r="H17" s="53">
        <f t="shared" si="1"/>
        <v>0</v>
      </c>
      <c r="I17" s="115"/>
      <c r="J17" s="115"/>
      <c r="K17" s="60">
        <f t="shared" si="2"/>
        <v>0</v>
      </c>
      <c r="L17" s="117"/>
    </row>
    <row r="18" ht="15.75" customHeight="1">
      <c r="A18" s="9"/>
      <c r="B18" s="109"/>
      <c r="C18" s="110"/>
      <c r="D18" s="110"/>
      <c r="E18" s="111"/>
      <c r="F18" s="112"/>
      <c r="G18" s="113"/>
      <c r="H18" s="53">
        <f t="shared" si="1"/>
        <v>0</v>
      </c>
      <c r="I18" s="115"/>
      <c r="J18" s="115"/>
      <c r="K18" s="60">
        <f t="shared" si="2"/>
        <v>0</v>
      </c>
      <c r="L18" s="117"/>
    </row>
    <row r="19" ht="15.75" customHeight="1">
      <c r="A19" s="9"/>
      <c r="B19" s="109"/>
      <c r="C19" s="110"/>
      <c r="D19" s="110"/>
      <c r="E19" s="111"/>
      <c r="F19" s="112"/>
      <c r="G19" s="113"/>
      <c r="H19" s="53">
        <f t="shared" si="1"/>
        <v>0</v>
      </c>
      <c r="I19" s="115"/>
      <c r="J19" s="115"/>
      <c r="K19" s="60">
        <f t="shared" si="2"/>
        <v>0</v>
      </c>
      <c r="L19" s="117"/>
    </row>
    <row r="20" ht="15.75" customHeight="1">
      <c r="A20" s="9"/>
      <c r="B20" s="109"/>
      <c r="C20" s="110"/>
      <c r="D20" s="110"/>
      <c r="E20" s="111"/>
      <c r="F20" s="112"/>
      <c r="G20" s="113"/>
      <c r="H20" s="53">
        <f t="shared" si="1"/>
        <v>0</v>
      </c>
      <c r="I20" s="115"/>
      <c r="J20" s="115"/>
      <c r="K20" s="60">
        <f t="shared" si="2"/>
        <v>0</v>
      </c>
      <c r="L20" s="117"/>
    </row>
    <row r="21" ht="15.75" customHeight="1">
      <c r="A21" s="9"/>
      <c r="B21" s="109"/>
      <c r="C21" s="110"/>
      <c r="D21" s="110"/>
      <c r="E21" s="111"/>
      <c r="F21" s="112"/>
      <c r="G21" s="113"/>
      <c r="H21" s="53">
        <f t="shared" si="1"/>
        <v>0</v>
      </c>
      <c r="I21" s="115"/>
      <c r="J21" s="115"/>
      <c r="K21" s="60">
        <f t="shared" si="2"/>
        <v>0</v>
      </c>
      <c r="L21" s="117"/>
    </row>
    <row r="22" ht="15.75" customHeight="1">
      <c r="A22" s="9"/>
      <c r="B22" s="130"/>
      <c r="C22" s="111"/>
      <c r="D22" s="131"/>
      <c r="E22" s="111"/>
      <c r="F22" s="53"/>
      <c r="G22" s="134"/>
      <c r="H22" s="53">
        <f t="shared" si="1"/>
        <v>0</v>
      </c>
      <c r="I22" s="115"/>
      <c r="J22" s="136"/>
      <c r="K22" s="60">
        <f t="shared" si="2"/>
        <v>0</v>
      </c>
      <c r="L22" s="117"/>
    </row>
    <row r="23" ht="15.75" customHeight="1">
      <c r="A23" s="9"/>
      <c r="B23" s="130"/>
      <c r="C23" s="111"/>
      <c r="D23" s="131"/>
      <c r="E23" s="111"/>
      <c r="F23" s="53"/>
      <c r="G23" s="134"/>
      <c r="H23" s="53">
        <f t="shared" si="1"/>
        <v>0</v>
      </c>
      <c r="I23" s="115"/>
      <c r="J23" s="136"/>
      <c r="K23" s="60">
        <f t="shared" si="2"/>
        <v>0</v>
      </c>
      <c r="L23" s="117"/>
    </row>
    <row r="24" ht="15.75" customHeight="1">
      <c r="A24" s="9"/>
      <c r="B24" s="130"/>
      <c r="C24" s="111"/>
      <c r="D24" s="131"/>
      <c r="E24" s="111"/>
      <c r="F24" s="53"/>
      <c r="G24" s="134"/>
      <c r="H24" s="53">
        <f t="shared" si="1"/>
        <v>0</v>
      </c>
      <c r="I24" s="115"/>
      <c r="J24" s="136"/>
      <c r="K24" s="60">
        <f t="shared" si="2"/>
        <v>0</v>
      </c>
      <c r="L24" s="117"/>
    </row>
    <row r="25" ht="15.75" customHeight="1">
      <c r="A25" s="9"/>
      <c r="B25" s="138"/>
      <c r="C25" s="111"/>
      <c r="D25" s="131"/>
      <c r="E25" s="111"/>
      <c r="F25" s="53"/>
      <c r="G25" s="134"/>
      <c r="H25" s="53">
        <f t="shared" si="1"/>
        <v>0</v>
      </c>
      <c r="I25" s="115"/>
      <c r="J25" s="136"/>
      <c r="K25" s="60">
        <f t="shared" si="2"/>
        <v>0</v>
      </c>
      <c r="L25" s="117"/>
    </row>
    <row r="26" ht="15.75" customHeight="1">
      <c r="A26" s="9"/>
      <c r="B26" s="130"/>
      <c r="C26" s="111"/>
      <c r="D26" s="131"/>
      <c r="E26" s="111"/>
      <c r="F26" s="53"/>
      <c r="G26" s="134"/>
      <c r="H26" s="53">
        <f t="shared" si="1"/>
        <v>0</v>
      </c>
      <c r="I26" s="115"/>
      <c r="J26" s="136"/>
      <c r="K26" s="60">
        <f t="shared" si="2"/>
        <v>0</v>
      </c>
      <c r="L26" s="117"/>
    </row>
    <row r="27" ht="15.75" customHeight="1">
      <c r="A27" s="9"/>
      <c r="B27" s="130"/>
      <c r="C27" s="111"/>
      <c r="D27" s="131"/>
      <c r="E27" s="111"/>
      <c r="F27" s="53"/>
      <c r="G27" s="134"/>
      <c r="H27" s="53">
        <f t="shared" si="1"/>
        <v>0</v>
      </c>
      <c r="I27" s="115"/>
      <c r="J27" s="136"/>
      <c r="K27" s="60">
        <f t="shared" si="2"/>
        <v>0</v>
      </c>
      <c r="L27" s="117"/>
    </row>
    <row r="28" ht="15.75" customHeight="1">
      <c r="A28" s="9"/>
      <c r="B28" s="130"/>
      <c r="C28" s="111"/>
      <c r="D28" s="131"/>
      <c r="E28" s="111"/>
      <c r="F28" s="53"/>
      <c r="G28" s="134"/>
      <c r="H28" s="53">
        <f t="shared" si="1"/>
        <v>0</v>
      </c>
      <c r="I28" s="115"/>
      <c r="J28" s="136"/>
      <c r="K28" s="60">
        <f t="shared" si="2"/>
        <v>0</v>
      </c>
      <c r="L28" s="117"/>
    </row>
    <row r="29" ht="15.75" customHeight="1">
      <c r="A29" s="9"/>
      <c r="B29" s="130"/>
      <c r="C29" s="111"/>
      <c r="D29" s="131"/>
      <c r="E29" s="111"/>
      <c r="F29" s="53"/>
      <c r="G29" s="134"/>
      <c r="H29" s="53">
        <f t="shared" si="1"/>
        <v>0</v>
      </c>
      <c r="I29" s="115"/>
      <c r="J29" s="136"/>
      <c r="K29" s="60">
        <f t="shared" si="2"/>
        <v>0</v>
      </c>
      <c r="L29" s="117"/>
    </row>
    <row r="30" ht="15.75" customHeight="1">
      <c r="A30" s="9"/>
      <c r="B30" s="130"/>
      <c r="C30" s="111"/>
      <c r="D30" s="131"/>
      <c r="E30" s="111"/>
      <c r="F30" s="53"/>
      <c r="G30" s="134"/>
      <c r="H30" s="53">
        <f t="shared" si="1"/>
        <v>0</v>
      </c>
      <c r="I30" s="115"/>
      <c r="J30" s="136"/>
      <c r="K30" s="60">
        <f t="shared" si="2"/>
        <v>0</v>
      </c>
      <c r="L30" s="117"/>
    </row>
    <row r="31" ht="15.75" customHeight="1">
      <c r="A31" s="9"/>
      <c r="B31" s="130"/>
      <c r="C31" s="111"/>
      <c r="D31" s="131"/>
      <c r="E31" s="111"/>
      <c r="F31" s="53"/>
      <c r="G31" s="134"/>
      <c r="H31" s="53">
        <f t="shared" si="1"/>
        <v>0</v>
      </c>
      <c r="I31" s="115"/>
      <c r="J31" s="136"/>
      <c r="K31" s="60">
        <f t="shared" si="2"/>
        <v>0</v>
      </c>
      <c r="L31" s="117"/>
    </row>
    <row r="32" ht="15.75" customHeight="1">
      <c r="A32" s="9"/>
      <c r="B32" s="130"/>
      <c r="C32" s="111"/>
      <c r="D32" s="131"/>
      <c r="E32" s="111"/>
      <c r="F32" s="53"/>
      <c r="G32" s="134"/>
      <c r="H32" s="53">
        <f t="shared" si="1"/>
        <v>0</v>
      </c>
      <c r="I32" s="115"/>
      <c r="J32" s="136"/>
      <c r="K32" s="60">
        <f t="shared" si="2"/>
        <v>0</v>
      </c>
      <c r="L32" s="117"/>
    </row>
    <row r="33" ht="15.75" customHeight="1">
      <c r="A33" s="9"/>
      <c r="B33" s="130"/>
      <c r="C33" s="111"/>
      <c r="D33" s="131"/>
      <c r="E33" s="111"/>
      <c r="F33" s="53"/>
      <c r="G33" s="134"/>
      <c r="H33" s="53">
        <f t="shared" si="1"/>
        <v>0</v>
      </c>
      <c r="I33" s="115"/>
      <c r="J33" s="136"/>
      <c r="K33" s="60">
        <f t="shared" si="2"/>
        <v>0</v>
      </c>
      <c r="L33" s="117"/>
    </row>
    <row r="34" ht="15.75" customHeight="1">
      <c r="A34" s="9"/>
      <c r="B34" s="130"/>
      <c r="C34" s="111"/>
      <c r="D34" s="131"/>
      <c r="E34" s="111"/>
      <c r="F34" s="53"/>
      <c r="G34" s="134"/>
      <c r="H34" s="53">
        <f t="shared" si="1"/>
        <v>0</v>
      </c>
      <c r="I34" s="115"/>
      <c r="J34" s="136"/>
      <c r="K34" s="60">
        <f t="shared" si="2"/>
        <v>0</v>
      </c>
      <c r="L34" s="117"/>
    </row>
    <row r="35" ht="15.75" customHeight="1">
      <c r="A35" s="9"/>
      <c r="B35" s="130"/>
      <c r="C35" s="111"/>
      <c r="D35" s="131"/>
      <c r="E35" s="111"/>
      <c r="F35" s="53"/>
      <c r="G35" s="134"/>
      <c r="H35" s="53">
        <f t="shared" si="1"/>
        <v>0</v>
      </c>
      <c r="I35" s="115"/>
      <c r="J35" s="136"/>
      <c r="K35" s="60">
        <f t="shared" si="2"/>
        <v>0</v>
      </c>
      <c r="L35" s="117"/>
    </row>
    <row r="36" ht="15.75" customHeight="1">
      <c r="A36" s="9"/>
      <c r="B36" s="155"/>
      <c r="C36" s="111"/>
      <c r="D36" s="131"/>
      <c r="E36" s="111"/>
      <c r="F36" s="53"/>
      <c r="G36" s="134"/>
      <c r="H36" s="53">
        <f t="shared" si="1"/>
        <v>0</v>
      </c>
      <c r="I36" s="115"/>
      <c r="J36" s="136"/>
      <c r="K36" s="60">
        <f t="shared" si="2"/>
        <v>0</v>
      </c>
      <c r="L36" s="117"/>
    </row>
    <row r="37" ht="15.75" customHeight="1">
      <c r="A37" s="9" t="s">
        <v>37</v>
      </c>
      <c r="B37" s="109"/>
      <c r="C37" s="110"/>
      <c r="D37" s="156"/>
      <c r="E37" s="111"/>
      <c r="F37" s="112"/>
      <c r="G37" s="113"/>
      <c r="H37" s="53">
        <f t="shared" si="1"/>
        <v>0</v>
      </c>
      <c r="I37" s="115"/>
      <c r="J37" s="115"/>
      <c r="K37" s="60">
        <f t="shared" si="2"/>
        <v>0</v>
      </c>
      <c r="L37" s="117"/>
    </row>
    <row r="38" ht="15.75" customHeight="1">
      <c r="A38" s="9"/>
      <c r="B38" s="109"/>
      <c r="C38" s="110"/>
      <c r="D38" s="156"/>
      <c r="E38" s="111"/>
      <c r="F38" s="112"/>
      <c r="G38" s="113"/>
      <c r="H38" s="53">
        <f t="shared" si="1"/>
        <v>0</v>
      </c>
      <c r="I38" s="115"/>
      <c r="J38" s="115"/>
      <c r="K38" s="60">
        <f t="shared" si="2"/>
        <v>0</v>
      </c>
      <c r="L38" s="117"/>
    </row>
    <row r="39" ht="15.75" customHeight="1">
      <c r="A39" s="9"/>
      <c r="B39" s="109"/>
      <c r="C39" s="110"/>
      <c r="D39" s="156"/>
      <c r="E39" s="111"/>
      <c r="F39" s="112"/>
      <c r="G39" s="113"/>
      <c r="H39" s="53">
        <f t="shared" si="1"/>
        <v>0</v>
      </c>
      <c r="I39" s="115"/>
      <c r="J39" s="115"/>
      <c r="K39" s="60">
        <f t="shared" si="2"/>
        <v>0</v>
      </c>
      <c r="L39" s="117"/>
    </row>
    <row r="40" ht="15.75" customHeight="1">
      <c r="A40" s="9">
        <v>2025.0</v>
      </c>
      <c r="B40" s="109"/>
      <c r="C40" s="110"/>
      <c r="D40" s="156"/>
      <c r="E40" s="111"/>
      <c r="F40" s="112"/>
      <c r="G40" s="113"/>
      <c r="H40" s="53">
        <f t="shared" si="1"/>
        <v>0</v>
      </c>
      <c r="I40" s="115"/>
      <c r="J40" s="115"/>
      <c r="K40" s="60">
        <f t="shared" si="2"/>
        <v>0</v>
      </c>
      <c r="L40" s="117"/>
    </row>
    <row r="41" ht="15.75" customHeight="1">
      <c r="A41" s="9"/>
      <c r="B41" s="109"/>
      <c r="C41" s="110"/>
      <c r="D41" s="156"/>
      <c r="E41" s="111"/>
      <c r="F41" s="112"/>
      <c r="G41" s="113"/>
      <c r="H41" s="53">
        <f t="shared" si="1"/>
        <v>0</v>
      </c>
      <c r="I41" s="115"/>
      <c r="J41" s="115"/>
      <c r="K41" s="60">
        <f t="shared" si="2"/>
        <v>0</v>
      </c>
      <c r="L41" s="117"/>
    </row>
    <row r="42" ht="15.75" customHeight="1">
      <c r="A42" s="9"/>
      <c r="B42" s="163"/>
      <c r="C42" s="110"/>
      <c r="D42" s="156"/>
      <c r="E42" s="111"/>
      <c r="F42" s="112"/>
      <c r="G42" s="113"/>
      <c r="H42" s="53">
        <f t="shared" si="1"/>
        <v>0</v>
      </c>
      <c r="I42" s="115"/>
      <c r="J42" s="115"/>
      <c r="K42" s="60">
        <f t="shared" si="2"/>
        <v>0</v>
      </c>
      <c r="L42" s="117"/>
    </row>
    <row r="43" ht="15.75" customHeight="1">
      <c r="A43" s="9"/>
      <c r="B43" s="164"/>
      <c r="C43" s="110"/>
      <c r="D43" s="156"/>
      <c r="E43" s="111"/>
      <c r="F43" s="112"/>
      <c r="G43" s="113"/>
      <c r="H43" s="53">
        <f t="shared" si="1"/>
        <v>0</v>
      </c>
      <c r="I43" s="115"/>
      <c r="J43" s="115"/>
      <c r="K43" s="60">
        <f t="shared" si="2"/>
        <v>0</v>
      </c>
      <c r="L43" s="117"/>
    </row>
    <row r="44" ht="15.75" customHeight="1">
      <c r="A44" s="9"/>
      <c r="B44" s="164"/>
      <c r="C44" s="110"/>
      <c r="D44" s="156"/>
      <c r="E44" s="111"/>
      <c r="F44" s="112"/>
      <c r="G44" s="113"/>
      <c r="H44" s="53">
        <f t="shared" si="1"/>
        <v>0</v>
      </c>
      <c r="I44" s="115"/>
      <c r="J44" s="115"/>
      <c r="K44" s="60">
        <f t="shared" si="2"/>
        <v>0</v>
      </c>
      <c r="L44" s="117"/>
    </row>
    <row r="45" ht="15.75" customHeight="1">
      <c r="A45" s="9"/>
      <c r="B45" s="164"/>
      <c r="C45" s="110"/>
      <c r="D45" s="156"/>
      <c r="E45" s="111"/>
      <c r="F45" s="112"/>
      <c r="G45" s="113"/>
      <c r="H45" s="53">
        <f t="shared" si="1"/>
        <v>0</v>
      </c>
      <c r="I45" s="115"/>
      <c r="J45" s="115"/>
      <c r="K45" s="60">
        <f t="shared" si="2"/>
        <v>0</v>
      </c>
      <c r="L45" s="117"/>
    </row>
    <row r="46" ht="15.75" customHeight="1">
      <c r="A46" s="9"/>
      <c r="B46" s="164"/>
      <c r="C46" s="110"/>
      <c r="D46" s="156"/>
      <c r="E46" s="111"/>
      <c r="F46" s="112"/>
      <c r="G46" s="113"/>
      <c r="H46" s="53">
        <f t="shared" si="1"/>
        <v>0</v>
      </c>
      <c r="I46" s="115"/>
      <c r="J46" s="115"/>
      <c r="K46" s="60">
        <f t="shared" si="2"/>
        <v>0</v>
      </c>
      <c r="L46" s="117"/>
    </row>
    <row r="47" ht="15.75" customHeight="1">
      <c r="A47" s="9"/>
      <c r="B47" s="164"/>
      <c r="C47" s="110"/>
      <c r="D47" s="156"/>
      <c r="E47" s="111"/>
      <c r="F47" s="112"/>
      <c r="G47" s="113"/>
      <c r="H47" s="53">
        <f t="shared" si="1"/>
        <v>0</v>
      </c>
      <c r="I47" s="115"/>
      <c r="J47" s="115"/>
      <c r="K47" s="60">
        <f t="shared" si="2"/>
        <v>0</v>
      </c>
      <c r="L47" s="117"/>
    </row>
    <row r="48" ht="15.75" customHeight="1">
      <c r="A48" s="9"/>
      <c r="B48" s="164"/>
      <c r="C48" s="110"/>
      <c r="D48" s="156"/>
      <c r="E48" s="111"/>
      <c r="F48" s="112"/>
      <c r="G48" s="113"/>
      <c r="H48" s="53">
        <f t="shared" si="1"/>
        <v>0</v>
      </c>
      <c r="I48" s="115"/>
      <c r="J48" s="115"/>
      <c r="K48" s="60">
        <f t="shared" si="2"/>
        <v>0</v>
      </c>
      <c r="L48" s="117"/>
    </row>
    <row r="49" ht="15.75" customHeight="1">
      <c r="A49" s="9"/>
      <c r="B49" s="164"/>
      <c r="C49" s="110"/>
      <c r="D49" s="156"/>
      <c r="E49" s="111"/>
      <c r="F49" s="112"/>
      <c r="G49" s="113"/>
      <c r="H49" s="53">
        <f t="shared" si="1"/>
        <v>0</v>
      </c>
      <c r="I49" s="115"/>
      <c r="J49" s="115"/>
      <c r="K49" s="60">
        <f t="shared" si="2"/>
        <v>0</v>
      </c>
      <c r="L49" s="117"/>
    </row>
    <row r="50" ht="15.75" customHeight="1">
      <c r="A50" s="9"/>
      <c r="B50" s="164"/>
      <c r="C50" s="110"/>
      <c r="D50" s="156"/>
      <c r="E50" s="111"/>
      <c r="F50" s="112"/>
      <c r="G50" s="113"/>
      <c r="H50" s="53">
        <f t="shared" si="1"/>
        <v>0</v>
      </c>
      <c r="I50" s="115"/>
      <c r="J50" s="115"/>
      <c r="K50" s="60">
        <f t="shared" si="2"/>
        <v>0</v>
      </c>
      <c r="L50" s="117"/>
    </row>
    <row r="51" ht="15.75" customHeight="1">
      <c r="A51" s="9"/>
      <c r="B51" s="164"/>
      <c r="C51" s="110"/>
      <c r="D51" s="156"/>
      <c r="E51" s="111"/>
      <c r="F51" s="112"/>
      <c r="G51" s="113"/>
      <c r="H51" s="53">
        <f t="shared" si="1"/>
        <v>0</v>
      </c>
      <c r="I51" s="115"/>
      <c r="J51" s="115"/>
      <c r="K51" s="60">
        <f t="shared" si="2"/>
        <v>0</v>
      </c>
      <c r="L51" s="117"/>
    </row>
    <row r="52" ht="15.75" customHeight="1">
      <c r="A52" s="9"/>
      <c r="B52" s="164"/>
      <c r="C52" s="110"/>
      <c r="D52" s="156"/>
      <c r="E52" s="111"/>
      <c r="F52" s="112"/>
      <c r="G52" s="113"/>
      <c r="H52" s="53">
        <f t="shared" si="1"/>
        <v>0</v>
      </c>
      <c r="I52" s="115"/>
      <c r="J52" s="115"/>
      <c r="K52" s="60">
        <f t="shared" si="2"/>
        <v>0</v>
      </c>
      <c r="L52" s="117"/>
    </row>
    <row r="53" ht="15.75" customHeight="1">
      <c r="A53" s="9"/>
      <c r="B53" s="164"/>
      <c r="C53" s="110"/>
      <c r="D53" s="156"/>
      <c r="E53" s="111"/>
      <c r="F53" s="112"/>
      <c r="G53" s="113"/>
      <c r="H53" s="53">
        <f t="shared" si="1"/>
        <v>0</v>
      </c>
      <c r="I53" s="115"/>
      <c r="J53" s="115"/>
      <c r="K53" s="60">
        <f t="shared" si="2"/>
        <v>0</v>
      </c>
      <c r="L53" s="117"/>
    </row>
    <row r="54" ht="15.75" customHeight="1">
      <c r="A54" s="9"/>
      <c r="B54" s="164"/>
      <c r="C54" s="110"/>
      <c r="D54" s="156"/>
      <c r="E54" s="111"/>
      <c r="F54" s="112"/>
      <c r="G54" s="113"/>
      <c r="H54" s="53">
        <f t="shared" si="1"/>
        <v>0</v>
      </c>
      <c r="I54" s="115"/>
      <c r="J54" s="115"/>
      <c r="K54" s="60">
        <f t="shared" si="2"/>
        <v>0</v>
      </c>
      <c r="L54" s="117"/>
    </row>
    <row r="55" ht="15.75" customHeight="1">
      <c r="A55" s="9"/>
      <c r="B55" s="164"/>
      <c r="C55" s="110"/>
      <c r="D55" s="156"/>
      <c r="E55" s="111"/>
      <c r="F55" s="112"/>
      <c r="G55" s="113"/>
      <c r="H55" s="53">
        <f t="shared" si="1"/>
        <v>0</v>
      </c>
      <c r="I55" s="115"/>
      <c r="J55" s="115"/>
      <c r="K55" s="60">
        <f t="shared" si="2"/>
        <v>0</v>
      </c>
      <c r="L55" s="117"/>
    </row>
    <row r="56" ht="15.75" customHeight="1">
      <c r="A56" s="9"/>
      <c r="B56" s="164"/>
      <c r="C56" s="110"/>
      <c r="D56" s="156"/>
      <c r="E56" s="111"/>
      <c r="F56" s="112"/>
      <c r="G56" s="113"/>
      <c r="H56" s="53">
        <f t="shared" si="1"/>
        <v>0</v>
      </c>
      <c r="I56" s="115"/>
      <c r="J56" s="115"/>
      <c r="K56" s="60">
        <f t="shared" si="2"/>
        <v>0</v>
      </c>
      <c r="L56" s="117"/>
    </row>
    <row r="57" ht="15.75" customHeight="1">
      <c r="A57" s="9"/>
      <c r="B57" s="164"/>
      <c r="C57" s="110"/>
      <c r="D57" s="156"/>
      <c r="E57" s="111"/>
      <c r="F57" s="112"/>
      <c r="G57" s="113"/>
      <c r="H57" s="53">
        <f t="shared" si="1"/>
        <v>0</v>
      </c>
      <c r="I57" s="115"/>
      <c r="J57" s="115"/>
      <c r="K57" s="60">
        <f t="shared" si="2"/>
        <v>0</v>
      </c>
      <c r="L57" s="117"/>
    </row>
    <row r="58" ht="15.75" customHeight="1">
      <c r="A58" s="9"/>
      <c r="B58" s="164"/>
      <c r="C58" s="110"/>
      <c r="D58" s="156"/>
      <c r="E58" s="111"/>
      <c r="F58" s="112"/>
      <c r="G58" s="113"/>
      <c r="H58" s="53">
        <f t="shared" si="1"/>
        <v>0</v>
      </c>
      <c r="I58" s="115"/>
      <c r="J58" s="115"/>
      <c r="K58" s="60">
        <f t="shared" si="2"/>
        <v>0</v>
      </c>
      <c r="L58" s="117"/>
    </row>
    <row r="59" ht="15.75" customHeight="1">
      <c r="A59" s="9"/>
      <c r="B59" s="164"/>
      <c r="C59" s="110"/>
      <c r="D59" s="156"/>
      <c r="E59" s="111"/>
      <c r="F59" s="112"/>
      <c r="G59" s="113"/>
      <c r="H59" s="53">
        <f t="shared" si="1"/>
        <v>0</v>
      </c>
      <c r="I59" s="115"/>
      <c r="J59" s="115"/>
      <c r="K59" s="60">
        <f t="shared" si="2"/>
        <v>0</v>
      </c>
      <c r="L59" s="117"/>
    </row>
    <row r="60" ht="15.75" customHeight="1">
      <c r="A60" s="9"/>
      <c r="B60" s="164"/>
      <c r="C60" s="110"/>
      <c r="D60" s="156"/>
      <c r="E60" s="111"/>
      <c r="F60" s="112"/>
      <c r="G60" s="113"/>
      <c r="H60" s="53">
        <f t="shared" si="1"/>
        <v>0</v>
      </c>
      <c r="I60" s="115"/>
      <c r="J60" s="115"/>
      <c r="K60" s="60">
        <f t="shared" si="2"/>
        <v>0</v>
      </c>
      <c r="L60" s="117"/>
    </row>
    <row r="61" ht="15.75" customHeight="1">
      <c r="A61" s="9"/>
      <c r="B61" s="164"/>
      <c r="C61" s="110"/>
      <c r="D61" s="156"/>
      <c r="E61" s="111"/>
      <c r="F61" s="112"/>
      <c r="G61" s="113"/>
      <c r="H61" s="53">
        <f t="shared" si="1"/>
        <v>0</v>
      </c>
      <c r="I61" s="115"/>
      <c r="J61" s="115"/>
      <c r="K61" s="60">
        <f t="shared" si="2"/>
        <v>0</v>
      </c>
      <c r="L61" s="117"/>
    </row>
    <row r="62" ht="15.75" customHeight="1">
      <c r="A62" s="9"/>
      <c r="B62" s="164"/>
      <c r="C62" s="110"/>
      <c r="D62" s="156"/>
      <c r="E62" s="111"/>
      <c r="F62" s="112"/>
      <c r="G62" s="113"/>
      <c r="H62" s="53">
        <f t="shared" si="1"/>
        <v>0</v>
      </c>
      <c r="I62" s="115"/>
      <c r="J62" s="115"/>
      <c r="K62" s="60">
        <f t="shared" si="2"/>
        <v>0</v>
      </c>
      <c r="L62" s="117"/>
    </row>
    <row r="63" ht="15.75" customHeight="1">
      <c r="A63" s="9"/>
      <c r="B63" s="164"/>
      <c r="C63" s="110"/>
      <c r="D63" s="156"/>
      <c r="E63" s="111"/>
      <c r="F63" s="112"/>
      <c r="G63" s="113"/>
      <c r="H63" s="53">
        <f t="shared" si="1"/>
        <v>0</v>
      </c>
      <c r="I63" s="115"/>
      <c r="J63" s="115"/>
      <c r="K63" s="60">
        <f t="shared" si="2"/>
        <v>0</v>
      </c>
      <c r="L63" s="117"/>
    </row>
    <row r="64" ht="15.75" customHeight="1">
      <c r="A64" s="9"/>
      <c r="B64" s="164"/>
      <c r="C64" s="110"/>
      <c r="D64" s="156"/>
      <c r="E64" s="111"/>
      <c r="F64" s="112"/>
      <c r="G64" s="113"/>
      <c r="H64" s="53">
        <f t="shared" si="1"/>
        <v>0</v>
      </c>
      <c r="I64" s="115"/>
      <c r="J64" s="115"/>
      <c r="K64" s="60">
        <f t="shared" si="2"/>
        <v>0</v>
      </c>
      <c r="L64" s="117"/>
    </row>
    <row r="65" ht="15.75" customHeight="1">
      <c r="A65" s="9"/>
      <c r="B65" s="164"/>
      <c r="C65" s="110"/>
      <c r="D65" s="156"/>
      <c r="E65" s="111"/>
      <c r="F65" s="112"/>
      <c r="G65" s="113"/>
      <c r="H65" s="53">
        <f t="shared" si="1"/>
        <v>0</v>
      </c>
      <c r="I65" s="115"/>
      <c r="J65" s="115"/>
      <c r="K65" s="60">
        <f t="shared" si="2"/>
        <v>0</v>
      </c>
      <c r="L65" s="117"/>
    </row>
    <row r="66" ht="15.75" customHeight="1">
      <c r="A66" s="9"/>
      <c r="B66" s="164"/>
      <c r="C66" s="110"/>
      <c r="D66" s="156"/>
      <c r="E66" s="111"/>
      <c r="F66" s="112"/>
      <c r="G66" s="113"/>
      <c r="H66" s="53">
        <f t="shared" si="1"/>
        <v>0</v>
      </c>
      <c r="I66" s="115"/>
      <c r="J66" s="115"/>
      <c r="K66" s="60">
        <f t="shared" si="2"/>
        <v>0</v>
      </c>
      <c r="L66" s="117"/>
    </row>
    <row r="67" ht="15.75" customHeight="1">
      <c r="A67" s="9"/>
      <c r="B67" s="164"/>
      <c r="C67" s="110"/>
      <c r="D67" s="156"/>
      <c r="E67" s="111"/>
      <c r="F67" s="112"/>
      <c r="G67" s="113"/>
      <c r="H67" s="53">
        <f t="shared" si="1"/>
        <v>0</v>
      </c>
      <c r="I67" s="115"/>
      <c r="J67" s="115"/>
      <c r="K67" s="60">
        <f t="shared" si="2"/>
        <v>0</v>
      </c>
      <c r="L67" s="117"/>
    </row>
    <row r="68" ht="15.75" customHeight="1">
      <c r="A68" s="9"/>
      <c r="B68" s="164"/>
      <c r="C68" s="110"/>
      <c r="D68" s="156"/>
      <c r="E68" s="111"/>
      <c r="F68" s="112"/>
      <c r="G68" s="113"/>
      <c r="H68" s="53">
        <f t="shared" si="1"/>
        <v>0</v>
      </c>
      <c r="I68" s="115"/>
      <c r="J68" s="115"/>
      <c r="K68" s="60">
        <f t="shared" si="2"/>
        <v>0</v>
      </c>
      <c r="L68" s="117"/>
    </row>
    <row r="69" ht="15.75" customHeight="1">
      <c r="A69" s="9"/>
      <c r="B69" s="164"/>
      <c r="C69" s="110"/>
      <c r="D69" s="156"/>
      <c r="E69" s="111"/>
      <c r="F69" s="112"/>
      <c r="G69" s="113"/>
      <c r="H69" s="53">
        <f t="shared" si="1"/>
        <v>0</v>
      </c>
      <c r="I69" s="115"/>
      <c r="J69" s="115"/>
      <c r="K69" s="60">
        <f t="shared" si="2"/>
        <v>0</v>
      </c>
      <c r="L69" s="117"/>
    </row>
    <row r="70" ht="15.75" customHeight="1">
      <c r="A70" s="9"/>
      <c r="B70" s="164"/>
      <c r="C70" s="110"/>
      <c r="D70" s="156"/>
      <c r="E70" s="111"/>
      <c r="F70" s="112"/>
      <c r="G70" s="113"/>
      <c r="H70" s="53">
        <f t="shared" si="1"/>
        <v>0</v>
      </c>
      <c r="I70" s="115"/>
      <c r="J70" s="115"/>
      <c r="K70" s="60">
        <f t="shared" si="2"/>
        <v>0</v>
      </c>
      <c r="L70" s="117"/>
    </row>
    <row r="71" ht="15.75" customHeight="1">
      <c r="A71" s="9"/>
      <c r="B71" s="164"/>
      <c r="C71" s="110"/>
      <c r="D71" s="156"/>
      <c r="E71" s="111"/>
      <c r="F71" s="112"/>
      <c r="G71" s="113"/>
      <c r="H71" s="53">
        <f t="shared" si="1"/>
        <v>0</v>
      </c>
      <c r="I71" s="115"/>
      <c r="J71" s="115"/>
      <c r="K71" s="60">
        <f t="shared" si="2"/>
        <v>0</v>
      </c>
      <c r="L71" s="117"/>
    </row>
    <row r="72" ht="15.75" customHeight="1">
      <c r="A72" s="9"/>
      <c r="B72" s="164"/>
      <c r="C72" s="110"/>
      <c r="D72" s="156"/>
      <c r="E72" s="111"/>
      <c r="F72" s="112"/>
      <c r="G72" s="113"/>
      <c r="H72" s="53">
        <f t="shared" si="1"/>
        <v>0</v>
      </c>
      <c r="I72" s="115"/>
      <c r="J72" s="115"/>
      <c r="K72" s="60">
        <f t="shared" si="2"/>
        <v>0</v>
      </c>
      <c r="L72" s="117"/>
    </row>
    <row r="73" ht="15.75" customHeight="1">
      <c r="A73" s="9"/>
      <c r="B73" s="164"/>
      <c r="C73" s="110"/>
      <c r="D73" s="156"/>
      <c r="E73" s="111"/>
      <c r="F73" s="112"/>
      <c r="G73" s="113"/>
      <c r="H73" s="53">
        <f t="shared" si="1"/>
        <v>0</v>
      </c>
      <c r="I73" s="115"/>
      <c r="J73" s="115"/>
      <c r="K73" s="60">
        <f t="shared" si="2"/>
        <v>0</v>
      </c>
      <c r="L73" s="117"/>
    </row>
    <row r="74" ht="15.75" customHeight="1">
      <c r="A74" s="9"/>
      <c r="B74" s="164"/>
      <c r="C74" s="110"/>
      <c r="D74" s="156"/>
      <c r="E74" s="111"/>
      <c r="F74" s="112"/>
      <c r="G74" s="113"/>
      <c r="H74" s="53">
        <f t="shared" si="1"/>
        <v>0</v>
      </c>
      <c r="I74" s="115"/>
      <c r="J74" s="115"/>
      <c r="K74" s="60">
        <f t="shared" si="2"/>
        <v>0</v>
      </c>
      <c r="L74" s="117"/>
    </row>
    <row r="75" ht="15.75" customHeight="1">
      <c r="A75" s="9"/>
      <c r="B75" s="164"/>
      <c r="C75" s="110"/>
      <c r="D75" s="156"/>
      <c r="E75" s="111"/>
      <c r="F75" s="112"/>
      <c r="G75" s="113"/>
      <c r="H75" s="53">
        <f t="shared" si="1"/>
        <v>0</v>
      </c>
      <c r="I75" s="115"/>
      <c r="J75" s="115"/>
      <c r="K75" s="60">
        <f t="shared" si="2"/>
        <v>0</v>
      </c>
      <c r="L75" s="117"/>
    </row>
    <row r="76" ht="15.75" customHeight="1">
      <c r="A76" s="9"/>
      <c r="B76" s="164"/>
      <c r="C76" s="110"/>
      <c r="D76" s="156"/>
      <c r="E76" s="111"/>
      <c r="F76" s="112"/>
      <c r="G76" s="113"/>
      <c r="H76" s="53">
        <f t="shared" si="1"/>
        <v>0</v>
      </c>
      <c r="I76" s="115"/>
      <c r="J76" s="115"/>
      <c r="K76" s="60">
        <f t="shared" si="2"/>
        <v>0</v>
      </c>
      <c r="L76" s="117"/>
    </row>
    <row r="77" ht="15.75" customHeight="1">
      <c r="A77" s="9"/>
      <c r="B77" s="164"/>
      <c r="C77" s="110"/>
      <c r="D77" s="156"/>
      <c r="E77" s="111"/>
      <c r="F77" s="112"/>
      <c r="G77" s="113"/>
      <c r="H77" s="53">
        <f t="shared" si="1"/>
        <v>0</v>
      </c>
      <c r="I77" s="115"/>
      <c r="J77" s="115"/>
      <c r="K77" s="60">
        <f t="shared" si="2"/>
        <v>0</v>
      </c>
      <c r="L77" s="117"/>
    </row>
    <row r="78" ht="15.75" customHeight="1">
      <c r="A78" s="9"/>
      <c r="B78" s="164"/>
      <c r="C78" s="110"/>
      <c r="D78" s="156"/>
      <c r="E78" s="111"/>
      <c r="F78" s="112"/>
      <c r="G78" s="113"/>
      <c r="H78" s="53">
        <f t="shared" si="1"/>
        <v>0</v>
      </c>
      <c r="I78" s="115"/>
      <c r="J78" s="115"/>
      <c r="K78" s="60">
        <f t="shared" si="2"/>
        <v>0</v>
      </c>
      <c r="L78" s="117"/>
    </row>
    <row r="79" ht="15.75" customHeight="1">
      <c r="A79" s="9"/>
      <c r="B79" s="164"/>
      <c r="C79" s="110"/>
      <c r="D79" s="156"/>
      <c r="E79" s="111"/>
      <c r="F79" s="112"/>
      <c r="G79" s="113"/>
      <c r="H79" s="53">
        <f t="shared" si="1"/>
        <v>0</v>
      </c>
      <c r="I79" s="115"/>
      <c r="J79" s="115"/>
      <c r="K79" s="60">
        <f t="shared" si="2"/>
        <v>0</v>
      </c>
      <c r="L79" s="117"/>
    </row>
    <row r="80" ht="15.75" customHeight="1">
      <c r="A80" s="9"/>
      <c r="B80" s="164"/>
      <c r="C80" s="110"/>
      <c r="D80" s="156"/>
      <c r="E80" s="111"/>
      <c r="F80" s="112"/>
      <c r="G80" s="113"/>
      <c r="H80" s="53">
        <f t="shared" si="1"/>
        <v>0</v>
      </c>
      <c r="I80" s="115"/>
      <c r="J80" s="115"/>
      <c r="K80" s="60">
        <f t="shared" si="2"/>
        <v>0</v>
      </c>
      <c r="L80" s="117"/>
    </row>
    <row r="81" ht="15.75" customHeight="1">
      <c r="A81" s="9"/>
      <c r="B81" s="164"/>
      <c r="C81" s="110"/>
      <c r="D81" s="156"/>
      <c r="E81" s="111"/>
      <c r="F81" s="112"/>
      <c r="G81" s="113"/>
      <c r="H81" s="53">
        <f t="shared" si="1"/>
        <v>0</v>
      </c>
      <c r="I81" s="115"/>
      <c r="J81" s="115"/>
      <c r="K81" s="60">
        <f t="shared" si="2"/>
        <v>0</v>
      </c>
      <c r="L81" s="117"/>
    </row>
    <row r="82" ht="15.75" customHeight="1">
      <c r="A82" s="9"/>
      <c r="B82" s="164"/>
      <c r="C82" s="110"/>
      <c r="D82" s="156"/>
      <c r="E82" s="111"/>
      <c r="F82" s="112"/>
      <c r="G82" s="113"/>
      <c r="H82" s="53">
        <f t="shared" si="1"/>
        <v>0</v>
      </c>
      <c r="I82" s="115"/>
      <c r="J82" s="115"/>
      <c r="K82" s="60">
        <f t="shared" si="2"/>
        <v>0</v>
      </c>
      <c r="L82" s="117"/>
    </row>
    <row r="83" ht="15.75" customHeight="1">
      <c r="A83" s="9"/>
      <c r="B83" s="164"/>
      <c r="C83" s="110"/>
      <c r="D83" s="156"/>
      <c r="E83" s="111"/>
      <c r="F83" s="112"/>
      <c r="G83" s="113"/>
      <c r="H83" s="53">
        <f t="shared" si="1"/>
        <v>0</v>
      </c>
      <c r="I83" s="115"/>
      <c r="J83" s="115"/>
      <c r="K83" s="60">
        <f t="shared" si="2"/>
        <v>0</v>
      </c>
      <c r="L83" s="117"/>
    </row>
    <row r="84" ht="15.75" customHeight="1">
      <c r="A84" s="9"/>
      <c r="B84" s="164"/>
      <c r="C84" s="110"/>
      <c r="D84" s="156"/>
      <c r="E84" s="111"/>
      <c r="F84" s="112"/>
      <c r="G84" s="113"/>
      <c r="H84" s="53">
        <f t="shared" si="1"/>
        <v>0</v>
      </c>
      <c r="I84" s="115"/>
      <c r="J84" s="115"/>
      <c r="K84" s="60">
        <f t="shared" si="2"/>
        <v>0</v>
      </c>
      <c r="L84" s="117"/>
    </row>
    <row r="85" ht="15.75" customHeight="1">
      <c r="A85" s="9"/>
      <c r="B85" s="164"/>
      <c r="C85" s="110"/>
      <c r="D85" s="156"/>
      <c r="E85" s="111"/>
      <c r="F85" s="112"/>
      <c r="G85" s="113"/>
      <c r="H85" s="53">
        <f t="shared" si="1"/>
        <v>0</v>
      </c>
      <c r="I85" s="115"/>
      <c r="J85" s="115"/>
      <c r="K85" s="60">
        <f t="shared" si="2"/>
        <v>0</v>
      </c>
      <c r="L85" s="117"/>
    </row>
    <row r="86" ht="15.75" customHeight="1">
      <c r="A86" s="9"/>
      <c r="B86" s="164"/>
      <c r="C86" s="110"/>
      <c r="D86" s="156"/>
      <c r="E86" s="111"/>
      <c r="F86" s="112"/>
      <c r="G86" s="113"/>
      <c r="H86" s="53">
        <f t="shared" si="1"/>
        <v>0</v>
      </c>
      <c r="I86" s="115"/>
      <c r="J86" s="115"/>
      <c r="K86" s="60">
        <f t="shared" si="2"/>
        <v>0</v>
      </c>
      <c r="L86" s="117"/>
    </row>
    <row r="87" ht="15.75" customHeight="1">
      <c r="A87" s="9"/>
      <c r="B87" s="164"/>
      <c r="C87" s="110"/>
      <c r="D87" s="156"/>
      <c r="E87" s="111"/>
      <c r="F87" s="112"/>
      <c r="G87" s="113"/>
      <c r="H87" s="53">
        <f t="shared" si="1"/>
        <v>0</v>
      </c>
      <c r="I87" s="115"/>
      <c r="J87" s="115"/>
      <c r="K87" s="60">
        <f t="shared" si="2"/>
        <v>0</v>
      </c>
      <c r="L87" s="117"/>
    </row>
    <row r="88" ht="15.75" customHeight="1">
      <c r="A88" s="9"/>
      <c r="B88" s="164"/>
      <c r="C88" s="110"/>
      <c r="D88" s="156"/>
      <c r="E88" s="111"/>
      <c r="F88" s="112"/>
      <c r="G88" s="113"/>
      <c r="H88" s="53">
        <f t="shared" si="1"/>
        <v>0</v>
      </c>
      <c r="I88" s="115"/>
      <c r="J88" s="115"/>
      <c r="K88" s="60">
        <f t="shared" si="2"/>
        <v>0</v>
      </c>
      <c r="L88" s="117"/>
    </row>
    <row r="89" ht="15.75" customHeight="1">
      <c r="A89" s="9"/>
      <c r="B89" s="164"/>
      <c r="C89" s="110"/>
      <c r="D89" s="156"/>
      <c r="E89" s="111"/>
      <c r="F89" s="112"/>
      <c r="G89" s="113"/>
      <c r="H89" s="53">
        <f t="shared" si="1"/>
        <v>0</v>
      </c>
      <c r="I89" s="115"/>
      <c r="J89" s="115"/>
      <c r="K89" s="60">
        <f t="shared" si="2"/>
        <v>0</v>
      </c>
      <c r="L89" s="117"/>
    </row>
    <row r="90" ht="15.75" customHeight="1">
      <c r="A90" s="9"/>
      <c r="B90" s="164"/>
      <c r="C90" s="110"/>
      <c r="D90" s="156"/>
      <c r="E90" s="111"/>
      <c r="F90" s="112"/>
      <c r="G90" s="113"/>
      <c r="H90" s="53">
        <f t="shared" si="1"/>
        <v>0</v>
      </c>
      <c r="I90" s="115"/>
      <c r="J90" s="115"/>
      <c r="K90" s="60">
        <f t="shared" si="2"/>
        <v>0</v>
      </c>
      <c r="L90" s="117"/>
    </row>
    <row r="91" ht="15.75" customHeight="1">
      <c r="A91" s="9"/>
      <c r="B91" s="164"/>
      <c r="C91" s="110"/>
      <c r="D91" s="156"/>
      <c r="E91" s="111"/>
      <c r="F91" s="112"/>
      <c r="G91" s="113"/>
      <c r="H91" s="53">
        <f t="shared" si="1"/>
        <v>0</v>
      </c>
      <c r="I91" s="115"/>
      <c r="J91" s="115"/>
      <c r="K91" s="60">
        <f t="shared" si="2"/>
        <v>0</v>
      </c>
      <c r="L91" s="117"/>
    </row>
    <row r="92" ht="15.75" customHeight="1">
      <c r="A92" s="9"/>
      <c r="B92" s="164"/>
      <c r="C92" s="110"/>
      <c r="D92" s="156"/>
      <c r="E92" s="111"/>
      <c r="F92" s="112"/>
      <c r="G92" s="113"/>
      <c r="H92" s="53">
        <f t="shared" si="1"/>
        <v>0</v>
      </c>
      <c r="I92" s="115"/>
      <c r="J92" s="115"/>
      <c r="K92" s="60">
        <f t="shared" si="2"/>
        <v>0</v>
      </c>
      <c r="L92" s="117"/>
    </row>
    <row r="93" ht="15.75" customHeight="1">
      <c r="A93" s="9"/>
      <c r="B93" s="164"/>
      <c r="C93" s="110"/>
      <c r="D93" s="156"/>
      <c r="E93" s="111"/>
      <c r="F93" s="112"/>
      <c r="G93" s="113"/>
      <c r="H93" s="53">
        <f t="shared" si="1"/>
        <v>0</v>
      </c>
      <c r="I93" s="115"/>
      <c r="J93" s="115"/>
      <c r="K93" s="60">
        <f t="shared" si="2"/>
        <v>0</v>
      </c>
      <c r="L93" s="117"/>
    </row>
    <row r="94" ht="15.75" customHeight="1">
      <c r="A94" s="9"/>
      <c r="B94" s="164"/>
      <c r="C94" s="110"/>
      <c r="D94" s="156"/>
      <c r="E94" s="111"/>
      <c r="F94" s="112"/>
      <c r="G94" s="113"/>
      <c r="H94" s="53">
        <f t="shared" si="1"/>
        <v>0</v>
      </c>
      <c r="I94" s="115"/>
      <c r="J94" s="115"/>
      <c r="K94" s="60">
        <f t="shared" si="2"/>
        <v>0</v>
      </c>
      <c r="L94" s="117"/>
    </row>
    <row r="95" ht="15.75" customHeight="1">
      <c r="A95" s="9"/>
      <c r="B95" s="164"/>
      <c r="C95" s="110"/>
      <c r="D95" s="156"/>
      <c r="E95" s="111"/>
      <c r="F95" s="112"/>
      <c r="G95" s="113"/>
      <c r="H95" s="53">
        <f t="shared" si="1"/>
        <v>0</v>
      </c>
      <c r="I95" s="115"/>
      <c r="J95" s="115"/>
      <c r="K95" s="60">
        <f t="shared" si="2"/>
        <v>0</v>
      </c>
      <c r="L95" s="117"/>
    </row>
    <row r="96" ht="15.75" customHeight="1">
      <c r="A96" s="9"/>
      <c r="B96" s="164"/>
      <c r="C96" s="110"/>
      <c r="D96" s="156"/>
      <c r="E96" s="111"/>
      <c r="F96" s="112"/>
      <c r="G96" s="113"/>
      <c r="H96" s="53">
        <f t="shared" si="1"/>
        <v>0</v>
      </c>
      <c r="I96" s="115"/>
      <c r="J96" s="115"/>
      <c r="K96" s="60">
        <f t="shared" si="2"/>
        <v>0</v>
      </c>
      <c r="L96" s="117"/>
    </row>
    <row r="97" ht="15.75" customHeight="1">
      <c r="A97" s="9"/>
      <c r="B97" s="164"/>
      <c r="C97" s="110"/>
      <c r="D97" s="156"/>
      <c r="E97" s="111"/>
      <c r="F97" s="112"/>
      <c r="G97" s="113"/>
      <c r="H97" s="53">
        <f t="shared" si="1"/>
        <v>0</v>
      </c>
      <c r="I97" s="115"/>
      <c r="J97" s="115"/>
      <c r="K97" s="60">
        <f t="shared" si="2"/>
        <v>0</v>
      </c>
      <c r="L97" s="117"/>
    </row>
    <row r="98" ht="15.75" customHeight="1">
      <c r="A98" s="9"/>
      <c r="B98" s="164"/>
      <c r="C98" s="110"/>
      <c r="D98" s="156"/>
      <c r="E98" s="111"/>
      <c r="F98" s="112"/>
      <c r="G98" s="113"/>
      <c r="H98" s="53">
        <f t="shared" si="1"/>
        <v>0</v>
      </c>
      <c r="I98" s="115"/>
      <c r="J98" s="115"/>
      <c r="K98" s="60">
        <f t="shared" si="2"/>
        <v>0</v>
      </c>
      <c r="L98" s="117"/>
    </row>
    <row r="99" ht="15.75" customHeight="1">
      <c r="A99" s="9"/>
      <c r="B99" s="164"/>
      <c r="C99" s="110"/>
      <c r="D99" s="156"/>
      <c r="E99" s="111"/>
      <c r="F99" s="112"/>
      <c r="G99" s="113"/>
      <c r="H99" s="53">
        <f t="shared" si="1"/>
        <v>0</v>
      </c>
      <c r="I99" s="115"/>
      <c r="J99" s="115"/>
      <c r="K99" s="60">
        <f t="shared" si="2"/>
        <v>0</v>
      </c>
      <c r="L99" s="117"/>
    </row>
    <row r="100" ht="15.75" customHeight="1">
      <c r="A100" s="9"/>
      <c r="B100" s="164"/>
      <c r="C100" s="110"/>
      <c r="D100" s="156"/>
      <c r="E100" s="111"/>
      <c r="F100" s="112"/>
      <c r="G100" s="113"/>
      <c r="H100" s="53">
        <f t="shared" si="1"/>
        <v>0</v>
      </c>
      <c r="I100" s="115"/>
      <c r="J100" s="115"/>
      <c r="K100" s="60">
        <f t="shared" si="2"/>
        <v>0</v>
      </c>
      <c r="L100" s="117"/>
    </row>
    <row r="101" ht="15.75" customHeight="1">
      <c r="A101" s="9"/>
      <c r="B101" s="164"/>
      <c r="C101" s="110"/>
      <c r="D101" s="156"/>
      <c r="E101" s="111"/>
      <c r="F101" s="112"/>
      <c r="G101" s="113"/>
      <c r="H101" s="53">
        <f t="shared" si="1"/>
        <v>0</v>
      </c>
      <c r="I101" s="115"/>
      <c r="J101" s="115"/>
      <c r="K101" s="60">
        <f t="shared" si="2"/>
        <v>0</v>
      </c>
      <c r="L101" s="117"/>
    </row>
    <row r="102" ht="15.75" customHeight="1">
      <c r="A102" s="9"/>
      <c r="B102" s="164"/>
      <c r="C102" s="110"/>
      <c r="D102" s="156"/>
      <c r="E102" s="111"/>
      <c r="F102" s="112"/>
      <c r="G102" s="113"/>
      <c r="H102" s="53">
        <f t="shared" si="1"/>
        <v>0</v>
      </c>
      <c r="I102" s="115"/>
      <c r="J102" s="115"/>
      <c r="K102" s="60">
        <f t="shared" si="2"/>
        <v>0</v>
      </c>
      <c r="L102" s="117"/>
    </row>
    <row r="103" ht="15.75" customHeight="1">
      <c r="A103" s="9"/>
      <c r="B103" s="164"/>
      <c r="C103" s="110"/>
      <c r="D103" s="156"/>
      <c r="E103" s="111"/>
      <c r="F103" s="112"/>
      <c r="G103" s="113"/>
      <c r="H103" s="53">
        <f t="shared" si="1"/>
        <v>0</v>
      </c>
      <c r="I103" s="115"/>
      <c r="J103" s="115"/>
      <c r="K103" s="60">
        <f t="shared" si="2"/>
        <v>0</v>
      </c>
      <c r="L103" s="117"/>
    </row>
    <row r="104" ht="15.75" customHeight="1">
      <c r="A104" s="9"/>
      <c r="B104" s="164"/>
      <c r="C104" s="110"/>
      <c r="D104" s="156"/>
      <c r="E104" s="111"/>
      <c r="F104" s="112"/>
      <c r="G104" s="113"/>
      <c r="H104" s="53">
        <f t="shared" si="1"/>
        <v>0</v>
      </c>
      <c r="I104" s="115"/>
      <c r="J104" s="115"/>
      <c r="K104" s="60">
        <f t="shared" si="2"/>
        <v>0</v>
      </c>
      <c r="L104" s="117"/>
    </row>
    <row r="105" ht="15.75" customHeight="1">
      <c r="A105" s="9"/>
      <c r="B105" s="164"/>
      <c r="C105" s="110"/>
      <c r="D105" s="156"/>
      <c r="E105" s="111"/>
      <c r="F105" s="112"/>
      <c r="G105" s="113"/>
      <c r="H105" s="53">
        <f t="shared" si="1"/>
        <v>0</v>
      </c>
      <c r="I105" s="115"/>
      <c r="J105" s="115"/>
      <c r="K105" s="60">
        <f t="shared" si="2"/>
        <v>0</v>
      </c>
      <c r="L105" s="117"/>
    </row>
    <row r="106" ht="15.75" customHeight="1">
      <c r="A106" s="9"/>
      <c r="B106" s="164"/>
      <c r="C106" s="110"/>
      <c r="D106" s="156"/>
      <c r="E106" s="111"/>
      <c r="F106" s="112"/>
      <c r="G106" s="113"/>
      <c r="H106" s="53">
        <f t="shared" si="1"/>
        <v>0</v>
      </c>
      <c r="I106" s="115"/>
      <c r="J106" s="115"/>
      <c r="K106" s="60">
        <f t="shared" si="2"/>
        <v>0</v>
      </c>
      <c r="L106" s="117"/>
    </row>
    <row r="107" ht="15.75" customHeight="1">
      <c r="A107" s="9"/>
      <c r="B107" s="164"/>
      <c r="C107" s="110"/>
      <c r="D107" s="156"/>
      <c r="E107" s="111"/>
      <c r="F107" s="112"/>
      <c r="G107" s="113"/>
      <c r="H107" s="53">
        <f t="shared" si="1"/>
        <v>0</v>
      </c>
      <c r="I107" s="115"/>
      <c r="J107" s="115"/>
      <c r="K107" s="60">
        <f t="shared" si="2"/>
        <v>0</v>
      </c>
      <c r="L107" s="117"/>
    </row>
    <row r="108" ht="15.75" customHeight="1">
      <c r="A108" s="9"/>
      <c r="B108" s="164"/>
      <c r="C108" s="110"/>
      <c r="D108" s="156"/>
      <c r="E108" s="111"/>
      <c r="F108" s="112"/>
      <c r="G108" s="113"/>
      <c r="H108" s="53">
        <f t="shared" si="1"/>
        <v>0</v>
      </c>
      <c r="I108" s="115"/>
      <c r="J108" s="115"/>
      <c r="K108" s="60">
        <f t="shared" si="2"/>
        <v>0</v>
      </c>
      <c r="L108" s="117"/>
    </row>
    <row r="109" ht="15.75" customHeight="1">
      <c r="A109" s="9"/>
      <c r="B109" s="164"/>
      <c r="C109" s="110"/>
      <c r="D109" s="156"/>
      <c r="E109" s="111"/>
      <c r="F109" s="112"/>
      <c r="G109" s="113"/>
      <c r="H109" s="53">
        <f t="shared" si="1"/>
        <v>0</v>
      </c>
      <c r="I109" s="115"/>
      <c r="J109" s="115"/>
      <c r="K109" s="60">
        <f t="shared" si="2"/>
        <v>0</v>
      </c>
      <c r="L109" s="117"/>
    </row>
    <row r="110" ht="15.75" customHeight="1">
      <c r="A110" s="9"/>
      <c r="B110" s="164"/>
      <c r="C110" s="110"/>
      <c r="D110" s="156"/>
      <c r="E110" s="111"/>
      <c r="F110" s="112"/>
      <c r="G110" s="113"/>
      <c r="H110" s="53">
        <f t="shared" si="1"/>
        <v>0</v>
      </c>
      <c r="I110" s="115"/>
      <c r="J110" s="115"/>
      <c r="K110" s="60">
        <f t="shared" si="2"/>
        <v>0</v>
      </c>
      <c r="L110" s="117"/>
    </row>
    <row r="111" ht="15.75" customHeight="1">
      <c r="A111" s="9"/>
      <c r="B111" s="164"/>
      <c r="C111" s="110"/>
      <c r="D111" s="156"/>
      <c r="E111" s="111"/>
      <c r="F111" s="112"/>
      <c r="G111" s="113"/>
      <c r="H111" s="53">
        <f t="shared" si="1"/>
        <v>0</v>
      </c>
      <c r="I111" s="115"/>
      <c r="J111" s="115"/>
      <c r="K111" s="60">
        <f t="shared" si="2"/>
        <v>0</v>
      </c>
      <c r="L111" s="117"/>
    </row>
    <row r="112" ht="15.75" customHeight="1">
      <c r="A112" s="9"/>
      <c r="B112" s="164"/>
      <c r="C112" s="110"/>
      <c r="D112" s="156"/>
      <c r="E112" s="111"/>
      <c r="F112" s="112"/>
      <c r="G112" s="113"/>
      <c r="H112" s="53">
        <f t="shared" si="1"/>
        <v>0</v>
      </c>
      <c r="I112" s="115"/>
      <c r="J112" s="115"/>
      <c r="K112" s="60">
        <f t="shared" si="2"/>
        <v>0</v>
      </c>
      <c r="L112" s="117"/>
    </row>
    <row r="113" ht="15.75" customHeight="1">
      <c r="A113" s="9"/>
      <c r="B113" s="164"/>
      <c r="C113" s="110"/>
      <c r="D113" s="156"/>
      <c r="E113" s="111"/>
      <c r="F113" s="112"/>
      <c r="G113" s="113"/>
      <c r="H113" s="53">
        <f t="shared" si="1"/>
        <v>0</v>
      </c>
      <c r="I113" s="115"/>
      <c r="J113" s="115"/>
      <c r="K113" s="60">
        <f t="shared" si="2"/>
        <v>0</v>
      </c>
      <c r="L113" s="117"/>
    </row>
    <row r="114" ht="15.75" customHeight="1">
      <c r="A114" s="9"/>
      <c r="B114" s="164"/>
      <c r="C114" s="110"/>
      <c r="D114" s="156"/>
      <c r="E114" s="111"/>
      <c r="F114" s="112"/>
      <c r="G114" s="113"/>
      <c r="H114" s="53">
        <f t="shared" si="1"/>
        <v>0</v>
      </c>
      <c r="I114" s="115"/>
      <c r="J114" s="115"/>
      <c r="K114" s="60">
        <f t="shared" si="2"/>
        <v>0</v>
      </c>
      <c r="L114" s="117"/>
    </row>
    <row r="115" ht="15.75" customHeight="1">
      <c r="A115" s="9"/>
      <c r="B115" s="164"/>
      <c r="C115" s="110"/>
      <c r="D115" s="156"/>
      <c r="E115" s="111"/>
      <c r="F115" s="112"/>
      <c r="G115" s="113"/>
      <c r="H115" s="53">
        <f t="shared" si="1"/>
        <v>0</v>
      </c>
      <c r="I115" s="115"/>
      <c r="J115" s="115"/>
      <c r="K115" s="60">
        <f t="shared" si="2"/>
        <v>0</v>
      </c>
      <c r="L115" s="117"/>
    </row>
    <row r="116" ht="15.75" customHeight="1">
      <c r="A116" s="9"/>
      <c r="B116" s="164"/>
      <c r="C116" s="110"/>
      <c r="D116" s="156"/>
      <c r="E116" s="111"/>
      <c r="F116" s="112"/>
      <c r="G116" s="113"/>
      <c r="H116" s="53">
        <f t="shared" si="1"/>
        <v>0</v>
      </c>
      <c r="I116" s="115"/>
      <c r="J116" s="115"/>
      <c r="K116" s="60">
        <f t="shared" si="2"/>
        <v>0</v>
      </c>
      <c r="L116" s="117"/>
    </row>
    <row r="117" ht="15.75" customHeight="1">
      <c r="A117" s="9"/>
      <c r="B117" s="164"/>
      <c r="C117" s="110"/>
      <c r="D117" s="156"/>
      <c r="E117" s="111"/>
      <c r="F117" s="112"/>
      <c r="G117" s="113"/>
      <c r="H117" s="53">
        <f t="shared" si="1"/>
        <v>0</v>
      </c>
      <c r="I117" s="115"/>
      <c r="J117" s="115"/>
      <c r="K117" s="60">
        <f t="shared" si="2"/>
        <v>0</v>
      </c>
      <c r="L117" s="117"/>
    </row>
    <row r="118" ht="15.75" customHeight="1">
      <c r="A118" s="9"/>
      <c r="B118" s="164"/>
      <c r="C118" s="110"/>
      <c r="D118" s="156"/>
      <c r="E118" s="111"/>
      <c r="F118" s="112"/>
      <c r="G118" s="113"/>
      <c r="H118" s="53">
        <f t="shared" si="1"/>
        <v>0</v>
      </c>
      <c r="I118" s="115"/>
      <c r="J118" s="115"/>
      <c r="K118" s="60">
        <f t="shared" si="2"/>
        <v>0</v>
      </c>
      <c r="L118" s="117"/>
    </row>
    <row r="119" ht="15.75" customHeight="1">
      <c r="A119" s="9"/>
      <c r="B119" s="164"/>
      <c r="C119" s="110"/>
      <c r="D119" s="156"/>
      <c r="E119" s="111"/>
      <c r="F119" s="112"/>
      <c r="G119" s="113"/>
      <c r="H119" s="53">
        <f t="shared" si="1"/>
        <v>0</v>
      </c>
      <c r="I119" s="115"/>
      <c r="J119" s="115"/>
      <c r="K119" s="60">
        <f t="shared" si="2"/>
        <v>0</v>
      </c>
      <c r="L119" s="117"/>
    </row>
    <row r="120" ht="15.75" customHeight="1">
      <c r="A120" s="9"/>
      <c r="B120" s="164"/>
      <c r="C120" s="110"/>
      <c r="D120" s="156"/>
      <c r="E120" s="111"/>
      <c r="F120" s="112"/>
      <c r="G120" s="113"/>
      <c r="H120" s="53">
        <f t="shared" si="1"/>
        <v>0</v>
      </c>
      <c r="I120" s="115"/>
      <c r="J120" s="115"/>
      <c r="K120" s="60">
        <f t="shared" si="2"/>
        <v>0</v>
      </c>
      <c r="L120" s="117"/>
    </row>
    <row r="121" ht="15.75" customHeight="1">
      <c r="A121" s="9"/>
      <c r="B121" s="164"/>
      <c r="C121" s="110"/>
      <c r="D121" s="156"/>
      <c r="E121" s="111"/>
      <c r="F121" s="112"/>
      <c r="G121" s="113"/>
      <c r="H121" s="53">
        <f t="shared" si="1"/>
        <v>0</v>
      </c>
      <c r="I121" s="115"/>
      <c r="J121" s="115"/>
      <c r="K121" s="60">
        <f t="shared" si="2"/>
        <v>0</v>
      </c>
      <c r="L121" s="117"/>
    </row>
    <row r="122" ht="15.75" customHeight="1">
      <c r="A122" s="9"/>
      <c r="B122" s="164"/>
      <c r="C122" s="110"/>
      <c r="D122" s="156"/>
      <c r="E122" s="111"/>
      <c r="F122" s="112"/>
      <c r="G122" s="113"/>
      <c r="H122" s="53">
        <f t="shared" si="1"/>
        <v>0</v>
      </c>
      <c r="I122" s="115"/>
      <c r="J122" s="115"/>
      <c r="K122" s="60">
        <f t="shared" si="2"/>
        <v>0</v>
      </c>
      <c r="L122" s="117"/>
    </row>
    <row r="123" ht="15.75" customHeight="1">
      <c r="A123" s="9"/>
      <c r="B123" s="164"/>
      <c r="C123" s="110"/>
      <c r="D123" s="156"/>
      <c r="E123" s="111"/>
      <c r="F123" s="112"/>
      <c r="G123" s="113"/>
      <c r="H123" s="53">
        <f t="shared" si="1"/>
        <v>0</v>
      </c>
      <c r="I123" s="115"/>
      <c r="J123" s="115"/>
      <c r="K123" s="60">
        <f t="shared" si="2"/>
        <v>0</v>
      </c>
      <c r="L123" s="117"/>
    </row>
    <row r="124" ht="15.75" customHeight="1">
      <c r="A124" s="9"/>
      <c r="B124" s="164"/>
      <c r="C124" s="110"/>
      <c r="D124" s="156"/>
      <c r="E124" s="111"/>
      <c r="F124" s="112"/>
      <c r="G124" s="113"/>
      <c r="H124" s="53">
        <f t="shared" si="1"/>
        <v>0</v>
      </c>
      <c r="I124" s="115"/>
      <c r="J124" s="115"/>
      <c r="K124" s="60">
        <f t="shared" si="2"/>
        <v>0</v>
      </c>
      <c r="L124" s="117"/>
    </row>
    <row r="125" ht="15.75" customHeight="1">
      <c r="A125" s="9"/>
      <c r="B125" s="164"/>
      <c r="C125" s="110"/>
      <c r="D125" s="156"/>
      <c r="E125" s="111"/>
      <c r="F125" s="112"/>
      <c r="G125" s="113"/>
      <c r="H125" s="53">
        <f t="shared" si="1"/>
        <v>0</v>
      </c>
      <c r="I125" s="115"/>
      <c r="J125" s="115"/>
      <c r="K125" s="60">
        <f t="shared" si="2"/>
        <v>0</v>
      </c>
      <c r="L125" s="117"/>
    </row>
    <row r="126" ht="15.75" customHeight="1">
      <c r="A126" s="9"/>
      <c r="B126" s="164"/>
      <c r="C126" s="110"/>
      <c r="D126" s="156"/>
      <c r="E126" s="111"/>
      <c r="F126" s="112"/>
      <c r="G126" s="113"/>
      <c r="H126" s="53">
        <f t="shared" si="1"/>
        <v>0</v>
      </c>
      <c r="I126" s="115"/>
      <c r="J126" s="115"/>
      <c r="K126" s="60">
        <f t="shared" si="2"/>
        <v>0</v>
      </c>
      <c r="L126" s="117"/>
    </row>
    <row r="127" ht="15.75" customHeight="1">
      <c r="A127" s="9"/>
      <c r="B127" s="164"/>
      <c r="C127" s="110"/>
      <c r="D127" s="156"/>
      <c r="E127" s="111"/>
      <c r="F127" s="112"/>
      <c r="G127" s="113"/>
      <c r="H127" s="53">
        <f t="shared" si="1"/>
        <v>0</v>
      </c>
      <c r="I127" s="115"/>
      <c r="J127" s="115"/>
      <c r="K127" s="60">
        <f t="shared" si="2"/>
        <v>0</v>
      </c>
      <c r="L127" s="117"/>
    </row>
    <row r="128" ht="15.75" customHeight="1">
      <c r="A128" s="9"/>
      <c r="B128" s="164"/>
      <c r="C128" s="110"/>
      <c r="D128" s="156"/>
      <c r="E128" s="111"/>
      <c r="F128" s="112"/>
      <c r="G128" s="113"/>
      <c r="H128" s="53">
        <f t="shared" si="1"/>
        <v>0</v>
      </c>
      <c r="I128" s="115"/>
      <c r="J128" s="115"/>
      <c r="K128" s="60">
        <f t="shared" si="2"/>
        <v>0</v>
      </c>
      <c r="L128" s="117"/>
    </row>
    <row r="129" ht="15.75" customHeight="1">
      <c r="A129" s="9"/>
      <c r="B129" s="164"/>
      <c r="C129" s="110"/>
      <c r="D129" s="156"/>
      <c r="E129" s="111"/>
      <c r="F129" s="112"/>
      <c r="G129" s="113"/>
      <c r="H129" s="53">
        <f t="shared" si="1"/>
        <v>0</v>
      </c>
      <c r="I129" s="115"/>
      <c r="J129" s="115"/>
      <c r="K129" s="60">
        <f t="shared" si="2"/>
        <v>0</v>
      </c>
      <c r="L129" s="117"/>
    </row>
    <row r="130" ht="15.75" customHeight="1">
      <c r="A130" s="9"/>
      <c r="B130" s="164"/>
      <c r="C130" s="110"/>
      <c r="D130" s="156"/>
      <c r="E130" s="111"/>
      <c r="F130" s="112"/>
      <c r="G130" s="113"/>
      <c r="H130" s="53">
        <f t="shared" si="1"/>
        <v>0</v>
      </c>
      <c r="I130" s="115"/>
      <c r="J130" s="115"/>
      <c r="K130" s="60">
        <f t="shared" si="2"/>
        <v>0</v>
      </c>
      <c r="L130" s="117"/>
    </row>
    <row r="131" ht="15.75" customHeight="1">
      <c r="A131" s="9"/>
      <c r="B131" s="164"/>
      <c r="C131" s="110"/>
      <c r="D131" s="156"/>
      <c r="E131" s="111"/>
      <c r="F131" s="112"/>
      <c r="G131" s="113"/>
      <c r="H131" s="53">
        <f t="shared" si="1"/>
        <v>0</v>
      </c>
      <c r="I131" s="115"/>
      <c r="J131" s="115"/>
      <c r="K131" s="60">
        <f t="shared" si="2"/>
        <v>0</v>
      </c>
      <c r="L131" s="117"/>
    </row>
    <row r="132" ht="15.75" customHeight="1">
      <c r="A132" s="9"/>
      <c r="B132" s="164"/>
      <c r="C132" s="110"/>
      <c r="D132" s="156"/>
      <c r="E132" s="111"/>
      <c r="F132" s="112"/>
      <c r="G132" s="113"/>
      <c r="H132" s="53">
        <f t="shared" si="1"/>
        <v>0</v>
      </c>
      <c r="I132" s="115"/>
      <c r="J132" s="115"/>
      <c r="K132" s="60">
        <f t="shared" si="2"/>
        <v>0</v>
      </c>
      <c r="L132" s="117"/>
    </row>
    <row r="133" ht="15.75" customHeight="1">
      <c r="A133" s="9"/>
      <c r="B133" s="164"/>
      <c r="C133" s="110"/>
      <c r="D133" s="156"/>
      <c r="E133" s="111"/>
      <c r="F133" s="112"/>
      <c r="G133" s="113"/>
      <c r="H133" s="53">
        <f t="shared" si="1"/>
        <v>0</v>
      </c>
      <c r="I133" s="115"/>
      <c r="J133" s="115"/>
      <c r="K133" s="60">
        <f t="shared" si="2"/>
        <v>0</v>
      </c>
      <c r="L133" s="117"/>
    </row>
    <row r="134" ht="15.75" customHeight="1">
      <c r="A134" s="9"/>
      <c r="B134" s="164"/>
      <c r="C134" s="110"/>
      <c r="D134" s="156"/>
      <c r="E134" s="111"/>
      <c r="F134" s="112"/>
      <c r="G134" s="113"/>
      <c r="H134" s="53">
        <f t="shared" si="1"/>
        <v>0</v>
      </c>
      <c r="I134" s="115"/>
      <c r="J134" s="115"/>
      <c r="K134" s="60">
        <f t="shared" si="2"/>
        <v>0</v>
      </c>
      <c r="L134" s="117"/>
    </row>
    <row r="135" ht="15.75" customHeight="1">
      <c r="A135" s="9"/>
      <c r="B135" s="164"/>
      <c r="C135" s="110"/>
      <c r="D135" s="156"/>
      <c r="E135" s="111"/>
      <c r="F135" s="112"/>
      <c r="G135" s="113"/>
      <c r="H135" s="53">
        <f t="shared" si="1"/>
        <v>0</v>
      </c>
      <c r="I135" s="115"/>
      <c r="J135" s="115"/>
      <c r="K135" s="60">
        <f t="shared" si="2"/>
        <v>0</v>
      </c>
      <c r="L135" s="117"/>
    </row>
    <row r="136" ht="15.75" customHeight="1">
      <c r="A136" s="9"/>
      <c r="B136" s="164"/>
      <c r="C136" s="110"/>
      <c r="D136" s="156"/>
      <c r="E136" s="111"/>
      <c r="F136" s="112"/>
      <c r="G136" s="113"/>
      <c r="H136" s="53">
        <f t="shared" si="1"/>
        <v>0</v>
      </c>
      <c r="I136" s="115"/>
      <c r="J136" s="115"/>
      <c r="K136" s="60">
        <f t="shared" si="2"/>
        <v>0</v>
      </c>
      <c r="L136" s="117"/>
    </row>
    <row r="137" ht="15.75" customHeight="1">
      <c r="A137" s="9"/>
      <c r="B137" s="164"/>
      <c r="C137" s="110"/>
      <c r="D137" s="156"/>
      <c r="E137" s="111"/>
      <c r="F137" s="112"/>
      <c r="G137" s="113"/>
      <c r="H137" s="53">
        <f t="shared" si="1"/>
        <v>0</v>
      </c>
      <c r="I137" s="115"/>
      <c r="J137" s="115"/>
      <c r="K137" s="60">
        <f t="shared" si="2"/>
        <v>0</v>
      </c>
      <c r="L137" s="117"/>
    </row>
    <row r="138" ht="15.75" customHeight="1">
      <c r="A138" s="9"/>
      <c r="B138" s="164"/>
      <c r="C138" s="110"/>
      <c r="D138" s="156"/>
      <c r="E138" s="111"/>
      <c r="F138" s="112"/>
      <c r="G138" s="113"/>
      <c r="H138" s="53">
        <f t="shared" si="1"/>
        <v>0</v>
      </c>
      <c r="I138" s="115"/>
      <c r="J138" s="115"/>
      <c r="K138" s="60">
        <f t="shared" si="2"/>
        <v>0</v>
      </c>
      <c r="L138" s="117"/>
    </row>
    <row r="139" ht="15.75" customHeight="1">
      <c r="A139" s="9"/>
      <c r="B139" s="164"/>
      <c r="C139" s="110"/>
      <c r="D139" s="156"/>
      <c r="E139" s="111"/>
      <c r="F139" s="112"/>
      <c r="G139" s="113"/>
      <c r="H139" s="53">
        <f t="shared" si="1"/>
        <v>0</v>
      </c>
      <c r="I139" s="115"/>
      <c r="J139" s="115"/>
      <c r="K139" s="60">
        <f t="shared" si="2"/>
        <v>0</v>
      </c>
      <c r="L139" s="117"/>
    </row>
    <row r="140" ht="15.75" customHeight="1">
      <c r="A140" s="9"/>
      <c r="B140" s="164"/>
      <c r="C140" s="110"/>
      <c r="D140" s="156"/>
      <c r="E140" s="111"/>
      <c r="F140" s="112"/>
      <c r="G140" s="113"/>
      <c r="H140" s="53">
        <f t="shared" si="1"/>
        <v>0</v>
      </c>
      <c r="I140" s="115"/>
      <c r="J140" s="115"/>
      <c r="K140" s="60">
        <f t="shared" si="2"/>
        <v>0</v>
      </c>
      <c r="L140" s="117"/>
    </row>
    <row r="141" ht="15.75" customHeight="1">
      <c r="A141" s="9"/>
      <c r="B141" s="164"/>
      <c r="C141" s="110"/>
      <c r="D141" s="156"/>
      <c r="E141" s="111"/>
      <c r="F141" s="112"/>
      <c r="G141" s="113"/>
      <c r="H141" s="53">
        <f t="shared" si="1"/>
        <v>0</v>
      </c>
      <c r="I141" s="115"/>
      <c r="J141" s="115"/>
      <c r="K141" s="60">
        <f t="shared" si="2"/>
        <v>0</v>
      </c>
      <c r="L141" s="117"/>
    </row>
    <row r="142" ht="15.75" customHeight="1">
      <c r="A142" s="9"/>
      <c r="B142" s="164"/>
      <c r="C142" s="110"/>
      <c r="D142" s="156"/>
      <c r="E142" s="111"/>
      <c r="F142" s="112"/>
      <c r="G142" s="113"/>
      <c r="H142" s="53">
        <f t="shared" si="1"/>
        <v>0</v>
      </c>
      <c r="I142" s="115"/>
      <c r="J142" s="115"/>
      <c r="K142" s="60">
        <f t="shared" si="2"/>
        <v>0</v>
      </c>
      <c r="L142" s="117"/>
    </row>
    <row r="143" ht="15.75" customHeight="1">
      <c r="A143" s="9"/>
      <c r="B143" s="164"/>
      <c r="C143" s="110"/>
      <c r="D143" s="156"/>
      <c r="E143" s="111"/>
      <c r="F143" s="112"/>
      <c r="G143" s="113"/>
      <c r="H143" s="53">
        <f t="shared" si="1"/>
        <v>0</v>
      </c>
      <c r="I143" s="115"/>
      <c r="J143" s="115"/>
      <c r="K143" s="60">
        <f t="shared" si="2"/>
        <v>0</v>
      </c>
      <c r="L143" s="117"/>
    </row>
    <row r="144" ht="15.75" customHeight="1">
      <c r="A144" s="9"/>
      <c r="B144" s="164"/>
      <c r="C144" s="110"/>
      <c r="D144" s="156"/>
      <c r="E144" s="111"/>
      <c r="F144" s="112"/>
      <c r="G144" s="113"/>
      <c r="H144" s="53">
        <f t="shared" si="1"/>
        <v>0</v>
      </c>
      <c r="I144" s="115"/>
      <c r="J144" s="115"/>
      <c r="K144" s="60">
        <f t="shared" si="2"/>
        <v>0</v>
      </c>
      <c r="L144" s="117"/>
    </row>
    <row r="145" ht="15.75" customHeight="1">
      <c r="A145" s="9"/>
      <c r="B145" s="164"/>
      <c r="C145" s="110"/>
      <c r="D145" s="156"/>
      <c r="E145" s="111"/>
      <c r="F145" s="112"/>
      <c r="G145" s="113"/>
      <c r="H145" s="53">
        <f t="shared" si="1"/>
        <v>0</v>
      </c>
      <c r="I145" s="115"/>
      <c r="J145" s="115"/>
      <c r="K145" s="60">
        <f t="shared" si="2"/>
        <v>0</v>
      </c>
      <c r="L145" s="117"/>
    </row>
    <row r="146" ht="15.75" customHeight="1">
      <c r="A146" s="9"/>
      <c r="B146" s="164"/>
      <c r="C146" s="110"/>
      <c r="D146" s="156"/>
      <c r="E146" s="111"/>
      <c r="F146" s="112"/>
      <c r="G146" s="113"/>
      <c r="H146" s="53">
        <f t="shared" si="1"/>
        <v>0</v>
      </c>
      <c r="I146" s="115"/>
      <c r="J146" s="115"/>
      <c r="K146" s="60">
        <f t="shared" si="2"/>
        <v>0</v>
      </c>
      <c r="L146" s="117"/>
    </row>
    <row r="147" ht="15.75" customHeight="1">
      <c r="A147" s="9"/>
      <c r="B147" s="164"/>
      <c r="C147" s="110"/>
      <c r="D147" s="156"/>
      <c r="E147" s="111"/>
      <c r="F147" s="112"/>
      <c r="G147" s="113"/>
      <c r="H147" s="53">
        <f t="shared" si="1"/>
        <v>0</v>
      </c>
      <c r="I147" s="115"/>
      <c r="J147" s="115"/>
      <c r="K147" s="60">
        <f t="shared" si="2"/>
        <v>0</v>
      </c>
      <c r="L147" s="117"/>
    </row>
    <row r="148" ht="15.75" customHeight="1">
      <c r="A148" s="9"/>
      <c r="B148" s="164"/>
      <c r="C148" s="110"/>
      <c r="D148" s="156"/>
      <c r="E148" s="111"/>
      <c r="F148" s="112"/>
      <c r="G148" s="113"/>
      <c r="H148" s="53">
        <f t="shared" si="1"/>
        <v>0</v>
      </c>
      <c r="I148" s="115"/>
      <c r="J148" s="115"/>
      <c r="K148" s="60">
        <f t="shared" si="2"/>
        <v>0</v>
      </c>
      <c r="L148" s="117"/>
    </row>
    <row r="149" ht="15.75" customHeight="1">
      <c r="A149" s="9"/>
      <c r="B149" s="164"/>
      <c r="C149" s="110"/>
      <c r="D149" s="156"/>
      <c r="E149" s="111"/>
      <c r="F149" s="112"/>
      <c r="G149" s="113"/>
      <c r="H149" s="53">
        <f t="shared" si="1"/>
        <v>0</v>
      </c>
      <c r="I149" s="115"/>
      <c r="J149" s="115"/>
      <c r="K149" s="60">
        <f t="shared" si="2"/>
        <v>0</v>
      </c>
      <c r="L149" s="117"/>
    </row>
    <row r="150" ht="15.75" customHeight="1">
      <c r="A150" s="9"/>
      <c r="B150" s="164"/>
      <c r="C150" s="110"/>
      <c r="D150" s="156"/>
      <c r="E150" s="111"/>
      <c r="F150" s="112"/>
      <c r="G150" s="113"/>
      <c r="H150" s="53">
        <f t="shared" si="1"/>
        <v>0</v>
      </c>
      <c r="I150" s="115"/>
      <c r="J150" s="115"/>
      <c r="K150" s="60">
        <f t="shared" si="2"/>
        <v>0</v>
      </c>
      <c r="L150" s="117"/>
    </row>
    <row r="151" ht="15.75" customHeight="1">
      <c r="A151" s="9"/>
      <c r="B151" s="164"/>
      <c r="C151" s="110"/>
      <c r="D151" s="156"/>
      <c r="E151" s="111"/>
      <c r="F151" s="112"/>
      <c r="G151" s="113"/>
      <c r="H151" s="53">
        <f t="shared" si="1"/>
        <v>0</v>
      </c>
      <c r="I151" s="115"/>
      <c r="J151" s="115"/>
      <c r="K151" s="60">
        <f t="shared" si="2"/>
        <v>0</v>
      </c>
      <c r="L151" s="117"/>
    </row>
    <row r="152" ht="15.75" customHeight="1">
      <c r="A152" s="9"/>
      <c r="B152" s="164"/>
      <c r="C152" s="110"/>
      <c r="D152" s="156"/>
      <c r="E152" s="111"/>
      <c r="F152" s="112"/>
      <c r="G152" s="113"/>
      <c r="H152" s="53">
        <f t="shared" si="1"/>
        <v>0</v>
      </c>
      <c r="I152" s="115"/>
      <c r="J152" s="115"/>
      <c r="K152" s="60">
        <f t="shared" si="2"/>
        <v>0</v>
      </c>
      <c r="L152" s="117"/>
    </row>
    <row r="153" ht="15.75" customHeight="1">
      <c r="A153" s="9"/>
      <c r="B153" s="164"/>
      <c r="C153" s="110"/>
      <c r="D153" s="156"/>
      <c r="E153" s="111"/>
      <c r="F153" s="112"/>
      <c r="G153" s="113"/>
      <c r="H153" s="53">
        <f t="shared" si="1"/>
        <v>0</v>
      </c>
      <c r="I153" s="115"/>
      <c r="J153" s="115"/>
      <c r="K153" s="60">
        <f t="shared" si="2"/>
        <v>0</v>
      </c>
      <c r="L153" s="117"/>
    </row>
    <row r="154" ht="15.75" customHeight="1">
      <c r="A154" s="9"/>
      <c r="B154" s="164"/>
      <c r="C154" s="110"/>
      <c r="D154" s="156"/>
      <c r="E154" s="111"/>
      <c r="F154" s="112"/>
      <c r="G154" s="113"/>
      <c r="H154" s="53">
        <f t="shared" si="1"/>
        <v>0</v>
      </c>
      <c r="I154" s="115"/>
      <c r="J154" s="115"/>
      <c r="K154" s="60">
        <f t="shared" si="2"/>
        <v>0</v>
      </c>
      <c r="L154" s="117"/>
    </row>
    <row r="155" ht="15.75" customHeight="1">
      <c r="A155" s="9"/>
      <c r="B155" s="164"/>
      <c r="C155" s="110"/>
      <c r="D155" s="156"/>
      <c r="E155" s="111"/>
      <c r="F155" s="112"/>
      <c r="G155" s="113"/>
      <c r="H155" s="53">
        <f t="shared" si="1"/>
        <v>0</v>
      </c>
      <c r="I155" s="115"/>
      <c r="J155" s="115"/>
      <c r="K155" s="60">
        <f t="shared" si="2"/>
        <v>0</v>
      </c>
      <c r="L155" s="117"/>
    </row>
    <row r="156" ht="15.75" customHeight="1">
      <c r="A156" s="9"/>
      <c r="B156" s="164"/>
      <c r="C156" s="110"/>
      <c r="D156" s="156"/>
      <c r="E156" s="111"/>
      <c r="F156" s="112"/>
      <c r="G156" s="113"/>
      <c r="H156" s="53">
        <f t="shared" si="1"/>
        <v>0</v>
      </c>
      <c r="I156" s="115"/>
      <c r="J156" s="115"/>
      <c r="K156" s="60">
        <f t="shared" si="2"/>
        <v>0</v>
      </c>
      <c r="L156" s="117"/>
    </row>
    <row r="157" ht="15.75" customHeight="1">
      <c r="A157" s="9"/>
      <c r="B157" s="164"/>
      <c r="C157" s="110"/>
      <c r="D157" s="156"/>
      <c r="E157" s="111"/>
      <c r="F157" s="112"/>
      <c r="G157" s="113"/>
      <c r="H157" s="53">
        <f t="shared" si="1"/>
        <v>0</v>
      </c>
      <c r="I157" s="115"/>
      <c r="J157" s="115"/>
      <c r="K157" s="60">
        <f t="shared" si="2"/>
        <v>0</v>
      </c>
      <c r="L157" s="117"/>
    </row>
    <row r="158" ht="15.75" customHeight="1">
      <c r="A158" s="9"/>
      <c r="B158" s="164"/>
      <c r="C158" s="110"/>
      <c r="D158" s="156"/>
      <c r="E158" s="111"/>
      <c r="F158" s="112"/>
      <c r="G158" s="113"/>
      <c r="H158" s="53">
        <f t="shared" si="1"/>
        <v>0</v>
      </c>
      <c r="I158" s="115"/>
      <c r="J158" s="115"/>
      <c r="K158" s="60">
        <f t="shared" si="2"/>
        <v>0</v>
      </c>
      <c r="L158" s="117"/>
    </row>
    <row r="159" ht="15.75" customHeight="1">
      <c r="A159" s="9"/>
      <c r="B159" s="164"/>
      <c r="C159" s="110"/>
      <c r="D159" s="156"/>
      <c r="E159" s="111"/>
      <c r="F159" s="112"/>
      <c r="G159" s="113"/>
      <c r="H159" s="53">
        <f t="shared" si="1"/>
        <v>0</v>
      </c>
      <c r="I159" s="115"/>
      <c r="J159" s="115"/>
      <c r="K159" s="60">
        <f t="shared" si="2"/>
        <v>0</v>
      </c>
      <c r="L159" s="117"/>
    </row>
    <row r="160" ht="15.75" customHeight="1">
      <c r="A160" s="9"/>
      <c r="B160" s="164"/>
      <c r="C160" s="110"/>
      <c r="D160" s="156"/>
      <c r="E160" s="111"/>
      <c r="F160" s="112"/>
      <c r="G160" s="113"/>
      <c r="H160" s="53">
        <f t="shared" si="1"/>
        <v>0</v>
      </c>
      <c r="I160" s="115"/>
      <c r="J160" s="115"/>
      <c r="K160" s="60">
        <f t="shared" si="2"/>
        <v>0</v>
      </c>
      <c r="L160" s="117"/>
    </row>
    <row r="161" ht="15.75" customHeight="1">
      <c r="A161" s="9"/>
      <c r="B161" s="164"/>
      <c r="C161" s="110"/>
      <c r="D161" s="156"/>
      <c r="E161" s="111"/>
      <c r="F161" s="112"/>
      <c r="G161" s="113"/>
      <c r="H161" s="53">
        <f t="shared" si="1"/>
        <v>0</v>
      </c>
      <c r="I161" s="115"/>
      <c r="J161" s="115"/>
      <c r="K161" s="60">
        <f t="shared" si="2"/>
        <v>0</v>
      </c>
      <c r="L161" s="117"/>
    </row>
    <row r="162" ht="15.75" customHeight="1">
      <c r="A162" s="9"/>
      <c r="B162" s="164"/>
      <c r="C162" s="110"/>
      <c r="D162" s="156"/>
      <c r="E162" s="111"/>
      <c r="F162" s="112"/>
      <c r="G162" s="113"/>
      <c r="H162" s="53">
        <f t="shared" si="1"/>
        <v>0</v>
      </c>
      <c r="I162" s="115"/>
      <c r="J162" s="115"/>
      <c r="K162" s="60">
        <f t="shared" si="2"/>
        <v>0</v>
      </c>
      <c r="L162" s="117"/>
    </row>
    <row r="163" ht="15.75" customHeight="1">
      <c r="A163" s="9"/>
      <c r="B163" s="164"/>
      <c r="C163" s="110"/>
      <c r="D163" s="156"/>
      <c r="E163" s="111"/>
      <c r="F163" s="112"/>
      <c r="G163" s="113"/>
      <c r="H163" s="53">
        <f t="shared" si="1"/>
        <v>0</v>
      </c>
      <c r="I163" s="115"/>
      <c r="J163" s="115"/>
      <c r="K163" s="60">
        <f t="shared" si="2"/>
        <v>0</v>
      </c>
      <c r="L163" s="117"/>
    </row>
    <row r="164" ht="15.75" customHeight="1">
      <c r="A164" s="9"/>
      <c r="B164" s="164"/>
      <c r="C164" s="110"/>
      <c r="D164" s="156"/>
      <c r="E164" s="111"/>
      <c r="F164" s="112"/>
      <c r="G164" s="113"/>
      <c r="H164" s="53">
        <f t="shared" si="1"/>
        <v>0</v>
      </c>
      <c r="I164" s="115"/>
      <c r="J164" s="115"/>
      <c r="K164" s="60">
        <f t="shared" si="2"/>
        <v>0</v>
      </c>
      <c r="L164" s="117"/>
    </row>
    <row r="165" ht="15.75" customHeight="1">
      <c r="A165" s="9"/>
      <c r="B165" s="164"/>
      <c r="C165" s="110"/>
      <c r="D165" s="156"/>
      <c r="E165" s="111"/>
      <c r="F165" s="112"/>
      <c r="G165" s="113"/>
      <c r="H165" s="53">
        <f t="shared" si="1"/>
        <v>0</v>
      </c>
      <c r="I165" s="115"/>
      <c r="J165" s="115"/>
      <c r="K165" s="60">
        <f t="shared" si="2"/>
        <v>0</v>
      </c>
      <c r="L165" s="117"/>
    </row>
    <row r="166" ht="15.75" customHeight="1">
      <c r="A166" s="9"/>
      <c r="B166" s="164"/>
      <c r="C166" s="110"/>
      <c r="D166" s="156"/>
      <c r="E166" s="111"/>
      <c r="F166" s="112"/>
      <c r="G166" s="113"/>
      <c r="H166" s="53">
        <f t="shared" si="1"/>
        <v>0</v>
      </c>
      <c r="I166" s="115"/>
      <c r="J166" s="115"/>
      <c r="K166" s="60">
        <f t="shared" si="2"/>
        <v>0</v>
      </c>
      <c r="L166" s="117"/>
    </row>
    <row r="167" ht="15.75" customHeight="1">
      <c r="A167" s="9"/>
      <c r="B167" s="164"/>
      <c r="C167" s="110"/>
      <c r="D167" s="156"/>
      <c r="E167" s="111"/>
      <c r="F167" s="112"/>
      <c r="G167" s="113"/>
      <c r="H167" s="53">
        <f t="shared" si="1"/>
        <v>0</v>
      </c>
      <c r="I167" s="115"/>
      <c r="J167" s="115"/>
      <c r="K167" s="60">
        <f t="shared" si="2"/>
        <v>0</v>
      </c>
      <c r="L167" s="117"/>
    </row>
    <row r="168" ht="15.75" customHeight="1">
      <c r="A168" s="9"/>
      <c r="B168" s="164"/>
      <c r="C168" s="110"/>
      <c r="D168" s="156"/>
      <c r="E168" s="111"/>
      <c r="F168" s="112"/>
      <c r="G168" s="113"/>
      <c r="H168" s="53">
        <f t="shared" si="1"/>
        <v>0</v>
      </c>
      <c r="I168" s="115"/>
      <c r="J168" s="115"/>
      <c r="K168" s="60">
        <f t="shared" si="2"/>
        <v>0</v>
      </c>
      <c r="L168" s="117"/>
    </row>
    <row r="169" ht="15.75" customHeight="1">
      <c r="A169" s="9"/>
      <c r="B169" s="164"/>
      <c r="C169" s="110"/>
      <c r="D169" s="156"/>
      <c r="E169" s="111"/>
      <c r="F169" s="112"/>
      <c r="G169" s="113"/>
      <c r="H169" s="53">
        <f t="shared" si="1"/>
        <v>0</v>
      </c>
      <c r="I169" s="115"/>
      <c r="J169" s="115"/>
      <c r="K169" s="60">
        <f t="shared" si="2"/>
        <v>0</v>
      </c>
      <c r="L169" s="117"/>
    </row>
    <row r="170" ht="15.75" customHeight="1">
      <c r="A170" s="9"/>
      <c r="B170" s="164"/>
      <c r="C170" s="110"/>
      <c r="D170" s="156"/>
      <c r="E170" s="111"/>
      <c r="F170" s="112"/>
      <c r="G170" s="113"/>
      <c r="H170" s="53">
        <f t="shared" si="1"/>
        <v>0</v>
      </c>
      <c r="I170" s="115"/>
      <c r="J170" s="115"/>
      <c r="K170" s="60">
        <f t="shared" si="2"/>
        <v>0</v>
      </c>
      <c r="L170" s="117"/>
    </row>
    <row r="171" ht="15.75" customHeight="1">
      <c r="A171" s="9"/>
      <c r="B171" s="164"/>
      <c r="C171" s="110"/>
      <c r="D171" s="156"/>
      <c r="E171" s="111"/>
      <c r="F171" s="112"/>
      <c r="G171" s="113"/>
      <c r="H171" s="53">
        <f t="shared" si="1"/>
        <v>0</v>
      </c>
      <c r="I171" s="115"/>
      <c r="J171" s="115"/>
      <c r="K171" s="60">
        <f t="shared" si="2"/>
        <v>0</v>
      </c>
      <c r="L171" s="117"/>
    </row>
    <row r="172" ht="15.75" customHeight="1">
      <c r="A172" s="9"/>
      <c r="B172" s="164"/>
      <c r="C172" s="110"/>
      <c r="D172" s="156"/>
      <c r="E172" s="111"/>
      <c r="F172" s="112"/>
      <c r="G172" s="113"/>
      <c r="H172" s="53">
        <f t="shared" si="1"/>
        <v>0</v>
      </c>
      <c r="I172" s="115"/>
      <c r="J172" s="115"/>
      <c r="K172" s="60">
        <f t="shared" si="2"/>
        <v>0</v>
      </c>
      <c r="L172" s="117"/>
    </row>
    <row r="173" ht="15.75" customHeight="1">
      <c r="A173" s="9"/>
      <c r="B173" s="164"/>
      <c r="C173" s="110"/>
      <c r="D173" s="156"/>
      <c r="E173" s="111"/>
      <c r="F173" s="112"/>
      <c r="G173" s="113"/>
      <c r="H173" s="53">
        <f t="shared" si="1"/>
        <v>0</v>
      </c>
      <c r="I173" s="115"/>
      <c r="J173" s="115"/>
      <c r="K173" s="60">
        <f t="shared" si="2"/>
        <v>0</v>
      </c>
      <c r="L173" s="117"/>
    </row>
    <row r="174" ht="15.75" customHeight="1">
      <c r="A174" s="9"/>
      <c r="B174" s="164"/>
      <c r="C174" s="110"/>
      <c r="D174" s="156"/>
      <c r="E174" s="111"/>
      <c r="F174" s="112"/>
      <c r="G174" s="113"/>
      <c r="H174" s="53">
        <f t="shared" si="1"/>
        <v>0</v>
      </c>
      <c r="I174" s="115"/>
      <c r="J174" s="115"/>
      <c r="K174" s="60">
        <f t="shared" si="2"/>
        <v>0</v>
      </c>
      <c r="L174" s="117"/>
    </row>
    <row r="175" ht="15.75" customHeight="1">
      <c r="A175" s="9"/>
      <c r="B175" s="164"/>
      <c r="C175" s="110"/>
      <c r="D175" s="156"/>
      <c r="E175" s="111"/>
      <c r="F175" s="112"/>
      <c r="G175" s="113"/>
      <c r="H175" s="53">
        <f t="shared" si="1"/>
        <v>0</v>
      </c>
      <c r="I175" s="115"/>
      <c r="J175" s="115"/>
      <c r="K175" s="60">
        <f t="shared" si="2"/>
        <v>0</v>
      </c>
      <c r="L175" s="117"/>
    </row>
    <row r="176" ht="15.75" customHeight="1">
      <c r="A176" s="9"/>
      <c r="B176" s="164"/>
      <c r="C176" s="110"/>
      <c r="D176" s="156"/>
      <c r="E176" s="111"/>
      <c r="F176" s="112"/>
      <c r="G176" s="113"/>
      <c r="H176" s="53">
        <f t="shared" si="1"/>
        <v>0</v>
      </c>
      <c r="I176" s="115"/>
      <c r="J176" s="115"/>
      <c r="K176" s="60">
        <f t="shared" si="2"/>
        <v>0</v>
      </c>
      <c r="L176" s="117"/>
    </row>
    <row r="177" ht="15.75" customHeight="1">
      <c r="A177" s="9"/>
      <c r="B177" s="164"/>
      <c r="C177" s="110"/>
      <c r="D177" s="156"/>
      <c r="E177" s="111"/>
      <c r="F177" s="112"/>
      <c r="G177" s="113"/>
      <c r="H177" s="53">
        <f t="shared" si="1"/>
        <v>0</v>
      </c>
      <c r="I177" s="115"/>
      <c r="J177" s="115"/>
      <c r="K177" s="60">
        <f t="shared" si="2"/>
        <v>0</v>
      </c>
      <c r="L177" s="117"/>
    </row>
    <row r="178" ht="15.75" customHeight="1">
      <c r="A178" s="9"/>
      <c r="B178" s="164"/>
      <c r="C178" s="110"/>
      <c r="D178" s="156"/>
      <c r="E178" s="111"/>
      <c r="F178" s="112"/>
      <c r="G178" s="113"/>
      <c r="H178" s="53">
        <f t="shared" si="1"/>
        <v>0</v>
      </c>
      <c r="I178" s="115"/>
      <c r="J178" s="115"/>
      <c r="K178" s="60">
        <f t="shared" si="2"/>
        <v>0</v>
      </c>
      <c r="L178" s="117"/>
    </row>
    <row r="179" ht="15.75" customHeight="1">
      <c r="A179" s="9"/>
      <c r="B179" s="164"/>
      <c r="C179" s="110"/>
      <c r="D179" s="156"/>
      <c r="E179" s="111"/>
      <c r="F179" s="112"/>
      <c r="G179" s="113"/>
      <c r="H179" s="53">
        <f t="shared" si="1"/>
        <v>0</v>
      </c>
      <c r="I179" s="115"/>
      <c r="J179" s="115"/>
      <c r="K179" s="60">
        <f t="shared" si="2"/>
        <v>0</v>
      </c>
      <c r="L179" s="117"/>
    </row>
    <row r="180" ht="15.75" customHeight="1">
      <c r="A180" s="9"/>
      <c r="B180" s="164"/>
      <c r="C180" s="110"/>
      <c r="D180" s="156"/>
      <c r="E180" s="111"/>
      <c r="F180" s="112"/>
      <c r="G180" s="113"/>
      <c r="H180" s="53">
        <f t="shared" si="1"/>
        <v>0</v>
      </c>
      <c r="I180" s="115"/>
      <c r="J180" s="115"/>
      <c r="K180" s="60">
        <f t="shared" si="2"/>
        <v>0</v>
      </c>
      <c r="L180" s="117"/>
    </row>
    <row r="181" ht="15.75" customHeight="1">
      <c r="A181" s="9"/>
      <c r="B181" s="164"/>
      <c r="C181" s="110"/>
      <c r="D181" s="156"/>
      <c r="E181" s="111"/>
      <c r="F181" s="112"/>
      <c r="G181" s="113"/>
      <c r="H181" s="53">
        <f t="shared" si="1"/>
        <v>0</v>
      </c>
      <c r="I181" s="115"/>
      <c r="J181" s="115"/>
      <c r="K181" s="60">
        <f t="shared" si="2"/>
        <v>0</v>
      </c>
      <c r="L181" s="117"/>
    </row>
    <row r="182" ht="15.75" customHeight="1">
      <c r="A182" s="9"/>
      <c r="B182" s="164"/>
      <c r="C182" s="110"/>
      <c r="D182" s="156"/>
      <c r="E182" s="111"/>
      <c r="F182" s="112"/>
      <c r="G182" s="113"/>
      <c r="H182" s="53">
        <f t="shared" si="1"/>
        <v>0</v>
      </c>
      <c r="I182" s="115"/>
      <c r="J182" s="115"/>
      <c r="K182" s="60">
        <f t="shared" si="2"/>
        <v>0</v>
      </c>
      <c r="L182" s="117"/>
    </row>
    <row r="183" ht="15.75" customHeight="1">
      <c r="A183" s="9"/>
      <c r="B183" s="164"/>
      <c r="C183" s="110"/>
      <c r="D183" s="156"/>
      <c r="E183" s="111"/>
      <c r="F183" s="112"/>
      <c r="G183" s="113"/>
      <c r="H183" s="53">
        <f t="shared" si="1"/>
        <v>0</v>
      </c>
      <c r="I183" s="115"/>
      <c r="J183" s="115"/>
      <c r="K183" s="60">
        <f t="shared" si="2"/>
        <v>0</v>
      </c>
      <c r="L183" s="117"/>
    </row>
    <row r="184" ht="15.75" customHeight="1">
      <c r="A184" s="9"/>
      <c r="B184" s="164"/>
      <c r="C184" s="110"/>
      <c r="D184" s="156"/>
      <c r="E184" s="111"/>
      <c r="F184" s="112"/>
      <c r="G184" s="113"/>
      <c r="H184" s="53">
        <f t="shared" si="1"/>
        <v>0</v>
      </c>
      <c r="I184" s="115"/>
      <c r="J184" s="115"/>
      <c r="K184" s="60">
        <f t="shared" si="2"/>
        <v>0</v>
      </c>
      <c r="L184" s="117"/>
    </row>
    <row r="185" ht="15.75" customHeight="1">
      <c r="A185" s="9"/>
      <c r="B185" s="164"/>
      <c r="C185" s="110"/>
      <c r="D185" s="156"/>
      <c r="E185" s="111"/>
      <c r="F185" s="112"/>
      <c r="G185" s="113"/>
      <c r="H185" s="53">
        <f t="shared" si="1"/>
        <v>0</v>
      </c>
      <c r="I185" s="115"/>
      <c r="J185" s="115"/>
      <c r="K185" s="60">
        <f t="shared" si="2"/>
        <v>0</v>
      </c>
      <c r="L185" s="117"/>
    </row>
    <row r="186" ht="15.75" customHeight="1">
      <c r="A186" s="9"/>
      <c r="B186" s="164"/>
      <c r="C186" s="110"/>
      <c r="D186" s="156"/>
      <c r="E186" s="111"/>
      <c r="F186" s="112"/>
      <c r="G186" s="113"/>
      <c r="H186" s="53">
        <f t="shared" si="1"/>
        <v>0</v>
      </c>
      <c r="I186" s="115"/>
      <c r="J186" s="115"/>
      <c r="K186" s="60">
        <f t="shared" si="2"/>
        <v>0</v>
      </c>
      <c r="L186" s="117"/>
    </row>
    <row r="187" ht="15.75" customHeight="1">
      <c r="A187" s="9"/>
      <c r="B187" s="164"/>
      <c r="C187" s="110"/>
      <c r="D187" s="156"/>
      <c r="E187" s="111"/>
      <c r="F187" s="112"/>
      <c r="G187" s="113"/>
      <c r="H187" s="53">
        <f t="shared" si="1"/>
        <v>0</v>
      </c>
      <c r="I187" s="115"/>
      <c r="J187" s="115"/>
      <c r="K187" s="60">
        <f t="shared" si="2"/>
        <v>0</v>
      </c>
      <c r="L187" s="117"/>
    </row>
    <row r="188" ht="15.75" customHeight="1">
      <c r="A188" s="9"/>
      <c r="B188" s="164"/>
      <c r="C188" s="110"/>
      <c r="D188" s="156"/>
      <c r="E188" s="111"/>
      <c r="F188" s="112"/>
      <c r="G188" s="113"/>
      <c r="H188" s="53">
        <f t="shared" si="1"/>
        <v>0</v>
      </c>
      <c r="I188" s="115"/>
      <c r="J188" s="115"/>
      <c r="K188" s="60">
        <f t="shared" si="2"/>
        <v>0</v>
      </c>
      <c r="L188" s="117"/>
    </row>
    <row r="189" ht="15.75" customHeight="1">
      <c r="A189" s="9"/>
      <c r="B189" s="164"/>
      <c r="C189" s="110"/>
      <c r="D189" s="156"/>
      <c r="E189" s="111"/>
      <c r="F189" s="112"/>
      <c r="G189" s="113"/>
      <c r="H189" s="53">
        <f t="shared" si="1"/>
        <v>0</v>
      </c>
      <c r="I189" s="115"/>
      <c r="J189" s="115"/>
      <c r="K189" s="60">
        <f t="shared" si="2"/>
        <v>0</v>
      </c>
      <c r="L189" s="117"/>
    </row>
    <row r="190" ht="15.75" customHeight="1">
      <c r="A190" s="9"/>
      <c r="B190" s="164"/>
      <c r="C190" s="110"/>
      <c r="D190" s="156"/>
      <c r="E190" s="111"/>
      <c r="F190" s="112"/>
      <c r="G190" s="113"/>
      <c r="H190" s="53">
        <f t="shared" si="1"/>
        <v>0</v>
      </c>
      <c r="I190" s="115"/>
      <c r="J190" s="115"/>
      <c r="K190" s="60">
        <f t="shared" si="2"/>
        <v>0</v>
      </c>
      <c r="L190" s="117"/>
    </row>
    <row r="191" ht="15.75" customHeight="1">
      <c r="A191" s="9"/>
      <c r="B191" s="164"/>
      <c r="C191" s="110"/>
      <c r="D191" s="156"/>
      <c r="E191" s="111"/>
      <c r="F191" s="112"/>
      <c r="G191" s="113"/>
      <c r="H191" s="53">
        <f t="shared" si="1"/>
        <v>0</v>
      </c>
      <c r="I191" s="115"/>
      <c r="J191" s="115"/>
      <c r="K191" s="60">
        <f t="shared" si="2"/>
        <v>0</v>
      </c>
      <c r="L191" s="117"/>
    </row>
    <row r="192" ht="15.75" customHeight="1">
      <c r="A192" s="9"/>
      <c r="B192" s="164"/>
      <c r="C192" s="110"/>
      <c r="D192" s="156"/>
      <c r="E192" s="111"/>
      <c r="F192" s="112"/>
      <c r="G192" s="113"/>
      <c r="H192" s="53">
        <f t="shared" si="1"/>
        <v>0</v>
      </c>
      <c r="I192" s="115"/>
      <c r="J192" s="115"/>
      <c r="K192" s="60">
        <f t="shared" si="2"/>
        <v>0</v>
      </c>
      <c r="L192" s="117"/>
    </row>
    <row r="193" ht="15.75" customHeight="1">
      <c r="A193" s="9"/>
      <c r="B193" s="164"/>
      <c r="C193" s="110"/>
      <c r="D193" s="156"/>
      <c r="E193" s="111"/>
      <c r="F193" s="112"/>
      <c r="G193" s="113"/>
      <c r="H193" s="53">
        <f t="shared" si="1"/>
        <v>0</v>
      </c>
      <c r="I193" s="115"/>
      <c r="J193" s="115"/>
      <c r="K193" s="60">
        <f t="shared" si="2"/>
        <v>0</v>
      </c>
      <c r="L193" s="117"/>
    </row>
    <row r="194" ht="15.75" customHeight="1">
      <c r="A194" s="9"/>
      <c r="B194" s="164"/>
      <c r="C194" s="110"/>
      <c r="D194" s="156"/>
      <c r="E194" s="111"/>
      <c r="F194" s="112"/>
      <c r="G194" s="113"/>
      <c r="H194" s="53">
        <f t="shared" si="1"/>
        <v>0</v>
      </c>
      <c r="I194" s="115"/>
      <c r="J194" s="115"/>
      <c r="K194" s="60">
        <f t="shared" si="2"/>
        <v>0</v>
      </c>
      <c r="L194" s="117"/>
    </row>
    <row r="195" ht="15.75" customHeight="1">
      <c r="A195" s="9"/>
      <c r="B195" s="164"/>
      <c r="C195" s="110"/>
      <c r="D195" s="156"/>
      <c r="E195" s="111"/>
      <c r="F195" s="112"/>
      <c r="G195" s="113"/>
      <c r="H195" s="53">
        <f t="shared" si="1"/>
        <v>0</v>
      </c>
      <c r="I195" s="115"/>
      <c r="J195" s="115"/>
      <c r="K195" s="60">
        <f t="shared" si="2"/>
        <v>0</v>
      </c>
      <c r="L195" s="117"/>
    </row>
    <row r="196" ht="15.75" customHeight="1">
      <c r="A196" s="9"/>
      <c r="B196" s="164"/>
      <c r="C196" s="110"/>
      <c r="D196" s="156"/>
      <c r="E196" s="111"/>
      <c r="F196" s="112"/>
      <c r="G196" s="113"/>
      <c r="H196" s="53">
        <f t="shared" si="1"/>
        <v>0</v>
      </c>
      <c r="I196" s="115"/>
      <c r="J196" s="115"/>
      <c r="K196" s="60">
        <f t="shared" si="2"/>
        <v>0</v>
      </c>
      <c r="L196" s="117"/>
    </row>
    <row r="197" ht="15.75" customHeight="1">
      <c r="A197" s="9"/>
      <c r="B197" s="164"/>
      <c r="C197" s="110"/>
      <c r="D197" s="156"/>
      <c r="E197" s="111"/>
      <c r="F197" s="112"/>
      <c r="G197" s="113"/>
      <c r="H197" s="53">
        <f t="shared" si="1"/>
        <v>0</v>
      </c>
      <c r="I197" s="115"/>
      <c r="J197" s="115"/>
      <c r="K197" s="60">
        <f t="shared" si="2"/>
        <v>0</v>
      </c>
      <c r="L197" s="117"/>
    </row>
    <row r="198" ht="15.75" customHeight="1">
      <c r="A198" s="9"/>
      <c r="B198" s="164"/>
      <c r="C198" s="110"/>
      <c r="D198" s="156"/>
      <c r="E198" s="111"/>
      <c r="F198" s="112"/>
      <c r="G198" s="113"/>
      <c r="H198" s="53">
        <f t="shared" si="1"/>
        <v>0</v>
      </c>
      <c r="I198" s="115"/>
      <c r="J198" s="115"/>
      <c r="K198" s="60">
        <f t="shared" si="2"/>
        <v>0</v>
      </c>
      <c r="L198" s="117"/>
    </row>
    <row r="199" ht="15.75" customHeight="1">
      <c r="A199" s="9"/>
      <c r="B199" s="164"/>
      <c r="C199" s="110"/>
      <c r="D199" s="156"/>
      <c r="E199" s="111"/>
      <c r="F199" s="112"/>
      <c r="G199" s="113"/>
      <c r="H199" s="53">
        <f t="shared" si="1"/>
        <v>0</v>
      </c>
      <c r="I199" s="115"/>
      <c r="J199" s="115"/>
      <c r="K199" s="60">
        <f t="shared" si="2"/>
        <v>0</v>
      </c>
      <c r="L199" s="117"/>
    </row>
    <row r="200" ht="15.75" customHeight="1">
      <c r="A200" s="9"/>
      <c r="B200" s="164"/>
      <c r="C200" s="110"/>
      <c r="D200" s="156"/>
      <c r="E200" s="111"/>
      <c r="F200" s="112"/>
      <c r="G200" s="113"/>
      <c r="H200" s="53">
        <f t="shared" si="1"/>
        <v>0</v>
      </c>
      <c r="I200" s="115"/>
      <c r="J200" s="115"/>
      <c r="K200" s="60">
        <f t="shared" si="2"/>
        <v>0</v>
      </c>
      <c r="L200" s="117"/>
    </row>
    <row r="201" ht="15.75" customHeight="1">
      <c r="A201" s="9"/>
      <c r="B201" s="164"/>
      <c r="C201" s="110"/>
      <c r="D201" s="156"/>
      <c r="E201" s="111"/>
      <c r="F201" s="112"/>
      <c r="G201" s="113"/>
      <c r="H201" s="53">
        <f t="shared" si="1"/>
        <v>0</v>
      </c>
      <c r="I201" s="115"/>
      <c r="J201" s="115"/>
      <c r="K201" s="60">
        <f t="shared" si="2"/>
        <v>0</v>
      </c>
      <c r="L201" s="117"/>
    </row>
    <row r="202" ht="15.75" customHeight="1">
      <c r="A202" s="9"/>
      <c r="B202" s="164"/>
      <c r="C202" s="110"/>
      <c r="D202" s="156"/>
      <c r="E202" s="111"/>
      <c r="F202" s="112"/>
      <c r="G202" s="113"/>
      <c r="H202" s="53">
        <f t="shared" si="1"/>
        <v>0</v>
      </c>
      <c r="I202" s="115"/>
      <c r="J202" s="115"/>
      <c r="K202" s="60">
        <f t="shared" si="2"/>
        <v>0</v>
      </c>
      <c r="L202" s="117"/>
    </row>
    <row r="203" ht="15.75" customHeight="1">
      <c r="A203" s="9"/>
      <c r="B203" s="164"/>
      <c r="C203" s="110"/>
      <c r="D203" s="156"/>
      <c r="E203" s="111"/>
      <c r="F203" s="112"/>
      <c r="G203" s="113"/>
      <c r="H203" s="53">
        <f t="shared" si="1"/>
        <v>0</v>
      </c>
      <c r="I203" s="115"/>
      <c r="J203" s="115"/>
      <c r="K203" s="60">
        <f t="shared" si="2"/>
        <v>0</v>
      </c>
      <c r="L203" s="117"/>
    </row>
    <row r="204" ht="15.75" customHeight="1">
      <c r="A204" s="9"/>
      <c r="B204" s="164"/>
      <c r="C204" s="110"/>
      <c r="D204" s="156"/>
      <c r="E204" s="111"/>
      <c r="F204" s="112"/>
      <c r="G204" s="113"/>
      <c r="H204" s="53">
        <f t="shared" si="1"/>
        <v>0</v>
      </c>
      <c r="I204" s="115"/>
      <c r="J204" s="115"/>
      <c r="K204" s="60">
        <f t="shared" si="2"/>
        <v>0</v>
      </c>
      <c r="L204" s="117"/>
    </row>
    <row r="205" ht="15.75" customHeight="1">
      <c r="A205" s="9"/>
      <c r="B205" s="164"/>
      <c r="C205" s="110"/>
      <c r="D205" s="156"/>
      <c r="E205" s="111"/>
      <c r="F205" s="112"/>
      <c r="G205" s="113"/>
      <c r="H205" s="53">
        <f t="shared" si="1"/>
        <v>0</v>
      </c>
      <c r="I205" s="115"/>
      <c r="J205" s="115"/>
      <c r="K205" s="60">
        <f t="shared" si="2"/>
        <v>0</v>
      </c>
      <c r="L205" s="117"/>
    </row>
    <row r="206" ht="15.75" customHeight="1">
      <c r="A206" s="9"/>
      <c r="B206" s="164"/>
      <c r="C206" s="110"/>
      <c r="D206" s="156"/>
      <c r="E206" s="111"/>
      <c r="F206" s="112"/>
      <c r="G206" s="113"/>
      <c r="H206" s="53">
        <f t="shared" si="1"/>
        <v>0</v>
      </c>
      <c r="I206" s="115"/>
      <c r="J206" s="115"/>
      <c r="K206" s="60">
        <f t="shared" si="2"/>
        <v>0</v>
      </c>
      <c r="L206" s="117"/>
    </row>
    <row r="207" ht="15.75" customHeight="1">
      <c r="A207" s="9"/>
      <c r="B207" s="164"/>
      <c r="C207" s="110"/>
      <c r="D207" s="156"/>
      <c r="E207" s="111"/>
      <c r="F207" s="112"/>
      <c r="G207" s="113"/>
      <c r="H207" s="53">
        <f t="shared" si="1"/>
        <v>0</v>
      </c>
      <c r="I207" s="115"/>
      <c r="J207" s="115"/>
      <c r="K207" s="60">
        <f t="shared" si="2"/>
        <v>0</v>
      </c>
      <c r="L207" s="117"/>
    </row>
    <row r="208" ht="15.75" customHeight="1">
      <c r="A208" s="9"/>
      <c r="B208" s="164"/>
      <c r="C208" s="110"/>
      <c r="D208" s="156"/>
      <c r="E208" s="111"/>
      <c r="F208" s="112"/>
      <c r="G208" s="113"/>
      <c r="H208" s="53">
        <f t="shared" si="1"/>
        <v>0</v>
      </c>
      <c r="I208" s="115"/>
      <c r="J208" s="115"/>
      <c r="K208" s="60">
        <f t="shared" si="2"/>
        <v>0</v>
      </c>
      <c r="L208" s="117"/>
    </row>
    <row r="209" ht="15.75" customHeight="1">
      <c r="A209" s="9"/>
      <c r="B209" s="164"/>
      <c r="C209" s="110"/>
      <c r="D209" s="156"/>
      <c r="E209" s="111"/>
      <c r="F209" s="112"/>
      <c r="G209" s="113"/>
      <c r="H209" s="53">
        <f t="shared" si="1"/>
        <v>0</v>
      </c>
      <c r="I209" s="115"/>
      <c r="J209" s="115"/>
      <c r="K209" s="60">
        <f t="shared" si="2"/>
        <v>0</v>
      </c>
      <c r="L209" s="117"/>
    </row>
    <row r="210" ht="15.75" customHeight="1">
      <c r="A210" s="9"/>
      <c r="B210" s="164"/>
      <c r="C210" s="110"/>
      <c r="D210" s="156"/>
      <c r="E210" s="111"/>
      <c r="F210" s="112"/>
      <c r="G210" s="113"/>
      <c r="H210" s="53">
        <f t="shared" si="1"/>
        <v>0</v>
      </c>
      <c r="I210" s="115"/>
      <c r="J210" s="115"/>
      <c r="K210" s="60">
        <f t="shared" si="2"/>
        <v>0</v>
      </c>
      <c r="L210" s="117"/>
    </row>
    <row r="211" ht="15.75" customHeight="1">
      <c r="A211" s="9"/>
      <c r="B211" s="164"/>
      <c r="C211" s="110"/>
      <c r="D211" s="156"/>
      <c r="E211" s="111"/>
      <c r="F211" s="112"/>
      <c r="G211" s="113"/>
      <c r="H211" s="53">
        <f t="shared" si="1"/>
        <v>0</v>
      </c>
      <c r="I211" s="115"/>
      <c r="J211" s="115"/>
      <c r="K211" s="60">
        <f t="shared" si="2"/>
        <v>0</v>
      </c>
      <c r="L211" s="117"/>
    </row>
    <row r="212" ht="15.75" customHeight="1">
      <c r="A212" s="9"/>
      <c r="B212" s="164"/>
      <c r="C212" s="110"/>
      <c r="D212" s="156"/>
      <c r="E212" s="111"/>
      <c r="F212" s="112"/>
      <c r="G212" s="113"/>
      <c r="H212" s="53">
        <f t="shared" si="1"/>
        <v>0</v>
      </c>
      <c r="I212" s="115"/>
      <c r="J212" s="115"/>
      <c r="K212" s="60">
        <f t="shared" si="2"/>
        <v>0</v>
      </c>
      <c r="L212" s="117"/>
    </row>
    <row r="213" ht="15.75" customHeight="1">
      <c r="A213" s="9"/>
      <c r="B213" s="164"/>
      <c r="C213" s="110"/>
      <c r="D213" s="156"/>
      <c r="E213" s="111"/>
      <c r="F213" s="112"/>
      <c r="G213" s="113"/>
      <c r="H213" s="53">
        <f t="shared" si="1"/>
        <v>0</v>
      </c>
      <c r="I213" s="115"/>
      <c r="J213" s="115"/>
      <c r="K213" s="60">
        <f t="shared" si="2"/>
        <v>0</v>
      </c>
      <c r="L213" s="117"/>
    </row>
    <row r="214" ht="15.75" customHeight="1">
      <c r="A214" s="9"/>
      <c r="B214" s="164"/>
      <c r="C214" s="110"/>
      <c r="D214" s="156"/>
      <c r="E214" s="111"/>
      <c r="F214" s="112"/>
      <c r="G214" s="113"/>
      <c r="H214" s="53">
        <f t="shared" si="1"/>
        <v>0</v>
      </c>
      <c r="I214" s="115"/>
      <c r="J214" s="115"/>
      <c r="K214" s="60">
        <f t="shared" si="2"/>
        <v>0</v>
      </c>
      <c r="L214" s="117"/>
    </row>
    <row r="215" ht="15.75" customHeight="1">
      <c r="A215" s="9"/>
      <c r="B215" s="164"/>
      <c r="C215" s="110"/>
      <c r="D215" s="156"/>
      <c r="E215" s="111"/>
      <c r="F215" s="112"/>
      <c r="G215" s="113"/>
      <c r="H215" s="53">
        <f t="shared" si="1"/>
        <v>0</v>
      </c>
      <c r="I215" s="115"/>
      <c r="J215" s="115"/>
      <c r="K215" s="60">
        <f t="shared" si="2"/>
        <v>0</v>
      </c>
      <c r="L215" s="117"/>
    </row>
    <row r="216" ht="15.75" customHeight="1">
      <c r="A216" s="9"/>
      <c r="B216" s="164"/>
      <c r="C216" s="110"/>
      <c r="D216" s="156"/>
      <c r="E216" s="111"/>
      <c r="F216" s="112"/>
      <c r="G216" s="113"/>
      <c r="H216" s="53">
        <f t="shared" si="1"/>
        <v>0</v>
      </c>
      <c r="I216" s="115"/>
      <c r="J216" s="115"/>
      <c r="K216" s="60">
        <f t="shared" si="2"/>
        <v>0</v>
      </c>
      <c r="L216" s="117"/>
    </row>
    <row r="217" ht="15.75" customHeight="1">
      <c r="A217" s="9"/>
      <c r="B217" s="164"/>
      <c r="C217" s="110"/>
      <c r="D217" s="156"/>
      <c r="E217" s="111"/>
      <c r="F217" s="112"/>
      <c r="G217" s="113"/>
      <c r="H217" s="53">
        <f t="shared" si="1"/>
        <v>0</v>
      </c>
      <c r="I217" s="115"/>
      <c r="J217" s="115"/>
      <c r="K217" s="60">
        <f t="shared" si="2"/>
        <v>0</v>
      </c>
      <c r="L217" s="117"/>
    </row>
    <row r="218" ht="15.75" customHeight="1">
      <c r="A218" s="9"/>
      <c r="B218" s="164"/>
      <c r="C218" s="110"/>
      <c r="D218" s="156"/>
      <c r="E218" s="111"/>
      <c r="F218" s="112"/>
      <c r="G218" s="113"/>
      <c r="H218" s="53">
        <f t="shared" si="1"/>
        <v>0</v>
      </c>
      <c r="I218" s="115"/>
      <c r="J218" s="115"/>
      <c r="K218" s="60">
        <f t="shared" si="2"/>
        <v>0</v>
      </c>
      <c r="L218" s="117"/>
    </row>
    <row r="219" ht="15.75" customHeight="1">
      <c r="A219" s="9"/>
      <c r="B219" s="164"/>
      <c r="C219" s="110"/>
      <c r="D219" s="156"/>
      <c r="E219" s="111"/>
      <c r="F219" s="112"/>
      <c r="G219" s="113"/>
      <c r="H219" s="53">
        <f t="shared" si="1"/>
        <v>0</v>
      </c>
      <c r="I219" s="115"/>
      <c r="J219" s="115"/>
      <c r="K219" s="60">
        <f t="shared" si="2"/>
        <v>0</v>
      </c>
      <c r="L219" s="117"/>
    </row>
    <row r="220" ht="15.75" customHeight="1">
      <c r="A220" s="9"/>
      <c r="B220" s="164"/>
      <c r="C220" s="110"/>
      <c r="D220" s="156"/>
      <c r="E220" s="111"/>
      <c r="F220" s="112"/>
      <c r="G220" s="113"/>
      <c r="H220" s="53">
        <f t="shared" si="1"/>
        <v>0</v>
      </c>
      <c r="I220" s="115"/>
      <c r="J220" s="115"/>
      <c r="K220" s="60">
        <f t="shared" si="2"/>
        <v>0</v>
      </c>
      <c r="L220" s="117"/>
    </row>
    <row r="221" ht="15.75" customHeight="1">
      <c r="A221" s="9"/>
      <c r="B221" s="164"/>
      <c r="C221" s="110"/>
      <c r="D221" s="156"/>
      <c r="E221" s="111"/>
      <c r="F221" s="112"/>
      <c r="G221" s="113"/>
      <c r="H221" s="53">
        <f t="shared" si="1"/>
        <v>0</v>
      </c>
      <c r="I221" s="115"/>
      <c r="J221" s="115"/>
      <c r="K221" s="60">
        <f t="shared" si="2"/>
        <v>0</v>
      </c>
      <c r="L221" s="117"/>
    </row>
    <row r="222" ht="15.75" customHeight="1">
      <c r="A222" s="9"/>
      <c r="B222" s="164"/>
      <c r="C222" s="110"/>
      <c r="D222" s="156"/>
      <c r="E222" s="111"/>
      <c r="F222" s="112"/>
      <c r="G222" s="113"/>
      <c r="H222" s="53">
        <f t="shared" si="1"/>
        <v>0</v>
      </c>
      <c r="I222" s="115"/>
      <c r="J222" s="115"/>
      <c r="K222" s="60">
        <f t="shared" si="2"/>
        <v>0</v>
      </c>
      <c r="L222" s="117"/>
    </row>
    <row r="223" ht="15.75" customHeight="1">
      <c r="A223" s="9"/>
      <c r="B223" s="164"/>
      <c r="C223" s="110"/>
      <c r="D223" s="156"/>
      <c r="E223" s="111"/>
      <c r="F223" s="112"/>
      <c r="G223" s="113"/>
      <c r="H223" s="53">
        <f t="shared" si="1"/>
        <v>0</v>
      </c>
      <c r="I223" s="115"/>
      <c r="J223" s="115"/>
      <c r="K223" s="60">
        <f t="shared" si="2"/>
        <v>0</v>
      </c>
      <c r="L223" s="117"/>
    </row>
    <row r="224" ht="15.75" customHeight="1">
      <c r="A224" s="9"/>
      <c r="B224" s="164"/>
      <c r="C224" s="110"/>
      <c r="D224" s="156"/>
      <c r="E224" s="111"/>
      <c r="F224" s="112"/>
      <c r="G224" s="113"/>
      <c r="H224" s="53">
        <f t="shared" si="1"/>
        <v>0</v>
      </c>
      <c r="I224" s="115"/>
      <c r="J224" s="115"/>
      <c r="K224" s="60">
        <f t="shared" si="2"/>
        <v>0</v>
      </c>
      <c r="L224" s="117"/>
    </row>
    <row r="225" ht="15.75" customHeight="1">
      <c r="A225" s="9"/>
      <c r="B225" s="164"/>
      <c r="C225" s="110"/>
      <c r="D225" s="156"/>
      <c r="E225" s="111"/>
      <c r="F225" s="112"/>
      <c r="G225" s="113"/>
      <c r="H225" s="53">
        <f t="shared" si="1"/>
        <v>0</v>
      </c>
      <c r="I225" s="115"/>
      <c r="J225" s="115"/>
      <c r="K225" s="60">
        <f t="shared" si="2"/>
        <v>0</v>
      </c>
      <c r="L225" s="117"/>
    </row>
    <row r="226" ht="15.75" customHeight="1">
      <c r="A226" s="9"/>
      <c r="B226" s="164"/>
      <c r="C226" s="110"/>
      <c r="D226" s="156"/>
      <c r="E226" s="111"/>
      <c r="F226" s="112"/>
      <c r="G226" s="113"/>
      <c r="H226" s="53">
        <f t="shared" si="1"/>
        <v>0</v>
      </c>
      <c r="I226" s="115"/>
      <c r="J226" s="115"/>
      <c r="K226" s="60">
        <f t="shared" si="2"/>
        <v>0</v>
      </c>
      <c r="L226" s="117"/>
    </row>
    <row r="227" ht="15.75" customHeight="1">
      <c r="A227" s="9"/>
      <c r="B227" s="164"/>
      <c r="C227" s="110"/>
      <c r="D227" s="156"/>
      <c r="E227" s="111"/>
      <c r="F227" s="112"/>
      <c r="G227" s="113"/>
      <c r="H227" s="53">
        <f t="shared" si="1"/>
        <v>0</v>
      </c>
      <c r="I227" s="115"/>
      <c r="J227" s="115"/>
      <c r="K227" s="60">
        <f t="shared" si="2"/>
        <v>0</v>
      </c>
      <c r="L227" s="117"/>
    </row>
    <row r="228" ht="15.75" customHeight="1">
      <c r="A228" s="9"/>
      <c r="B228" s="164"/>
      <c r="C228" s="110"/>
      <c r="D228" s="156"/>
      <c r="E228" s="111"/>
      <c r="F228" s="112"/>
      <c r="G228" s="113"/>
      <c r="H228" s="53">
        <f t="shared" si="1"/>
        <v>0</v>
      </c>
      <c r="I228" s="115"/>
      <c r="J228" s="115"/>
      <c r="K228" s="60">
        <f t="shared" si="2"/>
        <v>0</v>
      </c>
      <c r="L228" s="117"/>
    </row>
    <row r="229" ht="15.75" customHeight="1">
      <c r="A229" s="9"/>
      <c r="B229" s="164"/>
      <c r="C229" s="110"/>
      <c r="D229" s="156"/>
      <c r="E229" s="111"/>
      <c r="F229" s="112"/>
      <c r="G229" s="113"/>
      <c r="H229" s="53">
        <f t="shared" si="1"/>
        <v>0</v>
      </c>
      <c r="I229" s="115"/>
      <c r="J229" s="115"/>
      <c r="K229" s="60">
        <f t="shared" si="2"/>
        <v>0</v>
      </c>
      <c r="L229" s="117"/>
    </row>
    <row r="230" ht="15.75" customHeight="1">
      <c r="A230" s="9"/>
      <c r="B230" s="164"/>
      <c r="C230" s="110"/>
      <c r="D230" s="156"/>
      <c r="E230" s="111"/>
      <c r="F230" s="112"/>
      <c r="G230" s="113"/>
      <c r="H230" s="53">
        <f t="shared" si="1"/>
        <v>0</v>
      </c>
      <c r="I230" s="115"/>
      <c r="J230" s="115"/>
      <c r="K230" s="60">
        <f t="shared" si="2"/>
        <v>0</v>
      </c>
      <c r="L230" s="117"/>
    </row>
    <row r="231" ht="15.75" customHeight="1">
      <c r="A231" s="9"/>
      <c r="B231" s="164"/>
      <c r="C231" s="110"/>
      <c r="D231" s="156"/>
      <c r="E231" s="111"/>
      <c r="F231" s="112"/>
      <c r="G231" s="113"/>
      <c r="H231" s="53">
        <f t="shared" si="1"/>
        <v>0</v>
      </c>
      <c r="I231" s="115"/>
      <c r="J231" s="115"/>
      <c r="K231" s="60">
        <f t="shared" si="2"/>
        <v>0</v>
      </c>
      <c r="L231" s="117"/>
    </row>
    <row r="232" ht="15.75" customHeight="1">
      <c r="A232" s="9"/>
      <c r="B232" s="164"/>
      <c r="C232" s="110"/>
      <c r="D232" s="156"/>
      <c r="E232" s="111"/>
      <c r="F232" s="112"/>
      <c r="G232" s="113"/>
      <c r="H232" s="53">
        <f t="shared" si="1"/>
        <v>0</v>
      </c>
      <c r="I232" s="115"/>
      <c r="J232" s="115"/>
      <c r="K232" s="60">
        <f t="shared" si="2"/>
        <v>0</v>
      </c>
      <c r="L232" s="117"/>
    </row>
    <row r="233" ht="15.75" customHeight="1">
      <c r="A233" s="9"/>
      <c r="B233" s="164"/>
      <c r="C233" s="110"/>
      <c r="D233" s="156"/>
      <c r="E233" s="111"/>
      <c r="F233" s="112"/>
      <c r="G233" s="113"/>
      <c r="H233" s="53">
        <f t="shared" si="1"/>
        <v>0</v>
      </c>
      <c r="I233" s="115"/>
      <c r="J233" s="115"/>
      <c r="K233" s="60">
        <f t="shared" si="2"/>
        <v>0</v>
      </c>
      <c r="L233" s="117"/>
    </row>
    <row r="234" ht="15.75" customHeight="1">
      <c r="A234" s="9"/>
      <c r="B234" s="164"/>
      <c r="C234" s="110"/>
      <c r="D234" s="156"/>
      <c r="E234" s="111"/>
      <c r="F234" s="112"/>
      <c r="G234" s="113"/>
      <c r="H234" s="53">
        <f t="shared" si="1"/>
        <v>0</v>
      </c>
      <c r="I234" s="115"/>
      <c r="J234" s="115"/>
      <c r="K234" s="60">
        <f t="shared" si="2"/>
        <v>0</v>
      </c>
      <c r="L234" s="117"/>
    </row>
    <row r="235" ht="15.75" customHeight="1">
      <c r="A235" s="9"/>
      <c r="B235" s="164"/>
      <c r="C235" s="110"/>
      <c r="D235" s="156"/>
      <c r="E235" s="111"/>
      <c r="F235" s="112"/>
      <c r="G235" s="113"/>
      <c r="H235" s="53">
        <f t="shared" si="1"/>
        <v>0</v>
      </c>
      <c r="I235" s="115"/>
      <c r="J235" s="115"/>
      <c r="K235" s="60">
        <f t="shared" si="2"/>
        <v>0</v>
      </c>
      <c r="L235" s="117"/>
    </row>
    <row r="236" ht="15.75" customHeight="1">
      <c r="A236" s="9"/>
      <c r="B236" s="164"/>
      <c r="C236" s="110"/>
      <c r="D236" s="156"/>
      <c r="E236" s="111"/>
      <c r="F236" s="112"/>
      <c r="G236" s="113"/>
      <c r="H236" s="53">
        <f t="shared" si="1"/>
        <v>0</v>
      </c>
      <c r="I236" s="115"/>
      <c r="J236" s="115"/>
      <c r="K236" s="60">
        <f t="shared" si="2"/>
        <v>0</v>
      </c>
      <c r="L236" s="117"/>
    </row>
    <row r="237" ht="15.75" customHeight="1">
      <c r="A237" s="9"/>
      <c r="B237" s="164"/>
      <c r="C237" s="110"/>
      <c r="D237" s="156"/>
      <c r="E237" s="111"/>
      <c r="F237" s="112"/>
      <c r="G237" s="113"/>
      <c r="H237" s="53">
        <f t="shared" si="1"/>
        <v>0</v>
      </c>
      <c r="I237" s="115"/>
      <c r="J237" s="115"/>
      <c r="K237" s="60">
        <f t="shared" si="2"/>
        <v>0</v>
      </c>
      <c r="L237" s="117"/>
    </row>
    <row r="238" ht="15.75" customHeight="1">
      <c r="A238" s="9"/>
      <c r="B238" s="164"/>
      <c r="C238" s="110"/>
      <c r="D238" s="156"/>
      <c r="E238" s="111"/>
      <c r="F238" s="112"/>
      <c r="G238" s="113"/>
      <c r="H238" s="53">
        <f t="shared" si="1"/>
        <v>0</v>
      </c>
      <c r="I238" s="115"/>
      <c r="J238" s="115"/>
      <c r="K238" s="60">
        <f t="shared" si="2"/>
        <v>0</v>
      </c>
      <c r="L238" s="117"/>
    </row>
    <row r="239" ht="15.75" customHeight="1">
      <c r="A239" s="9"/>
      <c r="B239" s="164"/>
      <c r="C239" s="110"/>
      <c r="D239" s="156"/>
      <c r="E239" s="111"/>
      <c r="F239" s="112"/>
      <c r="G239" s="113"/>
      <c r="H239" s="53">
        <f t="shared" si="1"/>
        <v>0</v>
      </c>
      <c r="I239" s="115"/>
      <c r="J239" s="115"/>
      <c r="K239" s="60">
        <f t="shared" si="2"/>
        <v>0</v>
      </c>
      <c r="L239" s="117"/>
    </row>
    <row r="240" ht="15.75" customHeight="1">
      <c r="A240" s="9"/>
      <c r="B240" s="164"/>
      <c r="C240" s="110"/>
      <c r="D240" s="156"/>
      <c r="E240" s="111"/>
      <c r="F240" s="112"/>
      <c r="G240" s="113"/>
      <c r="H240" s="53">
        <f t="shared" si="1"/>
        <v>0</v>
      </c>
      <c r="I240" s="115"/>
      <c r="J240" s="115"/>
      <c r="K240" s="60">
        <f t="shared" si="2"/>
        <v>0</v>
      </c>
      <c r="L240" s="117"/>
    </row>
    <row r="241" ht="15.75" customHeight="1">
      <c r="A241" s="9"/>
      <c r="B241" s="164"/>
      <c r="C241" s="110"/>
      <c r="D241" s="156"/>
      <c r="E241" s="111"/>
      <c r="F241" s="112"/>
      <c r="G241" s="113"/>
      <c r="H241" s="53">
        <f t="shared" si="1"/>
        <v>0</v>
      </c>
      <c r="I241" s="115"/>
      <c r="J241" s="115"/>
      <c r="K241" s="60">
        <f t="shared" si="2"/>
        <v>0</v>
      </c>
      <c r="L241" s="117"/>
    </row>
    <row r="242" ht="15.75" customHeight="1">
      <c r="A242" s="9"/>
      <c r="B242" s="164"/>
      <c r="C242" s="110"/>
      <c r="D242" s="156"/>
      <c r="E242" s="111"/>
      <c r="F242" s="112"/>
      <c r="G242" s="113"/>
      <c r="H242" s="53">
        <f t="shared" si="1"/>
        <v>0</v>
      </c>
      <c r="I242" s="115"/>
      <c r="J242" s="115"/>
      <c r="K242" s="60">
        <f t="shared" si="2"/>
        <v>0</v>
      </c>
      <c r="L242" s="117"/>
    </row>
    <row r="243" ht="15.75" customHeight="1">
      <c r="A243" s="9"/>
      <c r="B243" s="164"/>
      <c r="C243" s="110"/>
      <c r="D243" s="156"/>
      <c r="E243" s="111"/>
      <c r="F243" s="112"/>
      <c r="G243" s="113"/>
      <c r="H243" s="53">
        <f t="shared" si="1"/>
        <v>0</v>
      </c>
      <c r="I243" s="115"/>
      <c r="J243" s="115"/>
      <c r="K243" s="60">
        <f t="shared" si="2"/>
        <v>0</v>
      </c>
      <c r="L243" s="117"/>
    </row>
    <row r="244" ht="15.75" customHeight="1">
      <c r="A244" s="9"/>
      <c r="B244" s="164"/>
      <c r="C244" s="110"/>
      <c r="D244" s="156"/>
      <c r="E244" s="111"/>
      <c r="F244" s="112"/>
      <c r="G244" s="113"/>
      <c r="H244" s="53">
        <f t="shared" si="1"/>
        <v>0</v>
      </c>
      <c r="I244" s="115"/>
      <c r="J244" s="115"/>
      <c r="K244" s="60">
        <f t="shared" si="2"/>
        <v>0</v>
      </c>
      <c r="L244" s="117"/>
    </row>
    <row r="245" ht="15.75" customHeight="1">
      <c r="A245" s="9"/>
      <c r="B245" s="164"/>
      <c r="C245" s="110"/>
      <c r="D245" s="156"/>
      <c r="E245" s="111"/>
      <c r="F245" s="112"/>
      <c r="G245" s="113"/>
      <c r="H245" s="53">
        <f t="shared" si="1"/>
        <v>0</v>
      </c>
      <c r="I245" s="115"/>
      <c r="J245" s="115"/>
      <c r="K245" s="60">
        <f t="shared" si="2"/>
        <v>0</v>
      </c>
      <c r="L245" s="117"/>
    </row>
    <row r="246" ht="15.75" customHeight="1">
      <c r="A246" s="9"/>
      <c r="B246" s="164"/>
      <c r="C246" s="110"/>
      <c r="D246" s="156"/>
      <c r="E246" s="111"/>
      <c r="F246" s="112"/>
      <c r="G246" s="113"/>
      <c r="H246" s="53">
        <f t="shared" si="1"/>
        <v>0</v>
      </c>
      <c r="I246" s="115"/>
      <c r="J246" s="115"/>
      <c r="K246" s="60">
        <f t="shared" si="2"/>
        <v>0</v>
      </c>
      <c r="L246" s="117"/>
    </row>
    <row r="247" ht="15.75" customHeight="1">
      <c r="A247" s="9"/>
      <c r="B247" s="164"/>
      <c r="C247" s="110"/>
      <c r="D247" s="156"/>
      <c r="E247" s="111"/>
      <c r="F247" s="112"/>
      <c r="G247" s="113"/>
      <c r="H247" s="53">
        <f t="shared" si="1"/>
        <v>0</v>
      </c>
      <c r="I247" s="115"/>
      <c r="J247" s="115"/>
      <c r="K247" s="60">
        <f t="shared" si="2"/>
        <v>0</v>
      </c>
      <c r="L247" s="117"/>
    </row>
    <row r="248" ht="15.75" customHeight="1">
      <c r="A248" s="9"/>
      <c r="B248" s="164"/>
      <c r="C248" s="110"/>
      <c r="D248" s="156"/>
      <c r="E248" s="111"/>
      <c r="F248" s="112"/>
      <c r="G248" s="113"/>
      <c r="H248" s="53">
        <f t="shared" si="1"/>
        <v>0</v>
      </c>
      <c r="I248" s="115"/>
      <c r="J248" s="115"/>
      <c r="K248" s="60">
        <f t="shared" si="2"/>
        <v>0</v>
      </c>
      <c r="L248" s="117"/>
    </row>
    <row r="249" ht="15.75" customHeight="1">
      <c r="A249" s="9"/>
      <c r="B249" s="164"/>
      <c r="C249" s="110"/>
      <c r="D249" s="156"/>
      <c r="E249" s="111"/>
      <c r="F249" s="112"/>
      <c r="G249" s="113"/>
      <c r="H249" s="53">
        <f t="shared" si="1"/>
        <v>0</v>
      </c>
      <c r="I249" s="115"/>
      <c r="J249" s="115"/>
      <c r="K249" s="60">
        <f t="shared" si="2"/>
        <v>0</v>
      </c>
      <c r="L249" s="117"/>
    </row>
    <row r="250" ht="15.75" customHeight="1">
      <c r="A250" s="9"/>
      <c r="B250" s="164"/>
      <c r="C250" s="110"/>
      <c r="D250" s="156"/>
      <c r="E250" s="111"/>
      <c r="F250" s="112"/>
      <c r="G250" s="113"/>
      <c r="H250" s="53">
        <f t="shared" si="1"/>
        <v>0</v>
      </c>
      <c r="I250" s="115"/>
      <c r="J250" s="115"/>
      <c r="K250" s="60">
        <f t="shared" si="2"/>
        <v>0</v>
      </c>
      <c r="L250" s="117"/>
    </row>
    <row r="251" ht="15.75" customHeight="1">
      <c r="A251" s="9"/>
      <c r="B251" s="164"/>
      <c r="C251" s="110"/>
      <c r="D251" s="156"/>
      <c r="E251" s="111"/>
      <c r="F251" s="112"/>
      <c r="G251" s="113"/>
      <c r="H251" s="53">
        <f t="shared" si="1"/>
        <v>0</v>
      </c>
      <c r="I251" s="115"/>
      <c r="J251" s="115"/>
      <c r="K251" s="60">
        <f t="shared" si="2"/>
        <v>0</v>
      </c>
      <c r="L251" s="117"/>
    </row>
    <row r="252" ht="15.75" customHeight="1">
      <c r="A252" s="9"/>
      <c r="B252" s="164"/>
      <c r="C252" s="110"/>
      <c r="D252" s="156"/>
      <c r="E252" s="111"/>
      <c r="F252" s="112"/>
      <c r="G252" s="113"/>
      <c r="H252" s="53">
        <f t="shared" si="1"/>
        <v>0</v>
      </c>
      <c r="I252" s="115"/>
      <c r="J252" s="115"/>
      <c r="K252" s="60">
        <f t="shared" si="2"/>
        <v>0</v>
      </c>
      <c r="L252" s="117"/>
    </row>
    <row r="253" ht="15.75" customHeight="1">
      <c r="A253" s="9"/>
      <c r="B253" s="164"/>
      <c r="C253" s="110"/>
      <c r="D253" s="156"/>
      <c r="E253" s="111"/>
      <c r="F253" s="112"/>
      <c r="G253" s="113"/>
      <c r="H253" s="53">
        <f t="shared" si="1"/>
        <v>0</v>
      </c>
      <c r="I253" s="115"/>
      <c r="J253" s="115"/>
      <c r="K253" s="60">
        <f t="shared" si="2"/>
        <v>0</v>
      </c>
      <c r="L253" s="117"/>
    </row>
    <row r="254" ht="15.75" customHeight="1">
      <c r="A254" s="9"/>
      <c r="B254" s="164"/>
      <c r="C254" s="110"/>
      <c r="D254" s="156"/>
      <c r="E254" s="111"/>
      <c r="F254" s="112"/>
      <c r="G254" s="113"/>
      <c r="H254" s="53">
        <f t="shared" si="1"/>
        <v>0</v>
      </c>
      <c r="I254" s="115"/>
      <c r="J254" s="115"/>
      <c r="K254" s="60">
        <f t="shared" si="2"/>
        <v>0</v>
      </c>
      <c r="L254" s="117"/>
    </row>
    <row r="255" ht="15.75" customHeight="1">
      <c r="A255" s="9"/>
      <c r="B255" s="164"/>
      <c r="C255" s="110"/>
      <c r="D255" s="156"/>
      <c r="E255" s="111"/>
      <c r="F255" s="112"/>
      <c r="G255" s="113"/>
      <c r="H255" s="53">
        <f t="shared" si="1"/>
        <v>0</v>
      </c>
      <c r="I255" s="115"/>
      <c r="J255" s="115"/>
      <c r="K255" s="60">
        <f t="shared" si="2"/>
        <v>0</v>
      </c>
      <c r="L255" s="117"/>
    </row>
    <row r="256" ht="15.75" customHeight="1">
      <c r="A256" s="9"/>
      <c r="B256" s="164"/>
      <c r="C256" s="110"/>
      <c r="D256" s="156"/>
      <c r="E256" s="111"/>
      <c r="F256" s="112"/>
      <c r="G256" s="113"/>
      <c r="H256" s="53">
        <f t="shared" si="1"/>
        <v>0</v>
      </c>
      <c r="I256" s="115"/>
      <c r="J256" s="115"/>
      <c r="K256" s="60">
        <f t="shared" si="2"/>
        <v>0</v>
      </c>
      <c r="L256" s="117"/>
    </row>
    <row r="257" ht="15.75" customHeight="1">
      <c r="A257" s="9"/>
      <c r="B257" s="164"/>
      <c r="C257" s="110"/>
      <c r="D257" s="156"/>
      <c r="E257" s="111"/>
      <c r="F257" s="112"/>
      <c r="G257" s="113"/>
      <c r="H257" s="53">
        <f t="shared" si="1"/>
        <v>0</v>
      </c>
      <c r="I257" s="115"/>
      <c r="J257" s="115"/>
      <c r="K257" s="60">
        <f t="shared" si="2"/>
        <v>0</v>
      </c>
      <c r="L257" s="117"/>
    </row>
    <row r="258" ht="15.75" customHeight="1">
      <c r="A258" s="9"/>
      <c r="B258" s="164"/>
      <c r="C258" s="110"/>
      <c r="D258" s="156"/>
      <c r="E258" s="111"/>
      <c r="F258" s="112"/>
      <c r="G258" s="113"/>
      <c r="H258" s="53">
        <f t="shared" si="1"/>
        <v>0</v>
      </c>
      <c r="I258" s="115"/>
      <c r="J258" s="115"/>
      <c r="K258" s="60">
        <f t="shared" si="2"/>
        <v>0</v>
      </c>
      <c r="L258" s="117"/>
    </row>
    <row r="259" ht="15.75" customHeight="1">
      <c r="A259" s="9"/>
      <c r="B259" s="164"/>
      <c r="C259" s="110"/>
      <c r="D259" s="156"/>
      <c r="E259" s="111"/>
      <c r="F259" s="112"/>
      <c r="G259" s="113"/>
      <c r="H259" s="53">
        <f t="shared" si="1"/>
        <v>0</v>
      </c>
      <c r="I259" s="115"/>
      <c r="J259" s="115"/>
      <c r="K259" s="60">
        <f t="shared" si="2"/>
        <v>0</v>
      </c>
      <c r="L259" s="117"/>
    </row>
    <row r="260" ht="15.75" customHeight="1">
      <c r="A260" s="9"/>
      <c r="B260" s="164"/>
      <c r="C260" s="110"/>
      <c r="D260" s="156"/>
      <c r="E260" s="111"/>
      <c r="F260" s="112"/>
      <c r="G260" s="113"/>
      <c r="H260" s="53">
        <f t="shared" si="1"/>
        <v>0</v>
      </c>
      <c r="I260" s="115"/>
      <c r="J260" s="115"/>
      <c r="K260" s="60">
        <f t="shared" si="2"/>
        <v>0</v>
      </c>
      <c r="L260" s="117"/>
    </row>
    <row r="261" ht="15.75" customHeight="1">
      <c r="A261" s="9"/>
      <c r="B261" s="164"/>
      <c r="C261" s="110"/>
      <c r="D261" s="156"/>
      <c r="E261" s="111"/>
      <c r="F261" s="112"/>
      <c r="G261" s="113"/>
      <c r="H261" s="53">
        <f t="shared" si="1"/>
        <v>0</v>
      </c>
      <c r="I261" s="115"/>
      <c r="J261" s="115"/>
      <c r="K261" s="60">
        <f t="shared" si="2"/>
        <v>0</v>
      </c>
      <c r="L261" s="117"/>
    </row>
    <row r="262" ht="15.75" customHeight="1">
      <c r="A262" s="9"/>
      <c r="B262" s="164"/>
      <c r="C262" s="110"/>
      <c r="D262" s="156"/>
      <c r="E262" s="111"/>
      <c r="F262" s="112"/>
      <c r="G262" s="113"/>
      <c r="H262" s="53">
        <f t="shared" si="1"/>
        <v>0</v>
      </c>
      <c r="I262" s="115"/>
      <c r="J262" s="115"/>
      <c r="K262" s="60">
        <f t="shared" si="2"/>
        <v>0</v>
      </c>
      <c r="L262" s="117"/>
    </row>
    <row r="263" ht="15.75" customHeight="1">
      <c r="A263" s="9"/>
      <c r="B263" s="164"/>
      <c r="C263" s="110"/>
      <c r="D263" s="156"/>
      <c r="E263" s="111"/>
      <c r="F263" s="112"/>
      <c r="G263" s="113"/>
      <c r="H263" s="53">
        <f t="shared" si="1"/>
        <v>0</v>
      </c>
      <c r="I263" s="115"/>
      <c r="J263" s="115"/>
      <c r="K263" s="60">
        <f t="shared" si="2"/>
        <v>0</v>
      </c>
      <c r="L263" s="117"/>
    </row>
    <row r="264" ht="15.75" customHeight="1">
      <c r="A264" s="9"/>
      <c r="B264" s="164"/>
      <c r="C264" s="110"/>
      <c r="D264" s="156"/>
      <c r="E264" s="111"/>
      <c r="F264" s="112"/>
      <c r="G264" s="113"/>
      <c r="H264" s="53">
        <f t="shared" si="1"/>
        <v>0</v>
      </c>
      <c r="I264" s="115"/>
      <c r="J264" s="115"/>
      <c r="K264" s="60">
        <f t="shared" si="2"/>
        <v>0</v>
      </c>
      <c r="L264" s="117"/>
    </row>
    <row r="265" ht="15.75" customHeight="1">
      <c r="A265" s="9"/>
      <c r="B265" s="164"/>
      <c r="C265" s="110"/>
      <c r="D265" s="156"/>
      <c r="E265" s="111"/>
      <c r="F265" s="112"/>
      <c r="G265" s="113"/>
      <c r="H265" s="53">
        <f t="shared" si="1"/>
        <v>0</v>
      </c>
      <c r="I265" s="115"/>
      <c r="J265" s="115"/>
      <c r="K265" s="60">
        <f t="shared" si="2"/>
        <v>0</v>
      </c>
      <c r="L265" s="117"/>
    </row>
    <row r="266" ht="15.75" customHeight="1">
      <c r="A266" s="9"/>
      <c r="B266" s="164"/>
      <c r="C266" s="110"/>
      <c r="D266" s="156"/>
      <c r="E266" s="111"/>
      <c r="F266" s="112"/>
      <c r="G266" s="113"/>
      <c r="H266" s="53">
        <f t="shared" si="1"/>
        <v>0</v>
      </c>
      <c r="I266" s="115"/>
      <c r="J266" s="115"/>
      <c r="K266" s="60">
        <f t="shared" si="2"/>
        <v>0</v>
      </c>
      <c r="L266" s="117"/>
    </row>
    <row r="267" ht="15.75" customHeight="1">
      <c r="A267" s="9"/>
      <c r="B267" s="164"/>
      <c r="C267" s="110"/>
      <c r="D267" s="156"/>
      <c r="E267" s="111"/>
      <c r="F267" s="112"/>
      <c r="G267" s="113"/>
      <c r="H267" s="53">
        <f t="shared" si="1"/>
        <v>0</v>
      </c>
      <c r="I267" s="115"/>
      <c r="J267" s="115"/>
      <c r="K267" s="60">
        <f t="shared" si="2"/>
        <v>0</v>
      </c>
      <c r="L267" s="117"/>
    </row>
    <row r="268" ht="15.75" customHeight="1">
      <c r="A268" s="9"/>
      <c r="B268" s="164"/>
      <c r="C268" s="110"/>
      <c r="D268" s="156"/>
      <c r="E268" s="111"/>
      <c r="F268" s="112"/>
      <c r="G268" s="113"/>
      <c r="H268" s="53">
        <f t="shared" si="1"/>
        <v>0</v>
      </c>
      <c r="I268" s="115"/>
      <c r="J268" s="115"/>
      <c r="K268" s="60">
        <f t="shared" si="2"/>
        <v>0</v>
      </c>
      <c r="L268" s="117"/>
    </row>
    <row r="269" ht="15.75" customHeight="1">
      <c r="A269" s="9"/>
      <c r="B269" s="164"/>
      <c r="C269" s="110"/>
      <c r="D269" s="156"/>
      <c r="E269" s="111"/>
      <c r="F269" s="112"/>
      <c r="G269" s="113"/>
      <c r="H269" s="53">
        <f t="shared" si="1"/>
        <v>0</v>
      </c>
      <c r="I269" s="115"/>
      <c r="J269" s="115"/>
      <c r="K269" s="60">
        <f t="shared" si="2"/>
        <v>0</v>
      </c>
      <c r="L269" s="117"/>
    </row>
    <row r="270" ht="15.75" customHeight="1">
      <c r="A270" s="9"/>
      <c r="B270" s="164"/>
      <c r="C270" s="110"/>
      <c r="D270" s="156"/>
      <c r="E270" s="111"/>
      <c r="F270" s="112"/>
      <c r="G270" s="113"/>
      <c r="H270" s="53">
        <f t="shared" si="1"/>
        <v>0</v>
      </c>
      <c r="I270" s="115"/>
      <c r="J270" s="115"/>
      <c r="K270" s="60">
        <f t="shared" si="2"/>
        <v>0</v>
      </c>
      <c r="L270" s="117"/>
    </row>
    <row r="271" ht="15.75" customHeight="1">
      <c r="A271" s="9"/>
      <c r="B271" s="164"/>
      <c r="C271" s="110"/>
      <c r="D271" s="156"/>
      <c r="E271" s="111"/>
      <c r="F271" s="112"/>
      <c r="G271" s="113"/>
      <c r="H271" s="53">
        <f t="shared" si="1"/>
        <v>0</v>
      </c>
      <c r="I271" s="115"/>
      <c r="J271" s="115"/>
      <c r="K271" s="60">
        <f t="shared" si="2"/>
        <v>0</v>
      </c>
      <c r="L271" s="117"/>
    </row>
    <row r="272" ht="15.75" customHeight="1">
      <c r="A272" s="9"/>
      <c r="B272" s="164"/>
      <c r="C272" s="110"/>
      <c r="D272" s="156"/>
      <c r="E272" s="111"/>
      <c r="F272" s="112"/>
      <c r="G272" s="113"/>
      <c r="H272" s="53">
        <f t="shared" si="1"/>
        <v>0</v>
      </c>
      <c r="I272" s="115"/>
      <c r="J272" s="115"/>
      <c r="K272" s="60">
        <f t="shared" si="2"/>
        <v>0</v>
      </c>
      <c r="L272" s="117"/>
    </row>
    <row r="273" ht="15.75" customHeight="1">
      <c r="A273" s="9"/>
      <c r="B273" s="164"/>
      <c r="C273" s="110"/>
      <c r="D273" s="156"/>
      <c r="E273" s="111"/>
      <c r="F273" s="112"/>
      <c r="G273" s="113"/>
      <c r="H273" s="53">
        <f t="shared" si="1"/>
        <v>0</v>
      </c>
      <c r="I273" s="115"/>
      <c r="J273" s="115"/>
      <c r="K273" s="60">
        <f t="shared" si="2"/>
        <v>0</v>
      </c>
      <c r="L273" s="117"/>
    </row>
    <row r="274" ht="15.75" customHeight="1">
      <c r="A274" s="9"/>
      <c r="B274" s="164"/>
      <c r="C274" s="110"/>
      <c r="D274" s="156"/>
      <c r="E274" s="111"/>
      <c r="F274" s="112"/>
      <c r="G274" s="113"/>
      <c r="H274" s="53">
        <f t="shared" si="1"/>
        <v>0</v>
      </c>
      <c r="I274" s="115"/>
      <c r="J274" s="115"/>
      <c r="K274" s="60">
        <f t="shared" si="2"/>
        <v>0</v>
      </c>
      <c r="L274" s="117"/>
    </row>
    <row r="275" ht="15.75" customHeight="1">
      <c r="A275" s="9"/>
      <c r="B275" s="164"/>
      <c r="C275" s="110"/>
      <c r="D275" s="156"/>
      <c r="E275" s="111"/>
      <c r="F275" s="112"/>
      <c r="G275" s="113"/>
      <c r="H275" s="53">
        <f t="shared" si="1"/>
        <v>0</v>
      </c>
      <c r="I275" s="115"/>
      <c r="J275" s="115"/>
      <c r="K275" s="60">
        <f t="shared" si="2"/>
        <v>0</v>
      </c>
      <c r="L275" s="117"/>
    </row>
    <row r="276" ht="15.75" customHeight="1">
      <c r="A276" s="9"/>
      <c r="B276" s="164"/>
      <c r="C276" s="110"/>
      <c r="D276" s="156"/>
      <c r="E276" s="111"/>
      <c r="F276" s="112"/>
      <c r="G276" s="113"/>
      <c r="H276" s="53">
        <f t="shared" si="1"/>
        <v>0</v>
      </c>
      <c r="I276" s="115"/>
      <c r="J276" s="115"/>
      <c r="K276" s="60">
        <f t="shared" si="2"/>
        <v>0</v>
      </c>
      <c r="L276" s="117"/>
    </row>
    <row r="277" ht="15.75" customHeight="1">
      <c r="A277" s="9"/>
      <c r="B277" s="164"/>
      <c r="C277" s="110"/>
      <c r="D277" s="156"/>
      <c r="E277" s="111"/>
      <c r="F277" s="112"/>
      <c r="G277" s="113"/>
      <c r="H277" s="53">
        <f t="shared" si="1"/>
        <v>0</v>
      </c>
      <c r="I277" s="115"/>
      <c r="J277" s="115"/>
      <c r="K277" s="60">
        <f t="shared" si="2"/>
        <v>0</v>
      </c>
      <c r="L277" s="117"/>
    </row>
    <row r="278" ht="15.75" customHeight="1">
      <c r="A278" s="9"/>
      <c r="B278" s="164"/>
      <c r="C278" s="110"/>
      <c r="D278" s="156"/>
      <c r="E278" s="111"/>
      <c r="F278" s="112"/>
      <c r="G278" s="113"/>
      <c r="H278" s="53">
        <f t="shared" si="1"/>
        <v>0</v>
      </c>
      <c r="I278" s="115"/>
      <c r="J278" s="115"/>
      <c r="K278" s="60">
        <f t="shared" si="2"/>
        <v>0</v>
      </c>
      <c r="L278" s="117"/>
    </row>
    <row r="279" ht="15.75" customHeight="1">
      <c r="A279" s="9"/>
      <c r="B279" s="164"/>
      <c r="C279" s="110"/>
      <c r="D279" s="156"/>
      <c r="E279" s="111"/>
      <c r="F279" s="112"/>
      <c r="G279" s="113"/>
      <c r="H279" s="53">
        <f t="shared" si="1"/>
        <v>0</v>
      </c>
      <c r="I279" s="115"/>
      <c r="J279" s="115"/>
      <c r="K279" s="60">
        <f t="shared" si="2"/>
        <v>0</v>
      </c>
      <c r="L279" s="117"/>
    </row>
    <row r="280" ht="15.75" customHeight="1">
      <c r="A280" s="9"/>
      <c r="B280" s="164"/>
      <c r="C280" s="110"/>
      <c r="D280" s="156"/>
      <c r="E280" s="111"/>
      <c r="F280" s="112"/>
      <c r="G280" s="113"/>
      <c r="H280" s="53">
        <f t="shared" si="1"/>
        <v>0</v>
      </c>
      <c r="I280" s="115"/>
      <c r="J280" s="115"/>
      <c r="K280" s="60">
        <f t="shared" si="2"/>
        <v>0</v>
      </c>
      <c r="L280" s="117"/>
    </row>
    <row r="281" ht="15.75" customHeight="1">
      <c r="A281" s="9"/>
      <c r="B281" s="164"/>
      <c r="C281" s="110"/>
      <c r="D281" s="156"/>
      <c r="E281" s="111"/>
      <c r="F281" s="112"/>
      <c r="G281" s="113"/>
      <c r="H281" s="53">
        <f t="shared" si="1"/>
        <v>0</v>
      </c>
      <c r="I281" s="115"/>
      <c r="J281" s="115"/>
      <c r="K281" s="60">
        <f t="shared" si="2"/>
        <v>0</v>
      </c>
      <c r="L281" s="117"/>
    </row>
    <row r="282" ht="15.75" customHeight="1">
      <c r="A282" s="9"/>
      <c r="B282" s="164"/>
      <c r="C282" s="110"/>
      <c r="D282" s="156"/>
      <c r="E282" s="111"/>
      <c r="F282" s="112"/>
      <c r="G282" s="113"/>
      <c r="H282" s="53">
        <f t="shared" si="1"/>
        <v>0</v>
      </c>
      <c r="I282" s="115"/>
      <c r="J282" s="115"/>
      <c r="K282" s="60">
        <f t="shared" si="2"/>
        <v>0</v>
      </c>
      <c r="L282" s="117"/>
    </row>
    <row r="283" ht="15.75" customHeight="1">
      <c r="A283" s="9"/>
      <c r="B283" s="164"/>
      <c r="C283" s="110"/>
      <c r="D283" s="156"/>
      <c r="E283" s="111"/>
      <c r="F283" s="112"/>
      <c r="G283" s="113"/>
      <c r="H283" s="53">
        <f t="shared" si="1"/>
        <v>0</v>
      </c>
      <c r="I283" s="115"/>
      <c r="J283" s="115"/>
      <c r="K283" s="60">
        <f t="shared" si="2"/>
        <v>0</v>
      </c>
      <c r="L283" s="117"/>
    </row>
    <row r="284" ht="15.75" customHeight="1">
      <c r="A284" s="9"/>
      <c r="B284" s="164"/>
      <c r="C284" s="110"/>
      <c r="D284" s="156"/>
      <c r="E284" s="111"/>
      <c r="F284" s="112"/>
      <c r="G284" s="113"/>
      <c r="H284" s="53">
        <f t="shared" si="1"/>
        <v>0</v>
      </c>
      <c r="I284" s="115"/>
      <c r="J284" s="115"/>
      <c r="K284" s="60">
        <f t="shared" si="2"/>
        <v>0</v>
      </c>
      <c r="L284" s="117"/>
    </row>
    <row r="285" ht="15.75" customHeight="1">
      <c r="A285" s="9"/>
      <c r="B285" s="164"/>
      <c r="C285" s="110"/>
      <c r="D285" s="156"/>
      <c r="E285" s="111"/>
      <c r="F285" s="112"/>
      <c r="G285" s="113"/>
      <c r="H285" s="53">
        <f t="shared" si="1"/>
        <v>0</v>
      </c>
      <c r="I285" s="115"/>
      <c r="J285" s="115"/>
      <c r="K285" s="60">
        <f t="shared" si="2"/>
        <v>0</v>
      </c>
      <c r="L285" s="117"/>
    </row>
    <row r="286" ht="15.75" customHeight="1">
      <c r="A286" s="9"/>
      <c r="B286" s="164"/>
      <c r="C286" s="110"/>
      <c r="D286" s="156"/>
      <c r="E286" s="111"/>
      <c r="F286" s="112"/>
      <c r="G286" s="113"/>
      <c r="H286" s="53">
        <f t="shared" si="1"/>
        <v>0</v>
      </c>
      <c r="I286" s="115"/>
      <c r="J286" s="115"/>
      <c r="K286" s="60">
        <f t="shared" si="2"/>
        <v>0</v>
      </c>
      <c r="L286" s="117"/>
    </row>
    <row r="287" ht="15.75" customHeight="1">
      <c r="A287" s="9"/>
      <c r="B287" s="164"/>
      <c r="C287" s="110"/>
      <c r="D287" s="156"/>
      <c r="E287" s="111"/>
      <c r="F287" s="112"/>
      <c r="G287" s="113"/>
      <c r="H287" s="53">
        <f t="shared" si="1"/>
        <v>0</v>
      </c>
      <c r="I287" s="115"/>
      <c r="J287" s="115"/>
      <c r="K287" s="60">
        <f t="shared" si="2"/>
        <v>0</v>
      </c>
      <c r="L287" s="117"/>
    </row>
    <row r="288" ht="15.75" customHeight="1">
      <c r="A288" s="9"/>
      <c r="B288" s="164"/>
      <c r="C288" s="110"/>
      <c r="D288" s="156"/>
      <c r="E288" s="111"/>
      <c r="F288" s="112"/>
      <c r="G288" s="113"/>
      <c r="H288" s="53">
        <f t="shared" si="1"/>
        <v>0</v>
      </c>
      <c r="I288" s="115"/>
      <c r="J288" s="115"/>
      <c r="K288" s="60">
        <f t="shared" si="2"/>
        <v>0</v>
      </c>
      <c r="L288" s="117"/>
    </row>
    <row r="289" ht="15.75" customHeight="1">
      <c r="A289" s="9"/>
      <c r="B289" s="164"/>
      <c r="C289" s="110"/>
      <c r="D289" s="156"/>
      <c r="E289" s="111"/>
      <c r="F289" s="112"/>
      <c r="G289" s="113"/>
      <c r="H289" s="53">
        <f t="shared" si="1"/>
        <v>0</v>
      </c>
      <c r="I289" s="115"/>
      <c r="J289" s="115"/>
      <c r="K289" s="60">
        <f t="shared" si="2"/>
        <v>0</v>
      </c>
      <c r="L289" s="117"/>
    </row>
    <row r="290" ht="15.75" customHeight="1">
      <c r="A290" s="9"/>
      <c r="B290" s="164"/>
      <c r="C290" s="110"/>
      <c r="D290" s="156"/>
      <c r="E290" s="111"/>
      <c r="F290" s="112"/>
      <c r="G290" s="113"/>
      <c r="H290" s="53">
        <f t="shared" si="1"/>
        <v>0</v>
      </c>
      <c r="I290" s="115"/>
      <c r="J290" s="115"/>
      <c r="K290" s="60">
        <f t="shared" si="2"/>
        <v>0</v>
      </c>
      <c r="L290" s="117"/>
    </row>
    <row r="291" ht="15.75" customHeight="1">
      <c r="A291" s="9"/>
      <c r="B291" s="164"/>
      <c r="C291" s="110"/>
      <c r="D291" s="156"/>
      <c r="E291" s="111"/>
      <c r="F291" s="112"/>
      <c r="G291" s="113"/>
      <c r="H291" s="53">
        <f t="shared" si="1"/>
        <v>0</v>
      </c>
      <c r="I291" s="115"/>
      <c r="J291" s="115"/>
      <c r="K291" s="60">
        <f t="shared" si="2"/>
        <v>0</v>
      </c>
      <c r="L291" s="117"/>
    </row>
    <row r="292" ht="15.75" customHeight="1">
      <c r="A292" s="9"/>
      <c r="B292" s="164"/>
      <c r="C292" s="110"/>
      <c r="D292" s="156"/>
      <c r="E292" s="111"/>
      <c r="F292" s="112"/>
      <c r="G292" s="113"/>
      <c r="H292" s="53">
        <f t="shared" si="1"/>
        <v>0</v>
      </c>
      <c r="I292" s="115"/>
      <c r="J292" s="115"/>
      <c r="K292" s="60">
        <f t="shared" si="2"/>
        <v>0</v>
      </c>
      <c r="L292" s="117"/>
    </row>
    <row r="293" ht="15.75" customHeight="1">
      <c r="A293" s="9"/>
      <c r="B293" s="164"/>
      <c r="C293" s="110"/>
      <c r="D293" s="156"/>
      <c r="E293" s="111"/>
      <c r="F293" s="112"/>
      <c r="G293" s="113"/>
      <c r="H293" s="53">
        <f t="shared" si="1"/>
        <v>0</v>
      </c>
      <c r="I293" s="115"/>
      <c r="J293" s="115"/>
      <c r="K293" s="60">
        <f t="shared" si="2"/>
        <v>0</v>
      </c>
      <c r="L293" s="117"/>
    </row>
    <row r="294" ht="15.75" customHeight="1">
      <c r="A294" s="9"/>
      <c r="B294" s="164"/>
      <c r="C294" s="110"/>
      <c r="D294" s="156"/>
      <c r="E294" s="111"/>
      <c r="F294" s="112"/>
      <c r="G294" s="113"/>
      <c r="H294" s="53">
        <f t="shared" si="1"/>
        <v>0</v>
      </c>
      <c r="I294" s="115"/>
      <c r="J294" s="115"/>
      <c r="K294" s="60">
        <f t="shared" si="2"/>
        <v>0</v>
      </c>
      <c r="L294" s="117"/>
    </row>
    <row r="295" ht="15.75" customHeight="1">
      <c r="A295" s="9"/>
      <c r="B295" s="164"/>
      <c r="C295" s="110"/>
      <c r="D295" s="156"/>
      <c r="E295" s="111"/>
      <c r="F295" s="112"/>
      <c r="G295" s="113"/>
      <c r="H295" s="53">
        <f t="shared" si="1"/>
        <v>0</v>
      </c>
      <c r="I295" s="115"/>
      <c r="J295" s="115"/>
      <c r="K295" s="60">
        <f t="shared" si="2"/>
        <v>0</v>
      </c>
      <c r="L295" s="117"/>
    </row>
    <row r="296" ht="15.75" customHeight="1">
      <c r="A296" s="9"/>
      <c r="B296" s="164"/>
      <c r="C296" s="110"/>
      <c r="D296" s="156"/>
      <c r="E296" s="111"/>
      <c r="F296" s="112"/>
      <c r="G296" s="113"/>
      <c r="H296" s="53">
        <f t="shared" si="1"/>
        <v>0</v>
      </c>
      <c r="I296" s="115"/>
      <c r="J296" s="115"/>
      <c r="K296" s="60">
        <f t="shared" si="2"/>
        <v>0</v>
      </c>
      <c r="L296" s="117"/>
    </row>
    <row r="297" ht="15.75" customHeight="1">
      <c r="A297" s="9"/>
      <c r="B297" s="164"/>
      <c r="C297" s="110"/>
      <c r="D297" s="156"/>
      <c r="E297" s="111"/>
      <c r="F297" s="112"/>
      <c r="G297" s="113"/>
      <c r="H297" s="53">
        <f t="shared" si="1"/>
        <v>0</v>
      </c>
      <c r="I297" s="115"/>
      <c r="J297" s="115"/>
      <c r="K297" s="60">
        <f t="shared" si="2"/>
        <v>0</v>
      </c>
      <c r="L297" s="117"/>
    </row>
    <row r="298" ht="15.75" customHeight="1">
      <c r="A298" s="9"/>
      <c r="B298" s="164"/>
      <c r="C298" s="110"/>
      <c r="D298" s="156"/>
      <c r="E298" s="111"/>
      <c r="F298" s="112"/>
      <c r="G298" s="113"/>
      <c r="H298" s="53">
        <f t="shared" si="1"/>
        <v>0</v>
      </c>
      <c r="I298" s="115"/>
      <c r="J298" s="115"/>
      <c r="K298" s="60">
        <f t="shared" si="2"/>
        <v>0</v>
      </c>
      <c r="L298" s="117"/>
    </row>
    <row r="299" ht="15.75" customHeight="1">
      <c r="A299" s="9"/>
      <c r="B299" s="164"/>
      <c r="C299" s="110"/>
      <c r="D299" s="156"/>
      <c r="E299" s="111"/>
      <c r="F299" s="112"/>
      <c r="G299" s="113"/>
      <c r="H299" s="53">
        <f t="shared" si="1"/>
        <v>0</v>
      </c>
      <c r="I299" s="115"/>
      <c r="J299" s="115"/>
      <c r="K299" s="60">
        <f t="shared" si="2"/>
        <v>0</v>
      </c>
      <c r="L299" s="117"/>
    </row>
    <row r="300" ht="15.75" customHeight="1">
      <c r="A300" s="9"/>
      <c r="B300" s="164"/>
      <c r="C300" s="110"/>
      <c r="D300" s="156"/>
      <c r="E300" s="111"/>
      <c r="F300" s="112"/>
      <c r="G300" s="113"/>
      <c r="H300" s="53">
        <f t="shared" si="1"/>
        <v>0</v>
      </c>
      <c r="I300" s="115"/>
      <c r="J300" s="115"/>
      <c r="K300" s="60">
        <f t="shared" si="2"/>
        <v>0</v>
      </c>
      <c r="L300" s="117"/>
    </row>
    <row r="301" ht="15.75" customHeight="1">
      <c r="A301" s="9"/>
      <c r="B301" s="164"/>
      <c r="C301" s="110"/>
      <c r="D301" s="156"/>
      <c r="E301" s="111"/>
      <c r="F301" s="112"/>
      <c r="G301" s="113"/>
      <c r="H301" s="53">
        <f t="shared" si="1"/>
        <v>0</v>
      </c>
      <c r="I301" s="115"/>
      <c r="J301" s="115"/>
      <c r="K301" s="60">
        <f t="shared" si="2"/>
        <v>0</v>
      </c>
      <c r="L301" s="117"/>
    </row>
    <row r="302" ht="15.75" customHeight="1">
      <c r="A302" s="9"/>
      <c r="B302" s="164"/>
      <c r="C302" s="110"/>
      <c r="D302" s="156"/>
      <c r="E302" s="111"/>
      <c r="F302" s="112"/>
      <c r="G302" s="113"/>
      <c r="H302" s="53">
        <f t="shared" si="1"/>
        <v>0</v>
      </c>
      <c r="I302" s="115"/>
      <c r="J302" s="115"/>
      <c r="K302" s="60">
        <f t="shared" si="2"/>
        <v>0</v>
      </c>
      <c r="L302" s="117"/>
    </row>
    <row r="303" ht="15.75" customHeight="1">
      <c r="A303" s="9"/>
      <c r="B303" s="164"/>
      <c r="C303" s="110"/>
      <c r="D303" s="156"/>
      <c r="E303" s="111"/>
      <c r="F303" s="112"/>
      <c r="G303" s="113"/>
      <c r="H303" s="53">
        <f t="shared" si="1"/>
        <v>0</v>
      </c>
      <c r="I303" s="115"/>
      <c r="J303" s="115"/>
      <c r="K303" s="60">
        <f t="shared" si="2"/>
        <v>0</v>
      </c>
      <c r="L303" s="117"/>
    </row>
    <row r="304" ht="15.75" customHeight="1">
      <c r="A304" s="9"/>
      <c r="B304" s="164"/>
      <c r="C304" s="110"/>
      <c r="D304" s="156"/>
      <c r="E304" s="111"/>
      <c r="F304" s="112"/>
      <c r="G304" s="113"/>
      <c r="H304" s="53">
        <f t="shared" si="1"/>
        <v>0</v>
      </c>
      <c r="I304" s="115"/>
      <c r="J304" s="115"/>
      <c r="K304" s="60">
        <f t="shared" si="2"/>
        <v>0</v>
      </c>
      <c r="L304" s="117"/>
    </row>
    <row r="305" ht="15.75" customHeight="1">
      <c r="A305" s="9"/>
      <c r="B305" s="164"/>
      <c r="C305" s="110"/>
      <c r="D305" s="156"/>
      <c r="E305" s="111"/>
      <c r="F305" s="112"/>
      <c r="G305" s="113"/>
      <c r="H305" s="53">
        <f t="shared" si="1"/>
        <v>0</v>
      </c>
      <c r="I305" s="115"/>
      <c r="J305" s="115"/>
      <c r="K305" s="60">
        <f t="shared" si="2"/>
        <v>0</v>
      </c>
      <c r="L305" s="117"/>
    </row>
    <row r="306" ht="15.75" customHeight="1">
      <c r="A306" s="9"/>
      <c r="B306" s="164"/>
      <c r="C306" s="110"/>
      <c r="D306" s="156"/>
      <c r="E306" s="111"/>
      <c r="F306" s="112"/>
      <c r="G306" s="113"/>
      <c r="H306" s="53">
        <f t="shared" si="1"/>
        <v>0</v>
      </c>
      <c r="I306" s="115"/>
      <c r="J306" s="115"/>
      <c r="K306" s="60">
        <f t="shared" si="2"/>
        <v>0</v>
      </c>
      <c r="L306" s="117"/>
    </row>
    <row r="307" ht="15.75" customHeight="1">
      <c r="A307" s="9"/>
      <c r="B307" s="164"/>
      <c r="C307" s="110"/>
      <c r="D307" s="156"/>
      <c r="E307" s="111"/>
      <c r="F307" s="112"/>
      <c r="G307" s="113"/>
      <c r="H307" s="53">
        <f t="shared" si="1"/>
        <v>0</v>
      </c>
      <c r="I307" s="115"/>
      <c r="J307" s="115"/>
      <c r="K307" s="60">
        <f t="shared" si="2"/>
        <v>0</v>
      </c>
      <c r="L307" s="117"/>
    </row>
    <row r="308" ht="15.75" customHeight="1">
      <c r="A308" s="9"/>
      <c r="B308" s="164"/>
      <c r="C308" s="110"/>
      <c r="D308" s="156"/>
      <c r="E308" s="111"/>
      <c r="F308" s="112"/>
      <c r="G308" s="113"/>
      <c r="H308" s="53">
        <f t="shared" si="1"/>
        <v>0</v>
      </c>
      <c r="I308" s="115"/>
      <c r="J308" s="115"/>
      <c r="K308" s="60">
        <f t="shared" si="2"/>
        <v>0</v>
      </c>
      <c r="L308" s="117"/>
    </row>
    <row r="309" ht="15.75" customHeight="1">
      <c r="A309" s="9"/>
      <c r="B309" s="164"/>
      <c r="C309" s="110"/>
      <c r="D309" s="156"/>
      <c r="E309" s="111"/>
      <c r="F309" s="112"/>
      <c r="G309" s="113"/>
      <c r="H309" s="53">
        <f t="shared" si="1"/>
        <v>0</v>
      </c>
      <c r="I309" s="115"/>
      <c r="J309" s="115"/>
      <c r="K309" s="60">
        <f t="shared" si="2"/>
        <v>0</v>
      </c>
      <c r="L309" s="117"/>
    </row>
    <row r="310" ht="15.75" customHeight="1">
      <c r="A310" s="9"/>
      <c r="B310" s="164"/>
      <c r="C310" s="110"/>
      <c r="D310" s="156"/>
      <c r="E310" s="111"/>
      <c r="F310" s="112"/>
      <c r="G310" s="113"/>
      <c r="H310" s="53">
        <f t="shared" si="1"/>
        <v>0</v>
      </c>
      <c r="I310" s="115"/>
      <c r="J310" s="115"/>
      <c r="K310" s="60">
        <f t="shared" si="2"/>
        <v>0</v>
      </c>
      <c r="L310" s="117"/>
    </row>
    <row r="311" ht="15.75" customHeight="1">
      <c r="A311" s="9"/>
      <c r="B311" s="164"/>
      <c r="C311" s="110"/>
      <c r="D311" s="156"/>
      <c r="E311" s="111"/>
      <c r="F311" s="112"/>
      <c r="G311" s="113"/>
      <c r="H311" s="53">
        <f t="shared" si="1"/>
        <v>0</v>
      </c>
      <c r="I311" s="115"/>
      <c r="J311" s="115"/>
      <c r="K311" s="60">
        <f t="shared" si="2"/>
        <v>0</v>
      </c>
      <c r="L311" s="117"/>
    </row>
    <row r="312" ht="15.75" customHeight="1">
      <c r="A312" s="9"/>
      <c r="B312" s="164"/>
      <c r="C312" s="110"/>
      <c r="D312" s="156"/>
      <c r="E312" s="111"/>
      <c r="F312" s="112"/>
      <c r="G312" s="113"/>
      <c r="H312" s="53">
        <f t="shared" si="1"/>
        <v>0</v>
      </c>
      <c r="I312" s="115"/>
      <c r="J312" s="115"/>
      <c r="K312" s="60">
        <f t="shared" si="2"/>
        <v>0</v>
      </c>
      <c r="L312" s="117"/>
    </row>
    <row r="313" ht="15.75" customHeight="1">
      <c r="A313" s="9"/>
      <c r="B313" s="164"/>
      <c r="C313" s="110"/>
      <c r="D313" s="156"/>
      <c r="E313" s="111"/>
      <c r="F313" s="112"/>
      <c r="G313" s="113"/>
      <c r="H313" s="53">
        <f t="shared" si="1"/>
        <v>0</v>
      </c>
      <c r="I313" s="115"/>
      <c r="J313" s="115"/>
      <c r="K313" s="60">
        <f t="shared" si="2"/>
        <v>0</v>
      </c>
      <c r="L313" s="117"/>
    </row>
    <row r="314" ht="15.75" customHeight="1">
      <c r="A314" s="9"/>
      <c r="B314" s="164"/>
      <c r="C314" s="110"/>
      <c r="D314" s="156"/>
      <c r="E314" s="111"/>
      <c r="F314" s="112"/>
      <c r="G314" s="113"/>
      <c r="H314" s="53">
        <f t="shared" si="1"/>
        <v>0</v>
      </c>
      <c r="I314" s="115"/>
      <c r="J314" s="115"/>
      <c r="K314" s="60">
        <f t="shared" si="2"/>
        <v>0</v>
      </c>
      <c r="L314" s="117"/>
    </row>
    <row r="315" ht="15.75" customHeight="1">
      <c r="A315" s="9"/>
      <c r="B315" s="164"/>
      <c r="C315" s="110"/>
      <c r="D315" s="156"/>
      <c r="E315" s="111"/>
      <c r="F315" s="112"/>
      <c r="G315" s="113"/>
      <c r="H315" s="53">
        <f t="shared" si="1"/>
        <v>0</v>
      </c>
      <c r="I315" s="115"/>
      <c r="J315" s="115"/>
      <c r="K315" s="60">
        <f t="shared" si="2"/>
        <v>0</v>
      </c>
      <c r="L315" s="117"/>
    </row>
    <row r="316" ht="15.75" customHeight="1">
      <c r="A316" s="9"/>
      <c r="B316" s="164"/>
      <c r="C316" s="110"/>
      <c r="D316" s="156"/>
      <c r="E316" s="111"/>
      <c r="F316" s="112"/>
      <c r="G316" s="113"/>
      <c r="H316" s="53">
        <f t="shared" si="1"/>
        <v>0</v>
      </c>
      <c r="I316" s="115"/>
      <c r="J316" s="115"/>
      <c r="K316" s="60">
        <f t="shared" si="2"/>
        <v>0</v>
      </c>
      <c r="L316" s="117"/>
    </row>
    <row r="317" ht="15.75" customHeight="1">
      <c r="A317" s="9"/>
      <c r="B317" s="164"/>
      <c r="C317" s="110"/>
      <c r="D317" s="156"/>
      <c r="E317" s="111"/>
      <c r="F317" s="112"/>
      <c r="G317" s="113"/>
      <c r="H317" s="53">
        <f t="shared" si="1"/>
        <v>0</v>
      </c>
      <c r="I317" s="115"/>
      <c r="J317" s="115"/>
      <c r="K317" s="60">
        <f t="shared" si="2"/>
        <v>0</v>
      </c>
      <c r="L317" s="117"/>
    </row>
    <row r="318" ht="15.75" customHeight="1">
      <c r="A318" s="9"/>
      <c r="B318" s="164"/>
      <c r="C318" s="110"/>
      <c r="D318" s="156"/>
      <c r="E318" s="111"/>
      <c r="F318" s="112"/>
      <c r="G318" s="113"/>
      <c r="H318" s="53">
        <f t="shared" si="1"/>
        <v>0</v>
      </c>
      <c r="I318" s="115"/>
      <c r="J318" s="115"/>
      <c r="K318" s="60">
        <f t="shared" si="2"/>
        <v>0</v>
      </c>
      <c r="L318" s="117"/>
    </row>
    <row r="319" ht="15.75" customHeight="1">
      <c r="A319" s="9"/>
      <c r="B319" s="164"/>
      <c r="C319" s="110"/>
      <c r="D319" s="156"/>
      <c r="E319" s="111"/>
      <c r="F319" s="112"/>
      <c r="G319" s="113"/>
      <c r="H319" s="53">
        <f t="shared" si="1"/>
        <v>0</v>
      </c>
      <c r="I319" s="115"/>
      <c r="J319" s="115"/>
      <c r="K319" s="60">
        <f t="shared" si="2"/>
        <v>0</v>
      </c>
      <c r="L319" s="117"/>
    </row>
    <row r="320" ht="15.75" customHeight="1">
      <c r="A320" s="9"/>
      <c r="B320" s="164"/>
      <c r="C320" s="110"/>
      <c r="D320" s="156"/>
      <c r="E320" s="111"/>
      <c r="F320" s="112"/>
      <c r="G320" s="113"/>
      <c r="H320" s="53">
        <f t="shared" si="1"/>
        <v>0</v>
      </c>
      <c r="I320" s="115"/>
      <c r="J320" s="115"/>
      <c r="K320" s="60">
        <f t="shared" si="2"/>
        <v>0</v>
      </c>
      <c r="L320" s="117"/>
    </row>
    <row r="321" ht="15.75" customHeight="1">
      <c r="A321" s="9"/>
      <c r="B321" s="164"/>
      <c r="C321" s="110"/>
      <c r="D321" s="156"/>
      <c r="E321" s="111"/>
      <c r="F321" s="112"/>
      <c r="G321" s="113"/>
      <c r="H321" s="53">
        <f t="shared" si="1"/>
        <v>0</v>
      </c>
      <c r="I321" s="115"/>
      <c r="J321" s="115"/>
      <c r="K321" s="60">
        <f t="shared" si="2"/>
        <v>0</v>
      </c>
      <c r="L321" s="117"/>
    </row>
    <row r="322" ht="15.75" customHeight="1">
      <c r="A322" s="9"/>
      <c r="B322" s="164"/>
      <c r="C322" s="110"/>
      <c r="D322" s="156"/>
      <c r="E322" s="111"/>
      <c r="F322" s="112"/>
      <c r="G322" s="113"/>
      <c r="H322" s="53">
        <f t="shared" si="1"/>
        <v>0</v>
      </c>
      <c r="I322" s="115"/>
      <c r="J322" s="115"/>
      <c r="K322" s="60">
        <f t="shared" si="2"/>
        <v>0</v>
      </c>
      <c r="L322" s="117"/>
    </row>
    <row r="323" ht="15.75" customHeight="1">
      <c r="A323" s="9"/>
      <c r="B323" s="164"/>
      <c r="C323" s="110"/>
      <c r="D323" s="156"/>
      <c r="E323" s="111"/>
      <c r="F323" s="112"/>
      <c r="G323" s="113"/>
      <c r="H323" s="53">
        <f t="shared" si="1"/>
        <v>0</v>
      </c>
      <c r="I323" s="115"/>
      <c r="J323" s="115"/>
      <c r="K323" s="60">
        <f t="shared" si="2"/>
        <v>0</v>
      </c>
      <c r="L323" s="117"/>
    </row>
    <row r="324" ht="15.75" customHeight="1">
      <c r="A324" s="9"/>
      <c r="B324" s="164"/>
      <c r="C324" s="110"/>
      <c r="D324" s="156"/>
      <c r="E324" s="111"/>
      <c r="F324" s="112"/>
      <c r="G324" s="113"/>
      <c r="H324" s="53">
        <f t="shared" si="1"/>
        <v>0</v>
      </c>
      <c r="I324" s="115"/>
      <c r="J324" s="115"/>
      <c r="K324" s="60">
        <f t="shared" si="2"/>
        <v>0</v>
      </c>
      <c r="L324" s="117"/>
    </row>
    <row r="325" ht="15.75" customHeight="1">
      <c r="A325" s="9"/>
      <c r="B325" s="164"/>
      <c r="C325" s="110"/>
      <c r="D325" s="156"/>
      <c r="E325" s="111"/>
      <c r="F325" s="112"/>
      <c r="G325" s="113"/>
      <c r="H325" s="53">
        <f t="shared" si="1"/>
        <v>0</v>
      </c>
      <c r="I325" s="115"/>
      <c r="J325" s="115"/>
      <c r="K325" s="60">
        <f t="shared" si="2"/>
        <v>0</v>
      </c>
      <c r="L325" s="117"/>
    </row>
    <row r="326" ht="15.75" customHeight="1">
      <c r="A326" s="9"/>
      <c r="B326" s="164"/>
      <c r="C326" s="110"/>
      <c r="D326" s="156"/>
      <c r="E326" s="111"/>
      <c r="F326" s="112"/>
      <c r="G326" s="113"/>
      <c r="H326" s="53">
        <f t="shared" si="1"/>
        <v>0</v>
      </c>
      <c r="I326" s="115"/>
      <c r="J326" s="115"/>
      <c r="K326" s="60">
        <f t="shared" si="2"/>
        <v>0</v>
      </c>
      <c r="L326" s="117"/>
    </row>
    <row r="327" ht="15.75" customHeight="1">
      <c r="A327" s="9"/>
      <c r="B327" s="164"/>
      <c r="C327" s="110"/>
      <c r="D327" s="156"/>
      <c r="E327" s="111"/>
      <c r="F327" s="112"/>
      <c r="G327" s="113"/>
      <c r="H327" s="53">
        <f t="shared" si="1"/>
        <v>0</v>
      </c>
      <c r="I327" s="115"/>
      <c r="J327" s="115"/>
      <c r="K327" s="60">
        <f t="shared" si="2"/>
        <v>0</v>
      </c>
      <c r="L327" s="117"/>
    </row>
    <row r="328" ht="15.75" customHeight="1">
      <c r="A328" s="9"/>
      <c r="B328" s="164"/>
      <c r="C328" s="110"/>
      <c r="D328" s="156"/>
      <c r="E328" s="111"/>
      <c r="F328" s="112"/>
      <c r="G328" s="113"/>
      <c r="H328" s="53">
        <f t="shared" si="1"/>
        <v>0</v>
      </c>
      <c r="I328" s="115"/>
      <c r="J328" s="115"/>
      <c r="K328" s="60">
        <f t="shared" si="2"/>
        <v>0</v>
      </c>
      <c r="L328" s="117"/>
    </row>
    <row r="329" ht="15.75" customHeight="1">
      <c r="A329" s="9"/>
      <c r="B329" s="164"/>
      <c r="C329" s="110"/>
      <c r="D329" s="156"/>
      <c r="E329" s="111"/>
      <c r="F329" s="112"/>
      <c r="G329" s="113"/>
      <c r="H329" s="53">
        <f t="shared" si="1"/>
        <v>0</v>
      </c>
      <c r="I329" s="115"/>
      <c r="J329" s="115"/>
      <c r="K329" s="60">
        <f t="shared" si="2"/>
        <v>0</v>
      </c>
      <c r="L329" s="117"/>
    </row>
    <row r="330" ht="15.75" customHeight="1">
      <c r="A330" s="9"/>
      <c r="B330" s="164"/>
      <c r="C330" s="110"/>
      <c r="D330" s="156"/>
      <c r="E330" s="111"/>
      <c r="F330" s="112"/>
      <c r="G330" s="113"/>
      <c r="H330" s="53">
        <f t="shared" si="1"/>
        <v>0</v>
      </c>
      <c r="I330" s="115"/>
      <c r="J330" s="115"/>
      <c r="K330" s="60">
        <f t="shared" si="2"/>
        <v>0</v>
      </c>
      <c r="L330" s="117"/>
    </row>
    <row r="331" ht="15.75" customHeight="1">
      <c r="A331" s="9"/>
      <c r="B331" s="164"/>
      <c r="C331" s="110"/>
      <c r="D331" s="156"/>
      <c r="E331" s="111"/>
      <c r="F331" s="112"/>
      <c r="G331" s="113"/>
      <c r="H331" s="53">
        <f t="shared" si="1"/>
        <v>0</v>
      </c>
      <c r="I331" s="115"/>
      <c r="J331" s="115"/>
      <c r="K331" s="60">
        <f t="shared" si="2"/>
        <v>0</v>
      </c>
      <c r="L331" s="117"/>
    </row>
    <row r="332" ht="15.75" customHeight="1">
      <c r="A332" s="9"/>
      <c r="B332" s="164"/>
      <c r="C332" s="110"/>
      <c r="D332" s="156"/>
      <c r="E332" s="111"/>
      <c r="F332" s="112"/>
      <c r="G332" s="113"/>
      <c r="H332" s="53">
        <f t="shared" si="1"/>
        <v>0</v>
      </c>
      <c r="I332" s="115"/>
      <c r="J332" s="115"/>
      <c r="K332" s="60">
        <f t="shared" si="2"/>
        <v>0</v>
      </c>
      <c r="L332" s="117"/>
    </row>
    <row r="333" ht="15.75" customHeight="1">
      <c r="A333" s="9"/>
      <c r="B333" s="164"/>
      <c r="C333" s="110"/>
      <c r="D333" s="156"/>
      <c r="E333" s="111"/>
      <c r="F333" s="112"/>
      <c r="G333" s="113"/>
      <c r="H333" s="53">
        <f t="shared" si="1"/>
        <v>0</v>
      </c>
      <c r="I333" s="115"/>
      <c r="J333" s="115"/>
      <c r="K333" s="60">
        <f t="shared" si="2"/>
        <v>0</v>
      </c>
      <c r="L333" s="117"/>
    </row>
    <row r="334" ht="15.75" customHeight="1">
      <c r="A334" s="9"/>
      <c r="B334" s="164"/>
      <c r="C334" s="110"/>
      <c r="D334" s="156"/>
      <c r="E334" s="111"/>
      <c r="F334" s="112"/>
      <c r="G334" s="113"/>
      <c r="H334" s="53">
        <f t="shared" si="1"/>
        <v>0</v>
      </c>
      <c r="I334" s="115"/>
      <c r="J334" s="115"/>
      <c r="K334" s="60">
        <f t="shared" si="2"/>
        <v>0</v>
      </c>
      <c r="L334" s="117"/>
    </row>
    <row r="335" ht="15.75" customHeight="1">
      <c r="A335" s="9"/>
      <c r="B335" s="164"/>
      <c r="C335" s="110"/>
      <c r="D335" s="156"/>
      <c r="E335" s="111"/>
      <c r="F335" s="112"/>
      <c r="G335" s="113"/>
      <c r="H335" s="53">
        <f t="shared" si="1"/>
        <v>0</v>
      </c>
      <c r="I335" s="115"/>
      <c r="J335" s="115"/>
      <c r="K335" s="60">
        <f t="shared" si="2"/>
        <v>0</v>
      </c>
      <c r="L335" s="117"/>
    </row>
    <row r="336" ht="15.75" customHeight="1">
      <c r="A336" s="9"/>
      <c r="B336" s="164"/>
      <c r="C336" s="110"/>
      <c r="D336" s="156"/>
      <c r="E336" s="111"/>
      <c r="F336" s="112"/>
      <c r="G336" s="113"/>
      <c r="H336" s="53">
        <f t="shared" si="1"/>
        <v>0</v>
      </c>
      <c r="I336" s="115"/>
      <c r="J336" s="115"/>
      <c r="K336" s="60">
        <f t="shared" si="2"/>
        <v>0</v>
      </c>
      <c r="L336" s="117"/>
    </row>
    <row r="337" ht="15.75" customHeight="1">
      <c r="A337" s="9"/>
      <c r="B337" s="164"/>
      <c r="C337" s="110"/>
      <c r="D337" s="156"/>
      <c r="E337" s="111"/>
      <c r="F337" s="112"/>
      <c r="G337" s="113"/>
      <c r="H337" s="53">
        <f t="shared" si="1"/>
        <v>0</v>
      </c>
      <c r="I337" s="115"/>
      <c r="J337" s="115"/>
      <c r="K337" s="60">
        <f t="shared" si="2"/>
        <v>0</v>
      </c>
      <c r="L337" s="117"/>
    </row>
    <row r="338" ht="15.75" customHeight="1">
      <c r="A338" s="9"/>
      <c r="B338" s="164"/>
      <c r="C338" s="110"/>
      <c r="D338" s="156"/>
      <c r="E338" s="111"/>
      <c r="F338" s="112"/>
      <c r="G338" s="113"/>
      <c r="H338" s="53">
        <f t="shared" si="1"/>
        <v>0</v>
      </c>
      <c r="I338" s="115"/>
      <c r="J338" s="115"/>
      <c r="K338" s="60">
        <f t="shared" si="2"/>
        <v>0</v>
      </c>
      <c r="L338" s="117"/>
    </row>
    <row r="339" ht="15.75" customHeight="1">
      <c r="A339" s="9"/>
      <c r="B339" s="164"/>
      <c r="C339" s="110"/>
      <c r="D339" s="156"/>
      <c r="E339" s="111"/>
      <c r="F339" s="112"/>
      <c r="G339" s="113"/>
      <c r="H339" s="53">
        <f t="shared" si="1"/>
        <v>0</v>
      </c>
      <c r="I339" s="115"/>
      <c r="J339" s="115"/>
      <c r="K339" s="60">
        <f t="shared" si="2"/>
        <v>0</v>
      </c>
      <c r="L339" s="117"/>
    </row>
    <row r="340" ht="15.75" customHeight="1">
      <c r="A340" s="9"/>
      <c r="B340" s="164"/>
      <c r="C340" s="110"/>
      <c r="D340" s="156"/>
      <c r="E340" s="111"/>
      <c r="F340" s="112"/>
      <c r="G340" s="113"/>
      <c r="H340" s="53">
        <f t="shared" si="1"/>
        <v>0</v>
      </c>
      <c r="I340" s="115"/>
      <c r="J340" s="115"/>
      <c r="K340" s="60">
        <f t="shared" si="2"/>
        <v>0</v>
      </c>
      <c r="L340" s="117"/>
    </row>
    <row r="341" ht="15.75" customHeight="1">
      <c r="A341" s="9"/>
      <c r="B341" s="164"/>
      <c r="C341" s="110"/>
      <c r="D341" s="156"/>
      <c r="E341" s="111"/>
      <c r="F341" s="112"/>
      <c r="G341" s="113"/>
      <c r="H341" s="53">
        <f t="shared" si="1"/>
        <v>0</v>
      </c>
      <c r="I341" s="115"/>
      <c r="J341" s="115"/>
      <c r="K341" s="60">
        <f t="shared" si="2"/>
        <v>0</v>
      </c>
      <c r="L341" s="117"/>
    </row>
    <row r="342" ht="15.75" customHeight="1">
      <c r="A342" s="9"/>
      <c r="B342" s="164"/>
      <c r="C342" s="110"/>
      <c r="D342" s="156"/>
      <c r="E342" s="111"/>
      <c r="F342" s="112"/>
      <c r="G342" s="113"/>
      <c r="H342" s="53">
        <f t="shared" si="1"/>
        <v>0</v>
      </c>
      <c r="I342" s="115"/>
      <c r="J342" s="115"/>
      <c r="K342" s="60">
        <f t="shared" si="2"/>
        <v>0</v>
      </c>
      <c r="L342" s="117"/>
    </row>
    <row r="343" ht="15.75" customHeight="1">
      <c r="A343" s="9"/>
      <c r="B343" s="164"/>
      <c r="C343" s="110"/>
      <c r="D343" s="156"/>
      <c r="E343" s="111"/>
      <c r="F343" s="112"/>
      <c r="G343" s="113"/>
      <c r="H343" s="53">
        <f t="shared" si="1"/>
        <v>0</v>
      </c>
      <c r="I343" s="115"/>
      <c r="J343" s="115"/>
      <c r="K343" s="60">
        <f t="shared" si="2"/>
        <v>0</v>
      </c>
      <c r="L343" s="117"/>
    </row>
    <row r="344" ht="15.75" customHeight="1">
      <c r="A344" s="9"/>
      <c r="B344" s="164"/>
      <c r="C344" s="110"/>
      <c r="D344" s="156"/>
      <c r="E344" s="111"/>
      <c r="F344" s="112"/>
      <c r="G344" s="113"/>
      <c r="H344" s="53">
        <f t="shared" si="1"/>
        <v>0</v>
      </c>
      <c r="I344" s="115"/>
      <c r="J344" s="115"/>
      <c r="K344" s="60">
        <f t="shared" si="2"/>
        <v>0</v>
      </c>
      <c r="L344" s="117"/>
    </row>
    <row r="345" ht="15.75" customHeight="1">
      <c r="A345" s="9"/>
      <c r="B345" s="164"/>
      <c r="C345" s="110"/>
      <c r="D345" s="156"/>
      <c r="E345" s="111"/>
      <c r="F345" s="112"/>
      <c r="G345" s="113"/>
      <c r="H345" s="53">
        <f t="shared" si="1"/>
        <v>0</v>
      </c>
      <c r="I345" s="115"/>
      <c r="J345" s="115"/>
      <c r="K345" s="60">
        <f t="shared" si="2"/>
        <v>0</v>
      </c>
      <c r="L345" s="117"/>
    </row>
    <row r="346" ht="15.75" customHeight="1">
      <c r="A346" s="9"/>
      <c r="B346" s="164"/>
      <c r="C346" s="110"/>
      <c r="D346" s="156"/>
      <c r="E346" s="111"/>
      <c r="F346" s="112"/>
      <c r="G346" s="113"/>
      <c r="H346" s="53">
        <f t="shared" si="1"/>
        <v>0</v>
      </c>
      <c r="I346" s="115"/>
      <c r="J346" s="115"/>
      <c r="K346" s="60">
        <f t="shared" si="2"/>
        <v>0</v>
      </c>
      <c r="L346" s="117"/>
    </row>
    <row r="347" ht="15.75" customHeight="1">
      <c r="A347" s="9"/>
      <c r="B347" s="164"/>
      <c r="C347" s="110"/>
      <c r="D347" s="156"/>
      <c r="E347" s="111"/>
      <c r="F347" s="112"/>
      <c r="G347" s="113"/>
      <c r="H347" s="53">
        <f t="shared" si="1"/>
        <v>0</v>
      </c>
      <c r="I347" s="115"/>
      <c r="J347" s="115"/>
      <c r="K347" s="60">
        <f t="shared" si="2"/>
        <v>0</v>
      </c>
      <c r="L347" s="117"/>
    </row>
    <row r="348" ht="15.75" customHeight="1">
      <c r="A348" s="9"/>
      <c r="B348" s="164"/>
      <c r="C348" s="110"/>
      <c r="D348" s="156"/>
      <c r="E348" s="111"/>
      <c r="F348" s="112"/>
      <c r="G348" s="113"/>
      <c r="H348" s="53">
        <f t="shared" si="1"/>
        <v>0</v>
      </c>
      <c r="I348" s="115"/>
      <c r="J348" s="115"/>
      <c r="K348" s="60">
        <f t="shared" si="2"/>
        <v>0</v>
      </c>
      <c r="L348" s="117"/>
    </row>
    <row r="349" ht="15.75" customHeight="1">
      <c r="A349" s="9"/>
      <c r="B349" s="164"/>
      <c r="C349" s="110"/>
      <c r="D349" s="156"/>
      <c r="E349" s="111"/>
      <c r="F349" s="112"/>
      <c r="G349" s="113"/>
      <c r="H349" s="53">
        <f t="shared" si="1"/>
        <v>0</v>
      </c>
      <c r="I349" s="115"/>
      <c r="J349" s="115"/>
      <c r="K349" s="60">
        <f t="shared" si="2"/>
        <v>0</v>
      </c>
      <c r="L349" s="117"/>
    </row>
    <row r="350" ht="15.75" customHeight="1">
      <c r="A350" s="9"/>
      <c r="B350" s="164"/>
      <c r="C350" s="110"/>
      <c r="D350" s="156"/>
      <c r="E350" s="111"/>
      <c r="F350" s="112"/>
      <c r="G350" s="113"/>
      <c r="H350" s="53">
        <f t="shared" si="1"/>
        <v>0</v>
      </c>
      <c r="I350" s="115"/>
      <c r="J350" s="115"/>
      <c r="K350" s="60">
        <f t="shared" si="2"/>
        <v>0</v>
      </c>
      <c r="L350" s="117"/>
    </row>
    <row r="351" ht="15.75" customHeight="1">
      <c r="A351" s="9"/>
      <c r="B351" s="164"/>
      <c r="C351" s="110"/>
      <c r="D351" s="156"/>
      <c r="E351" s="111"/>
      <c r="F351" s="112"/>
      <c r="G351" s="113"/>
      <c r="H351" s="53">
        <f t="shared" si="1"/>
        <v>0</v>
      </c>
      <c r="I351" s="115"/>
      <c r="J351" s="115"/>
      <c r="K351" s="60">
        <f t="shared" si="2"/>
        <v>0</v>
      </c>
      <c r="L351" s="117"/>
    </row>
    <row r="352" ht="15.75" customHeight="1">
      <c r="A352" s="9"/>
      <c r="B352" s="164"/>
      <c r="C352" s="110"/>
      <c r="D352" s="156"/>
      <c r="E352" s="111"/>
      <c r="F352" s="112"/>
      <c r="G352" s="113"/>
      <c r="H352" s="53">
        <f t="shared" si="1"/>
        <v>0</v>
      </c>
      <c r="I352" s="115"/>
      <c r="J352" s="115"/>
      <c r="K352" s="60">
        <f t="shared" si="2"/>
        <v>0</v>
      </c>
      <c r="L352" s="117"/>
    </row>
    <row r="353" ht="15.75" customHeight="1">
      <c r="A353" s="9"/>
      <c r="B353" s="164"/>
      <c r="C353" s="110"/>
      <c r="D353" s="156"/>
      <c r="E353" s="111"/>
      <c r="F353" s="112"/>
      <c r="G353" s="113"/>
      <c r="H353" s="53">
        <f t="shared" si="1"/>
        <v>0</v>
      </c>
      <c r="I353" s="115"/>
      <c r="J353" s="115"/>
      <c r="K353" s="60">
        <f t="shared" si="2"/>
        <v>0</v>
      </c>
      <c r="L353" s="117"/>
    </row>
    <row r="354" ht="15.75" customHeight="1">
      <c r="A354" s="9"/>
      <c r="B354" s="164"/>
      <c r="C354" s="110"/>
      <c r="D354" s="156"/>
      <c r="E354" s="111"/>
      <c r="F354" s="112"/>
      <c r="G354" s="113"/>
      <c r="H354" s="53">
        <f t="shared" si="1"/>
        <v>0</v>
      </c>
      <c r="I354" s="115"/>
      <c r="J354" s="115"/>
      <c r="K354" s="60">
        <f t="shared" si="2"/>
        <v>0</v>
      </c>
      <c r="L354" s="117"/>
    </row>
    <row r="355" ht="15.75" customHeight="1">
      <c r="A355" s="9"/>
      <c r="B355" s="164"/>
      <c r="C355" s="110"/>
      <c r="D355" s="156"/>
      <c r="E355" s="111"/>
      <c r="F355" s="112"/>
      <c r="G355" s="113"/>
      <c r="H355" s="53">
        <f t="shared" si="1"/>
        <v>0</v>
      </c>
      <c r="I355" s="115"/>
      <c r="J355" s="115"/>
      <c r="K355" s="60">
        <f t="shared" si="2"/>
        <v>0</v>
      </c>
      <c r="L355" s="117"/>
    </row>
    <row r="356" ht="15.75" customHeight="1">
      <c r="A356" s="9"/>
      <c r="B356" s="164"/>
      <c r="C356" s="110"/>
      <c r="D356" s="156"/>
      <c r="E356" s="111"/>
      <c r="F356" s="112"/>
      <c r="G356" s="113"/>
      <c r="H356" s="53">
        <f t="shared" si="1"/>
        <v>0</v>
      </c>
      <c r="I356" s="115"/>
      <c r="J356" s="115"/>
      <c r="K356" s="60">
        <f t="shared" si="2"/>
        <v>0</v>
      </c>
      <c r="L356" s="117"/>
    </row>
    <row r="357" ht="15.75" customHeight="1">
      <c r="A357" s="9"/>
      <c r="B357" s="164"/>
      <c r="C357" s="110"/>
      <c r="D357" s="156"/>
      <c r="E357" s="111"/>
      <c r="F357" s="112"/>
      <c r="G357" s="113"/>
      <c r="H357" s="53">
        <f t="shared" si="1"/>
        <v>0</v>
      </c>
      <c r="I357" s="115"/>
      <c r="J357" s="115"/>
      <c r="K357" s="60">
        <f t="shared" si="2"/>
        <v>0</v>
      </c>
      <c r="L357" s="117"/>
    </row>
    <row r="358" ht="15.75" customHeight="1">
      <c r="A358" s="9"/>
      <c r="B358" s="164"/>
      <c r="C358" s="110"/>
      <c r="D358" s="156"/>
      <c r="E358" s="111"/>
      <c r="F358" s="112"/>
      <c r="G358" s="113"/>
      <c r="H358" s="53">
        <f t="shared" si="1"/>
        <v>0</v>
      </c>
      <c r="I358" s="115"/>
      <c r="J358" s="115"/>
      <c r="K358" s="60">
        <f t="shared" si="2"/>
        <v>0</v>
      </c>
      <c r="L358" s="117"/>
    </row>
    <row r="359" ht="15.75" customHeight="1">
      <c r="A359" s="9"/>
      <c r="B359" s="164"/>
      <c r="C359" s="110"/>
      <c r="D359" s="156"/>
      <c r="E359" s="111"/>
      <c r="F359" s="112"/>
      <c r="G359" s="113"/>
      <c r="H359" s="53">
        <f t="shared" si="1"/>
        <v>0</v>
      </c>
      <c r="I359" s="115"/>
      <c r="J359" s="115"/>
      <c r="K359" s="60">
        <f t="shared" si="2"/>
        <v>0</v>
      </c>
      <c r="L359" s="117"/>
    </row>
    <row r="360" ht="15.75" customHeight="1">
      <c r="A360" s="9"/>
      <c r="B360" s="164"/>
      <c r="C360" s="110"/>
      <c r="D360" s="156"/>
      <c r="E360" s="111"/>
      <c r="F360" s="112"/>
      <c r="G360" s="113"/>
      <c r="H360" s="53">
        <f t="shared" si="1"/>
        <v>0</v>
      </c>
      <c r="I360" s="115"/>
      <c r="J360" s="115"/>
      <c r="K360" s="60">
        <f t="shared" si="2"/>
        <v>0</v>
      </c>
      <c r="L360" s="117"/>
    </row>
    <row r="361" ht="15.75" customHeight="1">
      <c r="A361" s="9"/>
      <c r="B361" s="164"/>
      <c r="C361" s="110"/>
      <c r="D361" s="156"/>
      <c r="E361" s="111"/>
      <c r="F361" s="112"/>
      <c r="G361" s="113"/>
      <c r="H361" s="53">
        <f t="shared" si="1"/>
        <v>0</v>
      </c>
      <c r="I361" s="115"/>
      <c r="J361" s="115"/>
      <c r="K361" s="60">
        <f t="shared" si="2"/>
        <v>0</v>
      </c>
      <c r="L361" s="117"/>
    </row>
    <row r="362" ht="15.75" customHeight="1">
      <c r="A362" s="9"/>
      <c r="B362" s="164"/>
      <c r="C362" s="110"/>
      <c r="D362" s="156"/>
      <c r="E362" s="111"/>
      <c r="F362" s="112"/>
      <c r="G362" s="113"/>
      <c r="H362" s="53">
        <f t="shared" si="1"/>
        <v>0</v>
      </c>
      <c r="I362" s="115"/>
      <c r="J362" s="115"/>
      <c r="K362" s="60">
        <f t="shared" si="2"/>
        <v>0</v>
      </c>
      <c r="L362" s="117"/>
    </row>
    <row r="363" ht="15.75" customHeight="1">
      <c r="A363" s="9"/>
      <c r="B363" s="164"/>
      <c r="C363" s="110"/>
      <c r="D363" s="156"/>
      <c r="E363" s="111"/>
      <c r="F363" s="112"/>
      <c r="G363" s="113"/>
      <c r="H363" s="53">
        <f t="shared" si="1"/>
        <v>0</v>
      </c>
      <c r="I363" s="115"/>
      <c r="J363" s="115"/>
      <c r="K363" s="60">
        <f t="shared" si="2"/>
        <v>0</v>
      </c>
      <c r="L363" s="117"/>
    </row>
    <row r="364" ht="15.75" customHeight="1">
      <c r="A364" s="9"/>
      <c r="B364" s="164"/>
      <c r="C364" s="110"/>
      <c r="D364" s="156"/>
      <c r="E364" s="111"/>
      <c r="F364" s="112"/>
      <c r="G364" s="113"/>
      <c r="H364" s="53">
        <f t="shared" si="1"/>
        <v>0</v>
      </c>
      <c r="I364" s="115"/>
      <c r="J364" s="115"/>
      <c r="K364" s="60">
        <f t="shared" si="2"/>
        <v>0</v>
      </c>
      <c r="L364" s="117"/>
    </row>
    <row r="365" ht="15.75" customHeight="1">
      <c r="A365" s="9"/>
      <c r="B365" s="164"/>
      <c r="C365" s="110"/>
      <c r="D365" s="156"/>
      <c r="E365" s="111"/>
      <c r="F365" s="112"/>
      <c r="G365" s="113"/>
      <c r="H365" s="53">
        <f t="shared" si="1"/>
        <v>0</v>
      </c>
      <c r="I365" s="115"/>
      <c r="J365" s="115"/>
      <c r="K365" s="60">
        <f t="shared" si="2"/>
        <v>0</v>
      </c>
      <c r="L365" s="117"/>
    </row>
    <row r="366" ht="15.75" customHeight="1">
      <c r="A366" s="9"/>
      <c r="B366" s="164"/>
      <c r="C366" s="110"/>
      <c r="D366" s="156"/>
      <c r="E366" s="111"/>
      <c r="F366" s="112"/>
      <c r="G366" s="113"/>
      <c r="H366" s="53">
        <f t="shared" si="1"/>
        <v>0</v>
      </c>
      <c r="I366" s="115"/>
      <c r="J366" s="115"/>
      <c r="K366" s="60">
        <f t="shared" si="2"/>
        <v>0</v>
      </c>
      <c r="L366" s="117"/>
    </row>
    <row r="367" ht="15.75" customHeight="1">
      <c r="A367" s="9"/>
      <c r="B367" s="164"/>
      <c r="C367" s="110"/>
      <c r="D367" s="156"/>
      <c r="E367" s="111"/>
      <c r="F367" s="112"/>
      <c r="G367" s="113"/>
      <c r="H367" s="53">
        <f t="shared" si="1"/>
        <v>0</v>
      </c>
      <c r="I367" s="115"/>
      <c r="J367" s="115"/>
      <c r="K367" s="60">
        <f t="shared" si="2"/>
        <v>0</v>
      </c>
      <c r="L367" s="117"/>
    </row>
    <row r="368" ht="15.75" customHeight="1">
      <c r="A368" s="9"/>
      <c r="B368" s="164"/>
      <c r="C368" s="110"/>
      <c r="D368" s="156"/>
      <c r="E368" s="111"/>
      <c r="F368" s="112"/>
      <c r="G368" s="113"/>
      <c r="H368" s="53">
        <f t="shared" si="1"/>
        <v>0</v>
      </c>
      <c r="I368" s="115"/>
      <c r="J368" s="115"/>
      <c r="K368" s="60">
        <f t="shared" si="2"/>
        <v>0</v>
      </c>
      <c r="L368" s="117"/>
    </row>
    <row r="369" ht="15.75" customHeight="1">
      <c r="A369" s="9"/>
      <c r="B369" s="164"/>
      <c r="C369" s="110"/>
      <c r="D369" s="156"/>
      <c r="E369" s="111"/>
      <c r="F369" s="112"/>
      <c r="G369" s="113"/>
      <c r="H369" s="53">
        <f t="shared" si="1"/>
        <v>0</v>
      </c>
      <c r="I369" s="115"/>
      <c r="J369" s="115"/>
      <c r="K369" s="60">
        <f t="shared" si="2"/>
        <v>0</v>
      </c>
      <c r="L369" s="117"/>
    </row>
    <row r="370" ht="15.75" customHeight="1">
      <c r="A370" s="9"/>
      <c r="B370" s="164"/>
      <c r="C370" s="110"/>
      <c r="D370" s="156"/>
      <c r="E370" s="111"/>
      <c r="F370" s="112"/>
      <c r="G370" s="113"/>
      <c r="H370" s="53">
        <f t="shared" si="1"/>
        <v>0</v>
      </c>
      <c r="I370" s="115"/>
      <c r="J370" s="115"/>
      <c r="K370" s="60">
        <f t="shared" si="2"/>
        <v>0</v>
      </c>
      <c r="L370" s="117"/>
    </row>
    <row r="371" ht="15.75" customHeight="1">
      <c r="A371" s="9"/>
      <c r="B371" s="164"/>
      <c r="C371" s="110"/>
      <c r="D371" s="156"/>
      <c r="E371" s="111"/>
      <c r="F371" s="112"/>
      <c r="G371" s="113"/>
      <c r="H371" s="53">
        <f t="shared" si="1"/>
        <v>0</v>
      </c>
      <c r="I371" s="115"/>
      <c r="J371" s="115"/>
      <c r="K371" s="60">
        <f t="shared" si="2"/>
        <v>0</v>
      </c>
      <c r="L371" s="117"/>
    </row>
    <row r="372" ht="15.75" customHeight="1">
      <c r="A372" s="9"/>
      <c r="B372" s="164"/>
      <c r="C372" s="110"/>
      <c r="D372" s="156"/>
      <c r="E372" s="111"/>
      <c r="F372" s="112"/>
      <c r="G372" s="113"/>
      <c r="H372" s="53">
        <f t="shared" si="1"/>
        <v>0</v>
      </c>
      <c r="I372" s="115"/>
      <c r="J372" s="115"/>
      <c r="K372" s="60">
        <f t="shared" si="2"/>
        <v>0</v>
      </c>
      <c r="L372" s="117"/>
    </row>
    <row r="373" ht="15.75" customHeight="1">
      <c r="A373" s="9"/>
      <c r="B373" s="164"/>
      <c r="C373" s="110"/>
      <c r="D373" s="156"/>
      <c r="E373" s="111"/>
      <c r="F373" s="112"/>
      <c r="G373" s="113"/>
      <c r="H373" s="53">
        <f t="shared" si="1"/>
        <v>0</v>
      </c>
      <c r="I373" s="115"/>
      <c r="J373" s="115"/>
      <c r="K373" s="60">
        <f t="shared" si="2"/>
        <v>0</v>
      </c>
      <c r="L373" s="117"/>
    </row>
    <row r="374" ht="15.75" customHeight="1">
      <c r="A374" s="9"/>
      <c r="B374" s="164"/>
      <c r="C374" s="110"/>
      <c r="D374" s="156"/>
      <c r="E374" s="111"/>
      <c r="F374" s="112"/>
      <c r="G374" s="113"/>
      <c r="H374" s="53">
        <f t="shared" si="1"/>
        <v>0</v>
      </c>
      <c r="I374" s="115"/>
      <c r="J374" s="115"/>
      <c r="K374" s="60">
        <f t="shared" si="2"/>
        <v>0</v>
      </c>
      <c r="L374" s="117"/>
    </row>
    <row r="375" ht="15.75" customHeight="1">
      <c r="A375" s="9"/>
      <c r="B375" s="164"/>
      <c r="C375" s="110"/>
      <c r="D375" s="156"/>
      <c r="E375" s="111"/>
      <c r="F375" s="112"/>
      <c r="G375" s="113"/>
      <c r="H375" s="53">
        <f t="shared" si="1"/>
        <v>0</v>
      </c>
      <c r="I375" s="115"/>
      <c r="J375" s="115"/>
      <c r="K375" s="60">
        <f t="shared" si="2"/>
        <v>0</v>
      </c>
      <c r="L375" s="117"/>
    </row>
    <row r="376" ht="15.75" customHeight="1">
      <c r="A376" s="9"/>
      <c r="B376" s="164"/>
      <c r="C376" s="110"/>
      <c r="D376" s="156"/>
      <c r="E376" s="111"/>
      <c r="F376" s="112"/>
      <c r="G376" s="113"/>
      <c r="H376" s="53">
        <f t="shared" si="1"/>
        <v>0</v>
      </c>
      <c r="I376" s="115"/>
      <c r="J376" s="115"/>
      <c r="K376" s="60">
        <f t="shared" si="2"/>
        <v>0</v>
      </c>
      <c r="L376" s="117"/>
    </row>
    <row r="377" ht="15.75" customHeight="1">
      <c r="A377" s="9"/>
      <c r="B377" s="164"/>
      <c r="C377" s="110"/>
      <c r="D377" s="156"/>
      <c r="E377" s="111"/>
      <c r="F377" s="112"/>
      <c r="G377" s="113"/>
      <c r="H377" s="53">
        <f t="shared" si="1"/>
        <v>0</v>
      </c>
      <c r="I377" s="115"/>
      <c r="J377" s="115"/>
      <c r="K377" s="60">
        <f t="shared" si="2"/>
        <v>0</v>
      </c>
      <c r="L377" s="117"/>
    </row>
    <row r="378" ht="15.75" customHeight="1">
      <c r="A378" s="9"/>
      <c r="B378" s="164"/>
      <c r="C378" s="110"/>
      <c r="D378" s="156"/>
      <c r="E378" s="111"/>
      <c r="F378" s="112"/>
      <c r="G378" s="113"/>
      <c r="H378" s="53">
        <f t="shared" si="1"/>
        <v>0</v>
      </c>
      <c r="I378" s="115"/>
      <c r="J378" s="115"/>
      <c r="K378" s="60">
        <f t="shared" si="2"/>
        <v>0</v>
      </c>
      <c r="L378" s="117"/>
    </row>
    <row r="379" ht="15.75" customHeight="1">
      <c r="A379" s="9"/>
      <c r="B379" s="164"/>
      <c r="C379" s="110"/>
      <c r="D379" s="156"/>
      <c r="E379" s="111"/>
      <c r="F379" s="112"/>
      <c r="G379" s="113"/>
      <c r="H379" s="53">
        <f t="shared" si="1"/>
        <v>0</v>
      </c>
      <c r="I379" s="115"/>
      <c r="J379" s="115"/>
      <c r="K379" s="60">
        <f t="shared" si="2"/>
        <v>0</v>
      </c>
      <c r="L379" s="117"/>
    </row>
    <row r="380" ht="15.75" customHeight="1">
      <c r="A380" s="9"/>
      <c r="B380" s="164"/>
      <c r="C380" s="110"/>
      <c r="D380" s="156"/>
      <c r="E380" s="111"/>
      <c r="F380" s="112"/>
      <c r="G380" s="113"/>
      <c r="H380" s="53">
        <f t="shared" si="1"/>
        <v>0</v>
      </c>
      <c r="I380" s="115"/>
      <c r="J380" s="115"/>
      <c r="K380" s="60">
        <f t="shared" si="2"/>
        <v>0</v>
      </c>
      <c r="L380" s="117"/>
    </row>
    <row r="381" ht="15.75" customHeight="1">
      <c r="A381" s="9"/>
      <c r="B381" s="164"/>
      <c r="C381" s="110"/>
      <c r="D381" s="156"/>
      <c r="E381" s="111"/>
      <c r="F381" s="112"/>
      <c r="G381" s="113"/>
      <c r="H381" s="53">
        <f t="shared" si="1"/>
        <v>0</v>
      </c>
      <c r="I381" s="115"/>
      <c r="J381" s="115"/>
      <c r="K381" s="60">
        <f t="shared" si="2"/>
        <v>0</v>
      </c>
      <c r="L381" s="117"/>
    </row>
    <row r="382" ht="15.75" customHeight="1">
      <c r="A382" s="9"/>
      <c r="B382" s="164"/>
      <c r="C382" s="110"/>
      <c r="D382" s="156"/>
      <c r="E382" s="111"/>
      <c r="F382" s="112"/>
      <c r="G382" s="113"/>
      <c r="H382" s="53">
        <f t="shared" si="1"/>
        <v>0</v>
      </c>
      <c r="I382" s="115"/>
      <c r="J382" s="115"/>
      <c r="K382" s="60">
        <f t="shared" si="2"/>
        <v>0</v>
      </c>
      <c r="L382" s="117"/>
    </row>
    <row r="383" ht="15.75" customHeight="1">
      <c r="A383" s="9"/>
      <c r="B383" s="164"/>
      <c r="C383" s="110"/>
      <c r="D383" s="156"/>
      <c r="E383" s="111"/>
      <c r="F383" s="112"/>
      <c r="G383" s="113"/>
      <c r="H383" s="53">
        <f t="shared" si="1"/>
        <v>0</v>
      </c>
      <c r="I383" s="115"/>
      <c r="J383" s="115"/>
      <c r="K383" s="60">
        <f t="shared" si="2"/>
        <v>0</v>
      </c>
      <c r="L383" s="117"/>
    </row>
    <row r="384" ht="15.75" customHeight="1">
      <c r="A384" s="9"/>
      <c r="B384" s="164"/>
      <c r="C384" s="110"/>
      <c r="D384" s="156"/>
      <c r="E384" s="111"/>
      <c r="F384" s="112"/>
      <c r="G384" s="113"/>
      <c r="H384" s="53">
        <f t="shared" si="1"/>
        <v>0</v>
      </c>
      <c r="I384" s="115"/>
      <c r="J384" s="115"/>
      <c r="K384" s="60">
        <f t="shared" si="2"/>
        <v>0</v>
      </c>
      <c r="L384" s="117"/>
    </row>
    <row r="385" ht="15.75" customHeight="1">
      <c r="A385" s="9"/>
      <c r="B385" s="164"/>
      <c r="C385" s="110"/>
      <c r="D385" s="156"/>
      <c r="E385" s="111"/>
      <c r="F385" s="112"/>
      <c r="G385" s="113"/>
      <c r="H385" s="53">
        <f t="shared" si="1"/>
        <v>0</v>
      </c>
      <c r="I385" s="115"/>
      <c r="J385" s="115"/>
      <c r="K385" s="60">
        <f t="shared" si="2"/>
        <v>0</v>
      </c>
      <c r="L385" s="117"/>
    </row>
    <row r="386" ht="15.75" customHeight="1">
      <c r="A386" s="9"/>
      <c r="B386" s="164"/>
      <c r="C386" s="110"/>
      <c r="D386" s="156"/>
      <c r="E386" s="111"/>
      <c r="F386" s="112"/>
      <c r="G386" s="113"/>
      <c r="H386" s="53">
        <f t="shared" si="1"/>
        <v>0</v>
      </c>
      <c r="I386" s="115"/>
      <c r="J386" s="115"/>
      <c r="K386" s="60">
        <f t="shared" si="2"/>
        <v>0</v>
      </c>
      <c r="L386" s="117"/>
    </row>
    <row r="387" ht="15.75" customHeight="1">
      <c r="A387" s="9"/>
      <c r="B387" s="164"/>
      <c r="C387" s="110"/>
      <c r="D387" s="156"/>
      <c r="E387" s="111"/>
      <c r="F387" s="112"/>
      <c r="G387" s="113"/>
      <c r="H387" s="53">
        <f t="shared" si="1"/>
        <v>0</v>
      </c>
      <c r="I387" s="115"/>
      <c r="J387" s="115"/>
      <c r="K387" s="60">
        <f t="shared" si="2"/>
        <v>0</v>
      </c>
      <c r="L387" s="117"/>
    </row>
    <row r="388" ht="15.75" customHeight="1">
      <c r="A388" s="9"/>
      <c r="B388" s="164"/>
      <c r="C388" s="110"/>
      <c r="D388" s="156"/>
      <c r="E388" s="111"/>
      <c r="F388" s="112"/>
      <c r="G388" s="113"/>
      <c r="H388" s="53">
        <f t="shared" si="1"/>
        <v>0</v>
      </c>
      <c r="I388" s="115"/>
      <c r="J388" s="115"/>
      <c r="K388" s="60">
        <f t="shared" si="2"/>
        <v>0</v>
      </c>
      <c r="L388" s="117"/>
    </row>
    <row r="389" ht="15.75" customHeight="1">
      <c r="A389" s="9"/>
      <c r="B389" s="164"/>
      <c r="C389" s="110"/>
      <c r="D389" s="156"/>
      <c r="E389" s="111"/>
      <c r="F389" s="112"/>
      <c r="G389" s="113"/>
      <c r="H389" s="53">
        <f t="shared" si="1"/>
        <v>0</v>
      </c>
      <c r="I389" s="115"/>
      <c r="J389" s="115"/>
      <c r="K389" s="60">
        <f t="shared" si="2"/>
        <v>0</v>
      </c>
      <c r="L389" s="117"/>
    </row>
    <row r="390" ht="15.75" customHeight="1">
      <c r="A390" s="9"/>
      <c r="B390" s="164"/>
      <c r="C390" s="110"/>
      <c r="D390" s="156"/>
      <c r="E390" s="111"/>
      <c r="F390" s="112"/>
      <c r="G390" s="113"/>
      <c r="H390" s="53">
        <f t="shared" si="1"/>
        <v>0</v>
      </c>
      <c r="I390" s="115"/>
      <c r="J390" s="115"/>
      <c r="K390" s="60">
        <f t="shared" si="2"/>
        <v>0</v>
      </c>
      <c r="L390" s="117"/>
    </row>
    <row r="391" ht="15.75" customHeight="1">
      <c r="A391" s="9"/>
      <c r="B391" s="164"/>
      <c r="C391" s="110"/>
      <c r="D391" s="156"/>
      <c r="E391" s="111"/>
      <c r="F391" s="112"/>
      <c r="G391" s="113"/>
      <c r="H391" s="53">
        <f t="shared" si="1"/>
        <v>0</v>
      </c>
      <c r="I391" s="115"/>
      <c r="J391" s="115"/>
      <c r="K391" s="60">
        <f t="shared" si="2"/>
        <v>0</v>
      </c>
      <c r="L391" s="117"/>
    </row>
    <row r="392" ht="15.75" customHeight="1">
      <c r="A392" s="9"/>
      <c r="B392" s="164"/>
      <c r="C392" s="110"/>
      <c r="D392" s="156"/>
      <c r="E392" s="111"/>
      <c r="F392" s="112"/>
      <c r="G392" s="113"/>
      <c r="H392" s="53">
        <f t="shared" si="1"/>
        <v>0</v>
      </c>
      <c r="I392" s="115"/>
      <c r="J392" s="115"/>
      <c r="K392" s="60">
        <f t="shared" si="2"/>
        <v>0</v>
      </c>
      <c r="L392" s="117"/>
    </row>
    <row r="393" ht="15.75" customHeight="1">
      <c r="A393" s="9"/>
      <c r="B393" s="164"/>
      <c r="C393" s="110"/>
      <c r="D393" s="156"/>
      <c r="E393" s="111"/>
      <c r="F393" s="112"/>
      <c r="G393" s="113"/>
      <c r="H393" s="53">
        <f t="shared" si="1"/>
        <v>0</v>
      </c>
      <c r="I393" s="115"/>
      <c r="J393" s="115"/>
      <c r="K393" s="60">
        <f t="shared" si="2"/>
        <v>0</v>
      </c>
      <c r="L393" s="117"/>
    </row>
    <row r="394" ht="15.75" customHeight="1">
      <c r="A394" s="9"/>
      <c r="B394" s="164"/>
      <c r="C394" s="110"/>
      <c r="D394" s="156"/>
      <c r="E394" s="111"/>
      <c r="F394" s="112"/>
      <c r="G394" s="113"/>
      <c r="H394" s="53">
        <f t="shared" si="1"/>
        <v>0</v>
      </c>
      <c r="I394" s="115"/>
      <c r="J394" s="115"/>
      <c r="K394" s="60">
        <f t="shared" si="2"/>
        <v>0</v>
      </c>
      <c r="L394" s="117"/>
    </row>
    <row r="395" ht="15.75" customHeight="1">
      <c r="A395" s="9"/>
      <c r="B395" s="164"/>
      <c r="C395" s="110"/>
      <c r="D395" s="156"/>
      <c r="E395" s="111"/>
      <c r="F395" s="112"/>
      <c r="G395" s="113"/>
      <c r="H395" s="53">
        <f t="shared" si="1"/>
        <v>0</v>
      </c>
      <c r="I395" s="115"/>
      <c r="J395" s="115"/>
      <c r="K395" s="60">
        <f t="shared" si="2"/>
        <v>0</v>
      </c>
      <c r="L395" s="117"/>
    </row>
    <row r="396" ht="15.75" customHeight="1">
      <c r="A396" s="9"/>
      <c r="B396" s="164"/>
      <c r="C396" s="110"/>
      <c r="D396" s="156"/>
      <c r="E396" s="111"/>
      <c r="F396" s="112"/>
      <c r="G396" s="113"/>
      <c r="H396" s="53">
        <f t="shared" si="1"/>
        <v>0</v>
      </c>
      <c r="I396" s="115"/>
      <c r="J396" s="115"/>
      <c r="K396" s="60">
        <f t="shared" si="2"/>
        <v>0</v>
      </c>
      <c r="L396" s="117"/>
    </row>
    <row r="397" ht="15.75" customHeight="1">
      <c r="A397" s="9"/>
      <c r="B397" s="164"/>
      <c r="C397" s="110"/>
      <c r="D397" s="156"/>
      <c r="E397" s="111"/>
      <c r="F397" s="112"/>
      <c r="G397" s="113"/>
      <c r="H397" s="53">
        <f t="shared" si="1"/>
        <v>0</v>
      </c>
      <c r="I397" s="115"/>
      <c r="J397" s="115"/>
      <c r="K397" s="60">
        <f t="shared" si="2"/>
        <v>0</v>
      </c>
      <c r="L397" s="117"/>
    </row>
    <row r="398" ht="15.75" customHeight="1">
      <c r="A398" s="9"/>
      <c r="B398" s="164"/>
      <c r="C398" s="110"/>
      <c r="D398" s="156"/>
      <c r="E398" s="111"/>
      <c r="F398" s="112"/>
      <c r="G398" s="113"/>
      <c r="H398" s="53">
        <f t="shared" si="1"/>
        <v>0</v>
      </c>
      <c r="I398" s="115"/>
      <c r="J398" s="115"/>
      <c r="K398" s="60">
        <f t="shared" si="2"/>
        <v>0</v>
      </c>
      <c r="L398" s="117"/>
    </row>
    <row r="399" ht="15.75" customHeight="1">
      <c r="A399" s="9"/>
      <c r="B399" s="164"/>
      <c r="C399" s="110"/>
      <c r="D399" s="156"/>
      <c r="E399" s="111"/>
      <c r="F399" s="112"/>
      <c r="G399" s="113"/>
      <c r="H399" s="53">
        <f t="shared" si="1"/>
        <v>0</v>
      </c>
      <c r="I399" s="115"/>
      <c r="J399" s="115"/>
      <c r="K399" s="60">
        <f t="shared" si="2"/>
        <v>0</v>
      </c>
      <c r="L399" s="117"/>
    </row>
    <row r="400" ht="15.75" customHeight="1">
      <c r="A400" s="9"/>
      <c r="B400" s="164"/>
      <c r="C400" s="110"/>
      <c r="D400" s="156"/>
      <c r="E400" s="111"/>
      <c r="F400" s="112"/>
      <c r="G400" s="113"/>
      <c r="H400" s="53">
        <f t="shared" si="1"/>
        <v>0</v>
      </c>
      <c r="I400" s="115"/>
      <c r="J400" s="115"/>
      <c r="K400" s="60">
        <f t="shared" si="2"/>
        <v>0</v>
      </c>
      <c r="L400" s="117"/>
    </row>
    <row r="401" ht="15.75" customHeight="1">
      <c r="A401" s="9"/>
      <c r="B401" s="164"/>
      <c r="C401" s="110"/>
      <c r="D401" s="156"/>
      <c r="E401" s="111"/>
      <c r="F401" s="112"/>
      <c r="G401" s="113"/>
      <c r="H401" s="53">
        <f t="shared" si="1"/>
        <v>0</v>
      </c>
      <c r="I401" s="115"/>
      <c r="J401" s="115"/>
      <c r="K401" s="60">
        <f t="shared" si="2"/>
        <v>0</v>
      </c>
      <c r="L401" s="117"/>
    </row>
    <row r="402" ht="15.75" customHeight="1">
      <c r="A402" s="9"/>
      <c r="B402" s="164"/>
      <c r="C402" s="110"/>
      <c r="D402" s="156"/>
      <c r="E402" s="111"/>
      <c r="F402" s="112"/>
      <c r="G402" s="113"/>
      <c r="H402" s="53">
        <f t="shared" si="1"/>
        <v>0</v>
      </c>
      <c r="I402" s="115"/>
      <c r="J402" s="115"/>
      <c r="K402" s="60">
        <f t="shared" si="2"/>
        <v>0</v>
      </c>
      <c r="L402" s="117"/>
    </row>
    <row r="403" ht="15.75" customHeight="1">
      <c r="A403" s="9"/>
      <c r="B403" s="164"/>
      <c r="C403" s="110"/>
      <c r="D403" s="156"/>
      <c r="E403" s="111"/>
      <c r="F403" s="112"/>
      <c r="G403" s="113"/>
      <c r="H403" s="53">
        <f t="shared" si="1"/>
        <v>0</v>
      </c>
      <c r="I403" s="115"/>
      <c r="J403" s="115"/>
      <c r="K403" s="60">
        <f t="shared" si="2"/>
        <v>0</v>
      </c>
      <c r="L403" s="117"/>
    </row>
    <row r="404" ht="15.75" customHeight="1">
      <c r="A404" s="9"/>
      <c r="B404" s="164"/>
      <c r="C404" s="110"/>
      <c r="D404" s="156"/>
      <c r="E404" s="111"/>
      <c r="F404" s="112"/>
      <c r="G404" s="113"/>
      <c r="H404" s="53">
        <f t="shared" si="1"/>
        <v>0</v>
      </c>
      <c r="I404" s="115"/>
      <c r="J404" s="115"/>
      <c r="K404" s="60">
        <f t="shared" si="2"/>
        <v>0</v>
      </c>
      <c r="L404" s="117"/>
    </row>
    <row r="405" ht="15.75" customHeight="1">
      <c r="A405" s="9"/>
      <c r="B405" s="164"/>
      <c r="C405" s="110"/>
      <c r="D405" s="156"/>
      <c r="E405" s="111"/>
      <c r="F405" s="112"/>
      <c r="G405" s="113"/>
      <c r="H405" s="53">
        <f t="shared" si="1"/>
        <v>0</v>
      </c>
      <c r="I405" s="115"/>
      <c r="J405" s="115"/>
      <c r="K405" s="60">
        <f t="shared" si="2"/>
        <v>0</v>
      </c>
      <c r="L405" s="117"/>
    </row>
    <row r="406" ht="15.75" customHeight="1">
      <c r="A406" s="9"/>
      <c r="B406" s="164"/>
      <c r="C406" s="110"/>
      <c r="D406" s="156"/>
      <c r="E406" s="111"/>
      <c r="F406" s="112"/>
      <c r="G406" s="113"/>
      <c r="H406" s="53">
        <f t="shared" si="1"/>
        <v>0</v>
      </c>
      <c r="I406" s="115"/>
      <c r="J406" s="115"/>
      <c r="K406" s="60">
        <f t="shared" si="2"/>
        <v>0</v>
      </c>
      <c r="L406" s="117"/>
    </row>
    <row r="407" ht="15.75" customHeight="1">
      <c r="A407" s="9"/>
      <c r="B407" s="164"/>
      <c r="C407" s="110"/>
      <c r="D407" s="156"/>
      <c r="E407" s="111"/>
      <c r="F407" s="112"/>
      <c r="G407" s="113"/>
      <c r="H407" s="53">
        <f t="shared" si="1"/>
        <v>0</v>
      </c>
      <c r="I407" s="115"/>
      <c r="J407" s="115"/>
      <c r="K407" s="60">
        <f t="shared" si="2"/>
        <v>0</v>
      </c>
      <c r="L407" s="117"/>
    </row>
    <row r="408" ht="15.75" customHeight="1">
      <c r="A408" s="9"/>
      <c r="B408" s="164"/>
      <c r="C408" s="110"/>
      <c r="D408" s="156"/>
      <c r="E408" s="111"/>
      <c r="F408" s="112"/>
      <c r="G408" s="113"/>
      <c r="H408" s="53">
        <f t="shared" si="1"/>
        <v>0</v>
      </c>
      <c r="I408" s="115"/>
      <c r="J408" s="115"/>
      <c r="K408" s="60">
        <f t="shared" si="2"/>
        <v>0</v>
      </c>
      <c r="L408" s="117"/>
    </row>
    <row r="409" ht="15.75" customHeight="1">
      <c r="A409" s="9"/>
      <c r="B409" s="164"/>
      <c r="C409" s="110"/>
      <c r="D409" s="156"/>
      <c r="E409" s="111"/>
      <c r="F409" s="112"/>
      <c r="G409" s="113"/>
      <c r="H409" s="53">
        <f t="shared" si="1"/>
        <v>0</v>
      </c>
      <c r="I409" s="115"/>
      <c r="J409" s="115"/>
      <c r="K409" s="60">
        <f t="shared" si="2"/>
        <v>0</v>
      </c>
      <c r="L409" s="117"/>
    </row>
    <row r="410" ht="15.75" customHeight="1">
      <c r="A410" s="9"/>
      <c r="B410" s="164"/>
      <c r="C410" s="110"/>
      <c r="D410" s="156"/>
      <c r="E410" s="111"/>
      <c r="F410" s="112"/>
      <c r="G410" s="113"/>
      <c r="H410" s="53">
        <f t="shared" si="1"/>
        <v>0</v>
      </c>
      <c r="I410" s="115"/>
      <c r="J410" s="115"/>
      <c r="K410" s="60">
        <f t="shared" si="2"/>
        <v>0</v>
      </c>
      <c r="L410" s="117"/>
    </row>
    <row r="411" ht="15.75" customHeight="1">
      <c r="A411" s="9"/>
      <c r="B411" s="164"/>
      <c r="C411" s="110"/>
      <c r="D411" s="156"/>
      <c r="E411" s="111"/>
      <c r="F411" s="112"/>
      <c r="G411" s="113"/>
      <c r="H411" s="53">
        <f t="shared" si="1"/>
        <v>0</v>
      </c>
      <c r="I411" s="115"/>
      <c r="J411" s="115"/>
      <c r="K411" s="60">
        <f t="shared" si="2"/>
        <v>0</v>
      </c>
      <c r="L411" s="117"/>
    </row>
    <row r="412" ht="15.75" customHeight="1">
      <c r="A412" s="9"/>
      <c r="B412" s="164"/>
      <c r="C412" s="110"/>
      <c r="D412" s="156"/>
      <c r="E412" s="111"/>
      <c r="F412" s="112"/>
      <c r="G412" s="113"/>
      <c r="H412" s="53">
        <f t="shared" si="1"/>
        <v>0</v>
      </c>
      <c r="I412" s="115"/>
      <c r="J412" s="115"/>
      <c r="K412" s="60">
        <f t="shared" si="2"/>
        <v>0</v>
      </c>
      <c r="L412" s="117"/>
    </row>
    <row r="413" ht="15.75" customHeight="1">
      <c r="A413" s="9"/>
      <c r="B413" s="164"/>
      <c r="C413" s="110"/>
      <c r="D413" s="156"/>
      <c r="E413" s="111"/>
      <c r="F413" s="112"/>
      <c r="G413" s="113"/>
      <c r="H413" s="53">
        <f t="shared" si="1"/>
        <v>0</v>
      </c>
      <c r="I413" s="115"/>
      <c r="J413" s="115"/>
      <c r="K413" s="60">
        <f t="shared" si="2"/>
        <v>0</v>
      </c>
      <c r="L413" s="117"/>
    </row>
    <row r="414" ht="15.75" customHeight="1">
      <c r="A414" s="9"/>
      <c r="B414" s="164"/>
      <c r="C414" s="110"/>
      <c r="D414" s="156"/>
      <c r="E414" s="111"/>
      <c r="F414" s="112"/>
      <c r="G414" s="113"/>
      <c r="H414" s="53">
        <f t="shared" si="1"/>
        <v>0</v>
      </c>
      <c r="I414" s="115"/>
      <c r="J414" s="115"/>
      <c r="K414" s="60">
        <f t="shared" si="2"/>
        <v>0</v>
      </c>
      <c r="L414" s="117"/>
    </row>
    <row r="415" ht="15.75" customHeight="1">
      <c r="A415" s="9"/>
      <c r="B415" s="164"/>
      <c r="C415" s="110"/>
      <c r="D415" s="156"/>
      <c r="E415" s="111"/>
      <c r="F415" s="112"/>
      <c r="G415" s="113"/>
      <c r="H415" s="53">
        <f t="shared" si="1"/>
        <v>0</v>
      </c>
      <c r="I415" s="115"/>
      <c r="J415" s="115"/>
      <c r="K415" s="60">
        <f t="shared" si="2"/>
        <v>0</v>
      </c>
      <c r="L415" s="117"/>
    </row>
    <row r="416" ht="15.75" customHeight="1">
      <c r="A416" s="9"/>
      <c r="B416" s="164"/>
      <c r="C416" s="110"/>
      <c r="D416" s="156"/>
      <c r="E416" s="111"/>
      <c r="F416" s="112"/>
      <c r="G416" s="113"/>
      <c r="H416" s="53">
        <f t="shared" si="1"/>
        <v>0</v>
      </c>
      <c r="I416" s="115"/>
      <c r="J416" s="115"/>
      <c r="K416" s="60">
        <f t="shared" si="2"/>
        <v>0</v>
      </c>
      <c r="L416" s="117"/>
    </row>
    <row r="417" ht="15.75" customHeight="1">
      <c r="A417" s="9"/>
      <c r="B417" s="164"/>
      <c r="C417" s="110"/>
      <c r="D417" s="156"/>
      <c r="E417" s="111"/>
      <c r="F417" s="112"/>
      <c r="G417" s="113"/>
      <c r="H417" s="53">
        <f t="shared" si="1"/>
        <v>0</v>
      </c>
      <c r="I417" s="115"/>
      <c r="J417" s="115"/>
      <c r="K417" s="60">
        <f t="shared" si="2"/>
        <v>0</v>
      </c>
      <c r="L417" s="117"/>
    </row>
    <row r="418" ht="15.75" customHeight="1">
      <c r="A418" s="9"/>
      <c r="B418" s="164"/>
      <c r="C418" s="110"/>
      <c r="D418" s="156"/>
      <c r="E418" s="111"/>
      <c r="F418" s="112"/>
      <c r="G418" s="113"/>
      <c r="H418" s="53">
        <f t="shared" si="1"/>
        <v>0</v>
      </c>
      <c r="I418" s="115"/>
      <c r="J418" s="115"/>
      <c r="K418" s="60">
        <f t="shared" si="2"/>
        <v>0</v>
      </c>
      <c r="L418" s="117"/>
    </row>
    <row r="419" ht="15.75" customHeight="1">
      <c r="A419" s="9"/>
      <c r="B419" s="164"/>
      <c r="C419" s="110"/>
      <c r="D419" s="156"/>
      <c r="E419" s="111"/>
      <c r="F419" s="112"/>
      <c r="G419" s="113"/>
      <c r="H419" s="53">
        <f t="shared" si="1"/>
        <v>0</v>
      </c>
      <c r="I419" s="115"/>
      <c r="J419" s="115"/>
      <c r="K419" s="60">
        <f t="shared" si="2"/>
        <v>0</v>
      </c>
      <c r="L419" s="117"/>
    </row>
    <row r="420" ht="15.75" customHeight="1">
      <c r="A420" s="9"/>
      <c r="B420" s="164"/>
      <c r="C420" s="110"/>
      <c r="D420" s="156"/>
      <c r="E420" s="111"/>
      <c r="F420" s="112"/>
      <c r="G420" s="113"/>
      <c r="H420" s="53">
        <f t="shared" si="1"/>
        <v>0</v>
      </c>
      <c r="I420" s="115"/>
      <c r="J420" s="115"/>
      <c r="K420" s="60">
        <f t="shared" si="2"/>
        <v>0</v>
      </c>
      <c r="L420" s="117"/>
    </row>
    <row r="421" ht="15.75" customHeight="1">
      <c r="A421" s="9"/>
      <c r="B421" s="164"/>
      <c r="C421" s="110"/>
      <c r="D421" s="156"/>
      <c r="E421" s="111"/>
      <c r="F421" s="112"/>
      <c r="G421" s="113"/>
      <c r="H421" s="53">
        <f t="shared" si="1"/>
        <v>0</v>
      </c>
      <c r="I421" s="115"/>
      <c r="J421" s="115"/>
      <c r="K421" s="60">
        <f t="shared" si="2"/>
        <v>0</v>
      </c>
      <c r="L421" s="117"/>
    </row>
    <row r="422" ht="15.75" customHeight="1">
      <c r="A422" s="9"/>
      <c r="B422" s="164"/>
      <c r="C422" s="110"/>
      <c r="D422" s="156"/>
      <c r="E422" s="111"/>
      <c r="F422" s="112"/>
      <c r="G422" s="113"/>
      <c r="H422" s="53">
        <f t="shared" si="1"/>
        <v>0</v>
      </c>
      <c r="I422" s="115"/>
      <c r="J422" s="115"/>
      <c r="K422" s="60">
        <f t="shared" si="2"/>
        <v>0</v>
      </c>
      <c r="L422" s="117"/>
    </row>
    <row r="423" ht="15.75" customHeight="1">
      <c r="A423" s="9"/>
      <c r="B423" s="164"/>
      <c r="C423" s="110"/>
      <c r="D423" s="156"/>
      <c r="E423" s="111"/>
      <c r="F423" s="112"/>
      <c r="G423" s="113"/>
      <c r="H423" s="53">
        <f t="shared" si="1"/>
        <v>0</v>
      </c>
      <c r="I423" s="115"/>
      <c r="J423" s="115"/>
      <c r="K423" s="60">
        <f t="shared" si="2"/>
        <v>0</v>
      </c>
      <c r="L423" s="117"/>
    </row>
    <row r="424" ht="15.75" customHeight="1">
      <c r="A424" s="9"/>
      <c r="B424" s="164"/>
      <c r="C424" s="110"/>
      <c r="D424" s="156"/>
      <c r="E424" s="111"/>
      <c r="F424" s="112"/>
      <c r="G424" s="113"/>
      <c r="H424" s="53">
        <f t="shared" si="1"/>
        <v>0</v>
      </c>
      <c r="I424" s="115"/>
      <c r="J424" s="115"/>
      <c r="K424" s="60">
        <f t="shared" si="2"/>
        <v>0</v>
      </c>
      <c r="L424" s="117"/>
    </row>
    <row r="425" ht="15.75" customHeight="1">
      <c r="A425" s="9"/>
      <c r="B425" s="164"/>
      <c r="C425" s="110"/>
      <c r="D425" s="156"/>
      <c r="E425" s="111"/>
      <c r="F425" s="112"/>
      <c r="G425" s="113"/>
      <c r="H425" s="53">
        <f t="shared" si="1"/>
        <v>0</v>
      </c>
      <c r="I425" s="115"/>
      <c r="J425" s="115"/>
      <c r="K425" s="60">
        <f t="shared" si="2"/>
        <v>0</v>
      </c>
      <c r="L425" s="117"/>
    </row>
    <row r="426" ht="15.75" customHeight="1">
      <c r="A426" s="9"/>
      <c r="B426" s="164"/>
      <c r="C426" s="110"/>
      <c r="D426" s="156"/>
      <c r="E426" s="111"/>
      <c r="F426" s="112"/>
      <c r="G426" s="113"/>
      <c r="H426" s="53">
        <f t="shared" si="1"/>
        <v>0</v>
      </c>
      <c r="I426" s="115"/>
      <c r="J426" s="115"/>
      <c r="K426" s="60">
        <f t="shared" si="2"/>
        <v>0</v>
      </c>
      <c r="L426" s="117"/>
    </row>
    <row r="427" ht="15.75" customHeight="1">
      <c r="A427" s="9"/>
      <c r="B427" s="164"/>
      <c r="C427" s="110"/>
      <c r="D427" s="156"/>
      <c r="E427" s="111"/>
      <c r="F427" s="112"/>
      <c r="G427" s="113"/>
      <c r="H427" s="53">
        <f t="shared" si="1"/>
        <v>0</v>
      </c>
      <c r="I427" s="115"/>
      <c r="J427" s="115"/>
      <c r="K427" s="60">
        <f t="shared" si="2"/>
        <v>0</v>
      </c>
      <c r="L427" s="117"/>
    </row>
    <row r="428" ht="15.75" customHeight="1">
      <c r="A428" s="9"/>
      <c r="B428" s="164"/>
      <c r="C428" s="110"/>
      <c r="D428" s="156"/>
      <c r="E428" s="111"/>
      <c r="F428" s="112"/>
      <c r="G428" s="113"/>
      <c r="H428" s="53">
        <f t="shared" si="1"/>
        <v>0</v>
      </c>
      <c r="I428" s="115"/>
      <c r="J428" s="115"/>
      <c r="K428" s="60">
        <f t="shared" si="2"/>
        <v>0</v>
      </c>
      <c r="L428" s="117"/>
    </row>
    <row r="429" ht="15.75" customHeight="1">
      <c r="A429" s="9"/>
      <c r="B429" s="164"/>
      <c r="C429" s="110"/>
      <c r="D429" s="156"/>
      <c r="E429" s="111"/>
      <c r="F429" s="112"/>
      <c r="G429" s="113"/>
      <c r="H429" s="53">
        <f t="shared" si="1"/>
        <v>0</v>
      </c>
      <c r="I429" s="115"/>
      <c r="J429" s="115"/>
      <c r="K429" s="60">
        <f t="shared" si="2"/>
        <v>0</v>
      </c>
      <c r="L429" s="117"/>
    </row>
    <row r="430" ht="15.75" customHeight="1">
      <c r="A430" s="9"/>
      <c r="B430" s="164"/>
      <c r="C430" s="110"/>
      <c r="D430" s="156"/>
      <c r="E430" s="111"/>
      <c r="F430" s="112"/>
      <c r="G430" s="113"/>
      <c r="H430" s="53">
        <f t="shared" si="1"/>
        <v>0</v>
      </c>
      <c r="I430" s="115"/>
      <c r="J430" s="115"/>
      <c r="K430" s="60">
        <f t="shared" si="2"/>
        <v>0</v>
      </c>
      <c r="L430" s="117"/>
    </row>
    <row r="431" ht="15.75" customHeight="1">
      <c r="A431" s="9"/>
      <c r="B431" s="164"/>
      <c r="C431" s="110"/>
      <c r="D431" s="156"/>
      <c r="E431" s="111"/>
      <c r="F431" s="112"/>
      <c r="G431" s="113"/>
      <c r="H431" s="53">
        <f t="shared" si="1"/>
        <v>0</v>
      </c>
      <c r="I431" s="115"/>
      <c r="J431" s="115"/>
      <c r="K431" s="60">
        <f t="shared" si="2"/>
        <v>0</v>
      </c>
      <c r="L431" s="117"/>
    </row>
    <row r="432" ht="15.75" customHeight="1">
      <c r="A432" s="9"/>
      <c r="B432" s="164"/>
      <c r="C432" s="110"/>
      <c r="D432" s="156"/>
      <c r="E432" s="111"/>
      <c r="F432" s="112"/>
      <c r="G432" s="113"/>
      <c r="H432" s="53">
        <f t="shared" si="1"/>
        <v>0</v>
      </c>
      <c r="I432" s="115"/>
      <c r="J432" s="115"/>
      <c r="K432" s="60">
        <f t="shared" si="2"/>
        <v>0</v>
      </c>
      <c r="L432" s="117"/>
    </row>
    <row r="433" ht="15.75" customHeight="1">
      <c r="A433" s="9"/>
      <c r="B433" s="164"/>
      <c r="C433" s="110"/>
      <c r="D433" s="156"/>
      <c r="E433" s="111"/>
      <c r="F433" s="112"/>
      <c r="G433" s="113"/>
      <c r="H433" s="53">
        <f t="shared" si="1"/>
        <v>0</v>
      </c>
      <c r="I433" s="115"/>
      <c r="J433" s="115"/>
      <c r="K433" s="60">
        <f t="shared" si="2"/>
        <v>0</v>
      </c>
      <c r="L433" s="117"/>
    </row>
    <row r="434" ht="15.75" customHeight="1">
      <c r="A434" s="9"/>
      <c r="B434" s="164"/>
      <c r="C434" s="110"/>
      <c r="D434" s="156"/>
      <c r="E434" s="111"/>
      <c r="F434" s="112"/>
      <c r="G434" s="113"/>
      <c r="H434" s="53">
        <f t="shared" si="1"/>
        <v>0</v>
      </c>
      <c r="I434" s="115"/>
      <c r="J434" s="115"/>
      <c r="K434" s="60">
        <f t="shared" si="2"/>
        <v>0</v>
      </c>
      <c r="L434" s="117"/>
    </row>
    <row r="435" ht="15.75" customHeight="1">
      <c r="A435" s="9"/>
      <c r="B435" s="164"/>
      <c r="C435" s="110"/>
      <c r="D435" s="156"/>
      <c r="E435" s="111"/>
      <c r="F435" s="112"/>
      <c r="G435" s="113"/>
      <c r="H435" s="53">
        <f t="shared" si="1"/>
        <v>0</v>
      </c>
      <c r="I435" s="115"/>
      <c r="J435" s="115"/>
      <c r="K435" s="60">
        <f t="shared" si="2"/>
        <v>0</v>
      </c>
      <c r="L435" s="117"/>
    </row>
    <row r="436" ht="15.75" customHeight="1">
      <c r="A436" s="9"/>
      <c r="B436" s="164"/>
      <c r="C436" s="110"/>
      <c r="D436" s="156"/>
      <c r="E436" s="111"/>
      <c r="F436" s="112"/>
      <c r="G436" s="113"/>
      <c r="H436" s="53">
        <f t="shared" si="1"/>
        <v>0</v>
      </c>
      <c r="I436" s="115"/>
      <c r="J436" s="115"/>
      <c r="K436" s="60">
        <f t="shared" si="2"/>
        <v>0</v>
      </c>
      <c r="L436" s="117"/>
    </row>
    <row r="437" ht="15.75" customHeight="1">
      <c r="A437" s="9"/>
      <c r="B437" s="164"/>
      <c r="C437" s="110"/>
      <c r="D437" s="156"/>
      <c r="E437" s="111"/>
      <c r="F437" s="112"/>
      <c r="G437" s="113"/>
      <c r="H437" s="53">
        <f t="shared" si="1"/>
        <v>0</v>
      </c>
      <c r="I437" s="115"/>
      <c r="J437" s="115"/>
      <c r="K437" s="60">
        <f t="shared" si="2"/>
        <v>0</v>
      </c>
      <c r="L437" s="117"/>
    </row>
    <row r="438" ht="15.75" customHeight="1">
      <c r="A438" s="9"/>
      <c r="B438" s="164"/>
      <c r="C438" s="110"/>
      <c r="D438" s="156"/>
      <c r="E438" s="111"/>
      <c r="F438" s="112"/>
      <c r="G438" s="113"/>
      <c r="H438" s="53">
        <f t="shared" si="1"/>
        <v>0</v>
      </c>
      <c r="I438" s="115"/>
      <c r="J438" s="115"/>
      <c r="K438" s="60">
        <f t="shared" si="2"/>
        <v>0</v>
      </c>
      <c r="L438" s="117"/>
    </row>
    <row r="439" ht="15.75" customHeight="1">
      <c r="A439" s="9"/>
      <c r="B439" s="164"/>
      <c r="C439" s="110"/>
      <c r="D439" s="156"/>
      <c r="E439" s="111"/>
      <c r="F439" s="112"/>
      <c r="G439" s="113"/>
      <c r="H439" s="53">
        <f t="shared" si="1"/>
        <v>0</v>
      </c>
      <c r="I439" s="115"/>
      <c r="J439" s="115"/>
      <c r="K439" s="60">
        <f t="shared" si="2"/>
        <v>0</v>
      </c>
      <c r="L439" s="117"/>
    </row>
    <row r="440" ht="15.75" customHeight="1">
      <c r="A440" s="9"/>
      <c r="B440" s="164"/>
      <c r="C440" s="110"/>
      <c r="D440" s="156"/>
      <c r="E440" s="111"/>
      <c r="F440" s="112"/>
      <c r="G440" s="113"/>
      <c r="H440" s="53">
        <f t="shared" si="1"/>
        <v>0</v>
      </c>
      <c r="I440" s="115"/>
      <c r="J440" s="115"/>
      <c r="K440" s="60">
        <f t="shared" si="2"/>
        <v>0</v>
      </c>
      <c r="L440" s="117"/>
    </row>
    <row r="441" ht="15.75" customHeight="1">
      <c r="A441" s="9"/>
      <c r="B441" s="164"/>
      <c r="C441" s="110"/>
      <c r="D441" s="156"/>
      <c r="E441" s="111"/>
      <c r="F441" s="112"/>
      <c r="G441" s="113"/>
      <c r="H441" s="53">
        <f t="shared" si="1"/>
        <v>0</v>
      </c>
      <c r="I441" s="115"/>
      <c r="J441" s="115"/>
      <c r="K441" s="60">
        <f t="shared" si="2"/>
        <v>0</v>
      </c>
      <c r="L441" s="117"/>
    </row>
    <row r="442" ht="15.75" customHeight="1">
      <c r="A442" s="9"/>
      <c r="B442" s="164"/>
      <c r="C442" s="110"/>
      <c r="D442" s="156"/>
      <c r="E442" s="111"/>
      <c r="F442" s="112"/>
      <c r="G442" s="113"/>
      <c r="H442" s="53">
        <f t="shared" si="1"/>
        <v>0</v>
      </c>
      <c r="I442" s="115"/>
      <c r="J442" s="115"/>
      <c r="K442" s="60">
        <f t="shared" si="2"/>
        <v>0</v>
      </c>
      <c r="L442" s="117"/>
    </row>
    <row r="443" ht="15.75" customHeight="1">
      <c r="A443" s="9"/>
      <c r="B443" s="164"/>
      <c r="C443" s="110"/>
      <c r="D443" s="156"/>
      <c r="E443" s="111"/>
      <c r="F443" s="112"/>
      <c r="G443" s="113"/>
      <c r="H443" s="53">
        <f t="shared" si="1"/>
        <v>0</v>
      </c>
      <c r="I443" s="115"/>
      <c r="J443" s="115"/>
      <c r="K443" s="60">
        <f t="shared" si="2"/>
        <v>0</v>
      </c>
      <c r="L443" s="117"/>
    </row>
    <row r="444" ht="15.75" customHeight="1">
      <c r="A444" s="9"/>
      <c r="B444" s="164"/>
      <c r="C444" s="110"/>
      <c r="D444" s="156"/>
      <c r="E444" s="111"/>
      <c r="F444" s="112"/>
      <c r="G444" s="113"/>
      <c r="H444" s="53">
        <f t="shared" si="1"/>
        <v>0</v>
      </c>
      <c r="I444" s="115"/>
      <c r="J444" s="115"/>
      <c r="K444" s="60">
        <f t="shared" si="2"/>
        <v>0</v>
      </c>
      <c r="L444" s="117"/>
    </row>
    <row r="445" ht="15.75" customHeight="1">
      <c r="A445" s="9"/>
      <c r="B445" s="164"/>
      <c r="C445" s="110"/>
      <c r="D445" s="156"/>
      <c r="E445" s="111"/>
      <c r="F445" s="112"/>
      <c r="G445" s="113"/>
      <c r="H445" s="53">
        <f t="shared" si="1"/>
        <v>0</v>
      </c>
      <c r="I445" s="115"/>
      <c r="J445" s="115"/>
      <c r="K445" s="60">
        <f t="shared" si="2"/>
        <v>0</v>
      </c>
      <c r="L445" s="117"/>
    </row>
    <row r="446" ht="15.75" customHeight="1">
      <c r="A446" s="9"/>
      <c r="B446" s="164"/>
      <c r="C446" s="110"/>
      <c r="D446" s="156"/>
      <c r="E446" s="111"/>
      <c r="F446" s="112"/>
      <c r="G446" s="113"/>
      <c r="H446" s="53">
        <f t="shared" si="1"/>
        <v>0</v>
      </c>
      <c r="I446" s="115"/>
      <c r="J446" s="115"/>
      <c r="K446" s="60">
        <f t="shared" si="2"/>
        <v>0</v>
      </c>
      <c r="L446" s="117"/>
    </row>
    <row r="447" ht="15.75" customHeight="1">
      <c r="A447" s="9"/>
      <c r="B447" s="164"/>
      <c r="C447" s="110"/>
      <c r="D447" s="156"/>
      <c r="E447" s="111"/>
      <c r="F447" s="112"/>
      <c r="G447" s="113"/>
      <c r="H447" s="53">
        <f t="shared" si="1"/>
        <v>0</v>
      </c>
      <c r="I447" s="115"/>
      <c r="J447" s="115"/>
      <c r="K447" s="60">
        <f t="shared" si="2"/>
        <v>0</v>
      </c>
      <c r="L447" s="117"/>
    </row>
    <row r="448" ht="15.75" customHeight="1">
      <c r="A448" s="9"/>
      <c r="B448" s="164"/>
      <c r="C448" s="110"/>
      <c r="D448" s="156"/>
      <c r="E448" s="111"/>
      <c r="F448" s="112"/>
      <c r="G448" s="113"/>
      <c r="H448" s="53">
        <f t="shared" si="1"/>
        <v>0</v>
      </c>
      <c r="I448" s="115"/>
      <c r="J448" s="115"/>
      <c r="K448" s="60">
        <f t="shared" si="2"/>
        <v>0</v>
      </c>
      <c r="L448" s="117"/>
    </row>
    <row r="449" ht="15.75" customHeight="1">
      <c r="A449" s="9"/>
      <c r="B449" s="164"/>
      <c r="C449" s="110"/>
      <c r="D449" s="156"/>
      <c r="E449" s="111"/>
      <c r="F449" s="112"/>
      <c r="G449" s="113"/>
      <c r="H449" s="53">
        <f t="shared" si="1"/>
        <v>0</v>
      </c>
      <c r="I449" s="115"/>
      <c r="J449" s="115"/>
      <c r="K449" s="60">
        <f t="shared" si="2"/>
        <v>0</v>
      </c>
      <c r="L449" s="117"/>
    </row>
    <row r="450" ht="15.75" customHeight="1">
      <c r="A450" s="9"/>
      <c r="B450" s="164"/>
      <c r="C450" s="110"/>
      <c r="D450" s="156"/>
      <c r="E450" s="111"/>
      <c r="F450" s="112"/>
      <c r="G450" s="113"/>
      <c r="H450" s="53">
        <f t="shared" si="1"/>
        <v>0</v>
      </c>
      <c r="I450" s="115"/>
      <c r="J450" s="115"/>
      <c r="K450" s="60">
        <f t="shared" si="2"/>
        <v>0</v>
      </c>
      <c r="L450" s="117"/>
    </row>
    <row r="451" ht="15.75" customHeight="1">
      <c r="A451" s="9"/>
      <c r="B451" s="164"/>
      <c r="C451" s="110"/>
      <c r="D451" s="156"/>
      <c r="E451" s="111"/>
      <c r="F451" s="112"/>
      <c r="G451" s="113"/>
      <c r="H451" s="53">
        <f t="shared" si="1"/>
        <v>0</v>
      </c>
      <c r="I451" s="115"/>
      <c r="J451" s="115"/>
      <c r="K451" s="60">
        <f t="shared" si="2"/>
        <v>0</v>
      </c>
      <c r="L451" s="117"/>
    </row>
    <row r="452" ht="15.75" customHeight="1">
      <c r="A452" s="9"/>
      <c r="B452" s="164"/>
      <c r="C452" s="110"/>
      <c r="D452" s="156"/>
      <c r="E452" s="111"/>
      <c r="F452" s="112"/>
      <c r="G452" s="113"/>
      <c r="H452" s="53">
        <f t="shared" si="1"/>
        <v>0</v>
      </c>
      <c r="I452" s="115"/>
      <c r="J452" s="115"/>
      <c r="K452" s="60">
        <f t="shared" si="2"/>
        <v>0</v>
      </c>
      <c r="L452" s="117"/>
    </row>
    <row r="453" ht="15.75" customHeight="1">
      <c r="A453" s="9"/>
      <c r="B453" s="164"/>
      <c r="C453" s="110"/>
      <c r="D453" s="156"/>
      <c r="E453" s="111"/>
      <c r="F453" s="112"/>
      <c r="G453" s="113"/>
      <c r="H453" s="53">
        <f t="shared" si="1"/>
        <v>0</v>
      </c>
      <c r="I453" s="115"/>
      <c r="J453" s="115"/>
      <c r="K453" s="60">
        <f t="shared" si="2"/>
        <v>0</v>
      </c>
      <c r="L453" s="117"/>
    </row>
    <row r="454" ht="15.75" customHeight="1">
      <c r="A454" s="9"/>
      <c r="B454" s="164"/>
      <c r="C454" s="110"/>
      <c r="D454" s="156"/>
      <c r="E454" s="111"/>
      <c r="F454" s="112"/>
      <c r="G454" s="113"/>
      <c r="H454" s="53">
        <f t="shared" si="1"/>
        <v>0</v>
      </c>
      <c r="I454" s="115"/>
      <c r="J454" s="115"/>
      <c r="K454" s="60">
        <f t="shared" si="2"/>
        <v>0</v>
      </c>
      <c r="L454" s="117"/>
    </row>
    <row r="455" ht="15.75" customHeight="1">
      <c r="A455" s="9"/>
      <c r="B455" s="164"/>
      <c r="C455" s="110"/>
      <c r="D455" s="156"/>
      <c r="E455" s="111"/>
      <c r="F455" s="112"/>
      <c r="G455" s="113"/>
      <c r="H455" s="53">
        <f t="shared" si="1"/>
        <v>0</v>
      </c>
      <c r="I455" s="115"/>
      <c r="J455" s="115"/>
      <c r="K455" s="60">
        <f t="shared" si="2"/>
        <v>0</v>
      </c>
      <c r="L455" s="117"/>
    </row>
    <row r="456" ht="15.75" customHeight="1">
      <c r="A456" s="9"/>
      <c r="B456" s="164"/>
      <c r="C456" s="110"/>
      <c r="D456" s="156"/>
      <c r="E456" s="111"/>
      <c r="F456" s="112"/>
      <c r="G456" s="113"/>
      <c r="H456" s="53">
        <f t="shared" si="1"/>
        <v>0</v>
      </c>
      <c r="I456" s="115"/>
      <c r="J456" s="115"/>
      <c r="K456" s="60">
        <f t="shared" si="2"/>
        <v>0</v>
      </c>
      <c r="L456" s="117"/>
    </row>
    <row r="457" ht="15.75" customHeight="1">
      <c r="A457" s="9"/>
      <c r="B457" s="164"/>
      <c r="C457" s="110"/>
      <c r="D457" s="156"/>
      <c r="E457" s="111"/>
      <c r="F457" s="112"/>
      <c r="G457" s="113"/>
      <c r="H457" s="53">
        <f t="shared" si="1"/>
        <v>0</v>
      </c>
      <c r="I457" s="115"/>
      <c r="J457" s="115"/>
      <c r="K457" s="60">
        <f t="shared" si="2"/>
        <v>0</v>
      </c>
      <c r="L457" s="117"/>
    </row>
    <row r="458" ht="15.75" customHeight="1">
      <c r="A458" s="9"/>
      <c r="B458" s="164"/>
      <c r="C458" s="110"/>
      <c r="D458" s="156"/>
      <c r="E458" s="111"/>
      <c r="F458" s="112"/>
      <c r="G458" s="113"/>
      <c r="H458" s="53">
        <f t="shared" si="1"/>
        <v>0</v>
      </c>
      <c r="I458" s="115"/>
      <c r="J458" s="115"/>
      <c r="K458" s="60">
        <f t="shared" si="2"/>
        <v>0</v>
      </c>
      <c r="L458" s="117"/>
    </row>
    <row r="459" ht="15.75" customHeight="1">
      <c r="A459" s="9"/>
      <c r="B459" s="164"/>
      <c r="C459" s="110"/>
      <c r="D459" s="156"/>
      <c r="E459" s="111"/>
      <c r="F459" s="112"/>
      <c r="G459" s="113"/>
      <c r="H459" s="53">
        <f t="shared" si="1"/>
        <v>0</v>
      </c>
      <c r="I459" s="115"/>
      <c r="J459" s="115"/>
      <c r="K459" s="60">
        <f t="shared" si="2"/>
        <v>0</v>
      </c>
      <c r="L459" s="117"/>
    </row>
    <row r="460" ht="15.75" customHeight="1">
      <c r="A460" s="9"/>
      <c r="B460" s="164"/>
      <c r="C460" s="110"/>
      <c r="D460" s="156"/>
      <c r="E460" s="111"/>
      <c r="F460" s="112"/>
      <c r="G460" s="113"/>
      <c r="H460" s="53">
        <f t="shared" si="1"/>
        <v>0</v>
      </c>
      <c r="I460" s="115"/>
      <c r="J460" s="115"/>
      <c r="K460" s="60">
        <f t="shared" si="2"/>
        <v>0</v>
      </c>
      <c r="L460" s="117"/>
    </row>
    <row r="461" ht="15.75" customHeight="1">
      <c r="A461" s="9"/>
      <c r="B461" s="164"/>
      <c r="C461" s="110"/>
      <c r="D461" s="156"/>
      <c r="E461" s="111"/>
      <c r="F461" s="112"/>
      <c r="G461" s="113"/>
      <c r="H461" s="53">
        <f t="shared" si="1"/>
        <v>0</v>
      </c>
      <c r="I461" s="115"/>
      <c r="J461" s="115"/>
      <c r="K461" s="60">
        <f t="shared" si="2"/>
        <v>0</v>
      </c>
      <c r="L461" s="117"/>
    </row>
    <row r="462" ht="15.75" customHeight="1">
      <c r="A462" s="9"/>
      <c r="B462" s="164"/>
      <c r="C462" s="110"/>
      <c r="D462" s="156"/>
      <c r="E462" s="111"/>
      <c r="F462" s="112"/>
      <c r="G462" s="113"/>
      <c r="H462" s="53">
        <f t="shared" si="1"/>
        <v>0</v>
      </c>
      <c r="I462" s="115"/>
      <c r="J462" s="115"/>
      <c r="K462" s="60">
        <f t="shared" si="2"/>
        <v>0</v>
      </c>
      <c r="L462" s="117"/>
    </row>
    <row r="463" ht="15.75" customHeight="1">
      <c r="A463" s="9"/>
      <c r="B463" s="164"/>
      <c r="C463" s="110"/>
      <c r="D463" s="156"/>
      <c r="E463" s="111"/>
      <c r="F463" s="112"/>
      <c r="G463" s="113"/>
      <c r="H463" s="53">
        <f t="shared" si="1"/>
        <v>0</v>
      </c>
      <c r="I463" s="115"/>
      <c r="J463" s="115"/>
      <c r="K463" s="60">
        <f t="shared" si="2"/>
        <v>0</v>
      </c>
      <c r="L463" s="117"/>
    </row>
    <row r="464" ht="15.75" customHeight="1">
      <c r="A464" s="9"/>
      <c r="B464" s="164"/>
      <c r="C464" s="110"/>
      <c r="D464" s="156"/>
      <c r="E464" s="111"/>
      <c r="F464" s="112"/>
      <c r="G464" s="113"/>
      <c r="H464" s="53">
        <f t="shared" si="1"/>
        <v>0</v>
      </c>
      <c r="I464" s="115"/>
      <c r="J464" s="115"/>
      <c r="K464" s="60">
        <f t="shared" si="2"/>
        <v>0</v>
      </c>
      <c r="L464" s="117"/>
    </row>
    <row r="465" ht="15.75" customHeight="1">
      <c r="A465" s="9"/>
      <c r="B465" s="164"/>
      <c r="C465" s="110"/>
      <c r="D465" s="156"/>
      <c r="E465" s="111"/>
      <c r="F465" s="112"/>
      <c r="G465" s="113"/>
      <c r="H465" s="53">
        <f t="shared" si="1"/>
        <v>0</v>
      </c>
      <c r="I465" s="115"/>
      <c r="J465" s="115"/>
      <c r="K465" s="60">
        <f t="shared" si="2"/>
        <v>0</v>
      </c>
      <c r="L465" s="117"/>
    </row>
    <row r="466" ht="15.75" customHeight="1">
      <c r="A466" s="9"/>
      <c r="B466" s="164"/>
      <c r="C466" s="110"/>
      <c r="D466" s="156"/>
      <c r="E466" s="111"/>
      <c r="F466" s="112"/>
      <c r="G466" s="113"/>
      <c r="H466" s="53">
        <f t="shared" si="1"/>
        <v>0</v>
      </c>
      <c r="I466" s="115"/>
      <c r="J466" s="115"/>
      <c r="K466" s="60">
        <f t="shared" si="2"/>
        <v>0</v>
      </c>
      <c r="L466" s="117"/>
    </row>
    <row r="467" ht="15.75" customHeight="1">
      <c r="A467" s="9"/>
      <c r="B467" s="164"/>
      <c r="C467" s="110"/>
      <c r="D467" s="156"/>
      <c r="E467" s="111"/>
      <c r="F467" s="112"/>
      <c r="G467" s="113"/>
      <c r="H467" s="53">
        <f t="shared" si="1"/>
        <v>0</v>
      </c>
      <c r="I467" s="115"/>
      <c r="J467" s="115"/>
      <c r="K467" s="60">
        <f t="shared" si="2"/>
        <v>0</v>
      </c>
      <c r="L467" s="117"/>
    </row>
    <row r="468" ht="15.75" customHeight="1">
      <c r="A468" s="9"/>
      <c r="B468" s="164"/>
      <c r="C468" s="110"/>
      <c r="D468" s="156"/>
      <c r="E468" s="111"/>
      <c r="F468" s="112"/>
      <c r="G468" s="113"/>
      <c r="H468" s="53">
        <f t="shared" si="1"/>
        <v>0</v>
      </c>
      <c r="I468" s="115"/>
      <c r="J468" s="115"/>
      <c r="K468" s="60">
        <f t="shared" si="2"/>
        <v>0</v>
      </c>
      <c r="L468" s="117"/>
    </row>
    <row r="469" ht="15.75" customHeight="1">
      <c r="A469" s="9"/>
      <c r="B469" s="164"/>
      <c r="C469" s="110"/>
      <c r="D469" s="156"/>
      <c r="E469" s="111"/>
      <c r="F469" s="112"/>
      <c r="G469" s="113"/>
      <c r="H469" s="53">
        <f t="shared" si="1"/>
        <v>0</v>
      </c>
      <c r="I469" s="115"/>
      <c r="J469" s="115"/>
      <c r="K469" s="60">
        <f t="shared" si="2"/>
        <v>0</v>
      </c>
      <c r="L469" s="117"/>
    </row>
    <row r="470" ht="15.75" customHeight="1">
      <c r="A470" s="9"/>
      <c r="B470" s="164"/>
      <c r="C470" s="110"/>
      <c r="D470" s="156"/>
      <c r="E470" s="111"/>
      <c r="F470" s="112"/>
      <c r="G470" s="113"/>
      <c r="H470" s="53">
        <f t="shared" si="1"/>
        <v>0</v>
      </c>
      <c r="I470" s="115"/>
      <c r="J470" s="115"/>
      <c r="K470" s="60">
        <f t="shared" si="2"/>
        <v>0</v>
      </c>
      <c r="L470" s="117"/>
    </row>
    <row r="471" ht="15.75" customHeight="1">
      <c r="A471" s="9"/>
      <c r="B471" s="164"/>
      <c r="C471" s="110"/>
      <c r="D471" s="156"/>
      <c r="E471" s="111"/>
      <c r="F471" s="112"/>
      <c r="G471" s="113"/>
      <c r="H471" s="53">
        <f t="shared" si="1"/>
        <v>0</v>
      </c>
      <c r="I471" s="115"/>
      <c r="J471" s="115"/>
      <c r="K471" s="60">
        <f t="shared" si="2"/>
        <v>0</v>
      </c>
      <c r="L471" s="117"/>
    </row>
    <row r="472" ht="15.75" customHeight="1">
      <c r="A472" s="9"/>
      <c r="B472" s="164"/>
      <c r="C472" s="110"/>
      <c r="D472" s="156"/>
      <c r="E472" s="111"/>
      <c r="F472" s="112"/>
      <c r="G472" s="113"/>
      <c r="H472" s="53">
        <f t="shared" si="1"/>
        <v>0</v>
      </c>
      <c r="I472" s="115"/>
      <c r="J472" s="115"/>
      <c r="K472" s="60">
        <f t="shared" si="2"/>
        <v>0</v>
      </c>
      <c r="L472" s="117"/>
    </row>
    <row r="473" ht="15.75" customHeight="1">
      <c r="A473" s="9"/>
      <c r="B473" s="164"/>
      <c r="C473" s="110"/>
      <c r="D473" s="156"/>
      <c r="E473" s="111"/>
      <c r="F473" s="112"/>
      <c r="G473" s="113"/>
      <c r="H473" s="53">
        <f t="shared" si="1"/>
        <v>0</v>
      </c>
      <c r="I473" s="115"/>
      <c r="J473" s="115"/>
      <c r="K473" s="60">
        <f t="shared" si="2"/>
        <v>0</v>
      </c>
      <c r="L473" s="117"/>
    </row>
    <row r="474" ht="15.75" customHeight="1">
      <c r="A474" s="9"/>
      <c r="B474" s="164"/>
      <c r="C474" s="110"/>
      <c r="D474" s="156"/>
      <c r="E474" s="111"/>
      <c r="F474" s="112"/>
      <c r="G474" s="113"/>
      <c r="H474" s="53">
        <f t="shared" si="1"/>
        <v>0</v>
      </c>
      <c r="I474" s="115"/>
      <c r="J474" s="115"/>
      <c r="K474" s="60">
        <f t="shared" si="2"/>
        <v>0</v>
      </c>
      <c r="L474" s="117"/>
    </row>
    <row r="475" ht="15.75" customHeight="1">
      <c r="A475" s="9"/>
      <c r="B475" s="164"/>
      <c r="C475" s="110"/>
      <c r="D475" s="156"/>
      <c r="E475" s="111"/>
      <c r="F475" s="112"/>
      <c r="G475" s="113"/>
      <c r="H475" s="53">
        <f t="shared" si="1"/>
        <v>0</v>
      </c>
      <c r="I475" s="115"/>
      <c r="J475" s="115"/>
      <c r="K475" s="60">
        <f t="shared" si="2"/>
        <v>0</v>
      </c>
      <c r="L475" s="117"/>
    </row>
    <row r="476" ht="15.75" customHeight="1">
      <c r="A476" s="9"/>
      <c r="B476" s="164"/>
      <c r="C476" s="110"/>
      <c r="D476" s="156"/>
      <c r="E476" s="111"/>
      <c r="F476" s="112"/>
      <c r="G476" s="113"/>
      <c r="H476" s="53">
        <f t="shared" si="1"/>
        <v>0</v>
      </c>
      <c r="I476" s="115"/>
      <c r="J476" s="115"/>
      <c r="K476" s="60">
        <f t="shared" si="2"/>
        <v>0</v>
      </c>
      <c r="L476" s="117"/>
    </row>
    <row r="477" ht="15.75" customHeight="1">
      <c r="A477" s="9"/>
      <c r="B477" s="164"/>
      <c r="C477" s="110"/>
      <c r="D477" s="156"/>
      <c r="E477" s="111"/>
      <c r="F477" s="112"/>
      <c r="G477" s="113"/>
      <c r="H477" s="53">
        <f t="shared" si="1"/>
        <v>0</v>
      </c>
      <c r="I477" s="115"/>
      <c r="J477" s="115"/>
      <c r="K477" s="60">
        <f t="shared" si="2"/>
        <v>0</v>
      </c>
      <c r="L477" s="117"/>
    </row>
    <row r="478" ht="15.75" customHeight="1">
      <c r="A478" s="9"/>
      <c r="B478" s="164"/>
      <c r="C478" s="110"/>
      <c r="D478" s="156"/>
      <c r="E478" s="111"/>
      <c r="F478" s="112"/>
      <c r="G478" s="113"/>
      <c r="H478" s="53">
        <f t="shared" si="1"/>
        <v>0</v>
      </c>
      <c r="I478" s="115"/>
      <c r="J478" s="115"/>
      <c r="K478" s="60">
        <f t="shared" si="2"/>
        <v>0</v>
      </c>
      <c r="L478" s="117"/>
    </row>
    <row r="479" ht="15.75" customHeight="1">
      <c r="A479" s="9"/>
      <c r="B479" s="164"/>
      <c r="C479" s="110"/>
      <c r="D479" s="156"/>
      <c r="E479" s="111"/>
      <c r="F479" s="112"/>
      <c r="G479" s="113"/>
      <c r="H479" s="53">
        <f t="shared" si="1"/>
        <v>0</v>
      </c>
      <c r="I479" s="115"/>
      <c r="J479" s="115"/>
      <c r="K479" s="60">
        <f t="shared" si="2"/>
        <v>0</v>
      </c>
      <c r="L479" s="117"/>
    </row>
    <row r="480" ht="15.75" customHeight="1">
      <c r="A480" s="9"/>
      <c r="B480" s="164"/>
      <c r="C480" s="110"/>
      <c r="D480" s="156"/>
      <c r="E480" s="111"/>
      <c r="F480" s="112"/>
      <c r="G480" s="113"/>
      <c r="H480" s="53">
        <f t="shared" si="1"/>
        <v>0</v>
      </c>
      <c r="I480" s="115"/>
      <c r="J480" s="115"/>
      <c r="K480" s="60">
        <f t="shared" si="2"/>
        <v>0</v>
      </c>
      <c r="L480" s="117"/>
    </row>
    <row r="481" ht="15.75" customHeight="1">
      <c r="A481" s="9"/>
      <c r="B481" s="164"/>
      <c r="C481" s="110"/>
      <c r="D481" s="156"/>
      <c r="E481" s="111"/>
      <c r="F481" s="112"/>
      <c r="G481" s="113"/>
      <c r="H481" s="53">
        <f t="shared" si="1"/>
        <v>0</v>
      </c>
      <c r="I481" s="115"/>
      <c r="J481" s="115"/>
      <c r="K481" s="60">
        <f t="shared" si="2"/>
        <v>0</v>
      </c>
      <c r="L481" s="117"/>
    </row>
    <row r="482" ht="15.75" customHeight="1">
      <c r="A482" s="9"/>
      <c r="B482" s="164"/>
      <c r="C482" s="110"/>
      <c r="D482" s="156"/>
      <c r="E482" s="111"/>
      <c r="F482" s="112"/>
      <c r="G482" s="113"/>
      <c r="H482" s="53">
        <f t="shared" si="1"/>
        <v>0</v>
      </c>
      <c r="I482" s="115"/>
      <c r="J482" s="115"/>
      <c r="K482" s="60">
        <f t="shared" si="2"/>
        <v>0</v>
      </c>
      <c r="L482" s="117"/>
    </row>
    <row r="483" ht="15.75" customHeight="1">
      <c r="A483" s="9"/>
      <c r="B483" s="164"/>
      <c r="C483" s="110"/>
      <c r="D483" s="156"/>
      <c r="E483" s="111"/>
      <c r="F483" s="112"/>
      <c r="G483" s="113"/>
      <c r="H483" s="53">
        <f t="shared" si="1"/>
        <v>0</v>
      </c>
      <c r="I483" s="115"/>
      <c r="J483" s="115"/>
      <c r="K483" s="60">
        <f t="shared" si="2"/>
        <v>0</v>
      </c>
      <c r="L483" s="117"/>
    </row>
    <row r="484" ht="15.75" customHeight="1">
      <c r="A484" s="9"/>
      <c r="B484" s="164"/>
      <c r="C484" s="110"/>
      <c r="D484" s="156"/>
      <c r="E484" s="111"/>
      <c r="F484" s="112"/>
      <c r="G484" s="113"/>
      <c r="H484" s="53">
        <f t="shared" si="1"/>
        <v>0</v>
      </c>
      <c r="I484" s="115"/>
      <c r="J484" s="115"/>
      <c r="K484" s="60">
        <f t="shared" si="2"/>
        <v>0</v>
      </c>
      <c r="L484" s="117"/>
    </row>
    <row r="485" ht="15.75" customHeight="1">
      <c r="A485" s="9"/>
      <c r="B485" s="164"/>
      <c r="C485" s="110"/>
      <c r="D485" s="156"/>
      <c r="E485" s="111"/>
      <c r="F485" s="112"/>
      <c r="G485" s="113"/>
      <c r="H485" s="53">
        <f t="shared" si="1"/>
        <v>0</v>
      </c>
      <c r="I485" s="115"/>
      <c r="J485" s="115"/>
      <c r="K485" s="60">
        <f t="shared" si="2"/>
        <v>0</v>
      </c>
      <c r="L485" s="117"/>
    </row>
    <row r="486" ht="15.75" customHeight="1">
      <c r="A486" s="9"/>
      <c r="B486" s="164"/>
      <c r="C486" s="110"/>
      <c r="D486" s="156"/>
      <c r="E486" s="111"/>
      <c r="F486" s="112"/>
      <c r="G486" s="113"/>
      <c r="H486" s="53">
        <f t="shared" si="1"/>
        <v>0</v>
      </c>
      <c r="I486" s="115"/>
      <c r="J486" s="115"/>
      <c r="K486" s="60">
        <f t="shared" si="2"/>
        <v>0</v>
      </c>
      <c r="L486" s="117"/>
    </row>
    <row r="487" ht="15.75" customHeight="1">
      <c r="A487" s="9"/>
      <c r="B487" s="164"/>
      <c r="C487" s="110"/>
      <c r="D487" s="156"/>
      <c r="E487" s="111"/>
      <c r="F487" s="112"/>
      <c r="G487" s="113"/>
      <c r="H487" s="53">
        <f t="shared" si="1"/>
        <v>0</v>
      </c>
      <c r="I487" s="115"/>
      <c r="J487" s="115"/>
      <c r="K487" s="60">
        <f t="shared" si="2"/>
        <v>0</v>
      </c>
      <c r="L487" s="117"/>
    </row>
    <row r="488" ht="15.75" customHeight="1">
      <c r="A488" s="9"/>
      <c r="B488" s="164"/>
      <c r="C488" s="110"/>
      <c r="D488" s="156"/>
      <c r="E488" s="111"/>
      <c r="F488" s="112"/>
      <c r="G488" s="113"/>
      <c r="H488" s="53">
        <f t="shared" si="1"/>
        <v>0</v>
      </c>
      <c r="I488" s="115"/>
      <c r="J488" s="115"/>
      <c r="K488" s="60">
        <f t="shared" si="2"/>
        <v>0</v>
      </c>
      <c r="L488" s="117"/>
    </row>
    <row r="489" ht="15.75" customHeight="1">
      <c r="A489" s="9"/>
      <c r="B489" s="164"/>
      <c r="C489" s="110"/>
      <c r="D489" s="156"/>
      <c r="E489" s="111"/>
      <c r="F489" s="112"/>
      <c r="G489" s="113"/>
      <c r="H489" s="53">
        <f t="shared" si="1"/>
        <v>0</v>
      </c>
      <c r="I489" s="115"/>
      <c r="J489" s="115"/>
      <c r="K489" s="60">
        <f t="shared" si="2"/>
        <v>0</v>
      </c>
      <c r="L489" s="117"/>
    </row>
    <row r="490" ht="15.75" customHeight="1">
      <c r="A490" s="9"/>
      <c r="B490" s="164"/>
      <c r="C490" s="110"/>
      <c r="D490" s="156"/>
      <c r="E490" s="111"/>
      <c r="F490" s="112"/>
      <c r="G490" s="113"/>
      <c r="H490" s="53">
        <f t="shared" si="1"/>
        <v>0</v>
      </c>
      <c r="I490" s="115"/>
      <c r="J490" s="115"/>
      <c r="K490" s="60">
        <f t="shared" si="2"/>
        <v>0</v>
      </c>
      <c r="L490" s="117"/>
    </row>
    <row r="491" ht="15.75" customHeight="1">
      <c r="A491" s="9"/>
      <c r="B491" s="164"/>
      <c r="C491" s="110"/>
      <c r="D491" s="156"/>
      <c r="E491" s="111"/>
      <c r="F491" s="112"/>
      <c r="G491" s="113"/>
      <c r="H491" s="53">
        <f t="shared" si="1"/>
        <v>0</v>
      </c>
      <c r="I491" s="115"/>
      <c r="J491" s="115"/>
      <c r="K491" s="60">
        <f t="shared" si="2"/>
        <v>0</v>
      </c>
      <c r="L491" s="117"/>
    </row>
    <row r="492" ht="15.75" customHeight="1">
      <c r="A492" s="9"/>
      <c r="B492" s="164"/>
      <c r="C492" s="110"/>
      <c r="D492" s="156"/>
      <c r="E492" s="111"/>
      <c r="F492" s="112"/>
      <c r="G492" s="113"/>
      <c r="H492" s="53">
        <f t="shared" si="1"/>
        <v>0</v>
      </c>
      <c r="I492" s="115"/>
      <c r="J492" s="115"/>
      <c r="K492" s="60">
        <f t="shared" si="2"/>
        <v>0</v>
      </c>
      <c r="L492" s="117"/>
    </row>
    <row r="493" ht="15.75" customHeight="1">
      <c r="A493" s="9"/>
      <c r="B493" s="164"/>
      <c r="C493" s="110"/>
      <c r="D493" s="156"/>
      <c r="E493" s="111"/>
      <c r="F493" s="112"/>
      <c r="G493" s="113"/>
      <c r="H493" s="53">
        <f t="shared" si="1"/>
        <v>0</v>
      </c>
      <c r="I493" s="115"/>
      <c r="J493" s="115"/>
      <c r="K493" s="60">
        <f t="shared" si="2"/>
        <v>0</v>
      </c>
      <c r="L493" s="117"/>
    </row>
    <row r="494" ht="15.75" customHeight="1">
      <c r="A494" s="9"/>
      <c r="B494" s="164"/>
      <c r="C494" s="110"/>
      <c r="D494" s="156"/>
      <c r="E494" s="111"/>
      <c r="F494" s="112"/>
      <c r="G494" s="113"/>
      <c r="H494" s="53">
        <f t="shared" si="1"/>
        <v>0</v>
      </c>
      <c r="I494" s="115"/>
      <c r="J494" s="115"/>
      <c r="K494" s="60">
        <f t="shared" si="2"/>
        <v>0</v>
      </c>
      <c r="L494" s="117"/>
    </row>
    <row r="495" ht="15.75" customHeight="1">
      <c r="A495" s="9"/>
      <c r="B495" s="164"/>
      <c r="C495" s="110"/>
      <c r="D495" s="156"/>
      <c r="E495" s="111"/>
      <c r="F495" s="112"/>
      <c r="G495" s="113"/>
      <c r="H495" s="53">
        <f t="shared" si="1"/>
        <v>0</v>
      </c>
      <c r="I495" s="115"/>
      <c r="J495" s="115"/>
      <c r="K495" s="60">
        <f t="shared" si="2"/>
        <v>0</v>
      </c>
      <c r="L495" s="117"/>
    </row>
    <row r="496" ht="15.75" customHeight="1">
      <c r="A496" s="9"/>
      <c r="B496" s="164"/>
      <c r="C496" s="110"/>
      <c r="D496" s="156"/>
      <c r="E496" s="111"/>
      <c r="F496" s="112"/>
      <c r="G496" s="113"/>
      <c r="H496" s="53">
        <f t="shared" si="1"/>
        <v>0</v>
      </c>
      <c r="I496" s="115"/>
      <c r="J496" s="115"/>
      <c r="K496" s="60">
        <f t="shared" si="2"/>
        <v>0</v>
      </c>
      <c r="L496" s="117"/>
    </row>
    <row r="497" ht="15.75" customHeight="1">
      <c r="A497" s="9"/>
      <c r="B497" s="164"/>
      <c r="C497" s="110"/>
      <c r="D497" s="156"/>
      <c r="E497" s="111"/>
      <c r="F497" s="112"/>
      <c r="G497" s="113"/>
      <c r="H497" s="53">
        <f t="shared" si="1"/>
        <v>0</v>
      </c>
      <c r="I497" s="115"/>
      <c r="J497" s="115"/>
      <c r="K497" s="60">
        <f t="shared" si="2"/>
        <v>0</v>
      </c>
      <c r="L497" s="117"/>
    </row>
    <row r="498" ht="15.75" customHeight="1">
      <c r="A498" s="9"/>
      <c r="B498" s="164"/>
      <c r="C498" s="110"/>
      <c r="D498" s="156"/>
      <c r="E498" s="111"/>
      <c r="F498" s="112"/>
      <c r="G498" s="113"/>
      <c r="H498" s="53">
        <f t="shared" si="1"/>
        <v>0</v>
      </c>
      <c r="I498" s="115"/>
      <c r="J498" s="115"/>
      <c r="K498" s="60">
        <f t="shared" si="2"/>
        <v>0</v>
      </c>
      <c r="L498" s="117"/>
    </row>
    <row r="499" ht="15.75" customHeight="1">
      <c r="A499" s="9"/>
      <c r="B499" s="164"/>
      <c r="C499" s="110"/>
      <c r="D499" s="156"/>
      <c r="E499" s="111"/>
      <c r="F499" s="112"/>
      <c r="G499" s="113"/>
      <c r="H499" s="53">
        <f t="shared" si="1"/>
        <v>0</v>
      </c>
      <c r="I499" s="115"/>
      <c r="J499" s="115"/>
      <c r="K499" s="60">
        <f t="shared" si="2"/>
        <v>0</v>
      </c>
      <c r="L499" s="117"/>
    </row>
    <row r="500" ht="15.75" customHeight="1">
      <c r="A500" s="9"/>
      <c r="B500" s="164"/>
      <c r="C500" s="110"/>
      <c r="D500" s="156"/>
      <c r="E500" s="111"/>
      <c r="F500" s="112"/>
      <c r="G500" s="113"/>
      <c r="H500" s="53">
        <f t="shared" si="1"/>
        <v>0</v>
      </c>
      <c r="I500" s="115"/>
      <c r="J500" s="115"/>
      <c r="K500" s="60">
        <f t="shared" si="2"/>
        <v>0</v>
      </c>
      <c r="L500" s="117"/>
    </row>
    <row r="501" ht="15.75" customHeight="1">
      <c r="A501" s="9"/>
      <c r="B501" s="164"/>
      <c r="C501" s="110"/>
      <c r="D501" s="156"/>
      <c r="E501" s="111"/>
      <c r="F501" s="112"/>
      <c r="G501" s="113"/>
      <c r="H501" s="53">
        <f t="shared" si="1"/>
        <v>0</v>
      </c>
      <c r="I501" s="115"/>
      <c r="J501" s="115"/>
      <c r="K501" s="60">
        <f t="shared" si="2"/>
        <v>0</v>
      </c>
      <c r="L501" s="117"/>
    </row>
    <row r="502" ht="15.75" customHeight="1">
      <c r="A502" s="9"/>
      <c r="B502" s="164"/>
      <c r="C502" s="110"/>
      <c r="D502" s="156"/>
      <c r="E502" s="111"/>
      <c r="F502" s="112"/>
      <c r="G502" s="113"/>
      <c r="H502" s="53">
        <f t="shared" si="1"/>
        <v>0</v>
      </c>
      <c r="I502" s="115"/>
      <c r="J502" s="115"/>
      <c r="K502" s="60">
        <f t="shared" si="2"/>
        <v>0</v>
      </c>
      <c r="L502" s="117"/>
    </row>
    <row r="503" ht="15.75" customHeight="1">
      <c r="A503" s="9"/>
      <c r="B503" s="164"/>
      <c r="C503" s="110"/>
      <c r="D503" s="156"/>
      <c r="E503" s="111"/>
      <c r="F503" s="112"/>
      <c r="G503" s="113"/>
      <c r="H503" s="53">
        <f t="shared" si="1"/>
        <v>0</v>
      </c>
      <c r="I503" s="115"/>
      <c r="J503" s="115"/>
      <c r="K503" s="60">
        <f t="shared" si="2"/>
        <v>0</v>
      </c>
      <c r="L503" s="117"/>
    </row>
    <row r="504" ht="15.75" customHeight="1">
      <c r="A504" s="9"/>
      <c r="B504" s="164"/>
      <c r="C504" s="110"/>
      <c r="D504" s="156"/>
      <c r="E504" s="111"/>
      <c r="F504" s="112"/>
      <c r="G504" s="113"/>
      <c r="H504" s="53">
        <f t="shared" si="1"/>
        <v>0</v>
      </c>
      <c r="I504" s="115"/>
      <c r="J504" s="115"/>
      <c r="K504" s="60">
        <f t="shared" si="2"/>
        <v>0</v>
      </c>
      <c r="L504" s="117"/>
    </row>
    <row r="505" ht="15.75" customHeight="1">
      <c r="A505" s="9"/>
      <c r="B505" s="164"/>
      <c r="C505" s="110"/>
      <c r="D505" s="156"/>
      <c r="E505" s="111"/>
      <c r="F505" s="112"/>
      <c r="G505" s="113"/>
      <c r="H505" s="53">
        <f t="shared" si="1"/>
        <v>0</v>
      </c>
      <c r="I505" s="115"/>
      <c r="J505" s="115"/>
      <c r="K505" s="60">
        <f t="shared" si="2"/>
        <v>0</v>
      </c>
      <c r="L505" s="117"/>
    </row>
    <row r="506" ht="15.75" customHeight="1">
      <c r="A506" s="9"/>
      <c r="B506" s="164"/>
      <c r="C506" s="110"/>
      <c r="D506" s="156"/>
      <c r="E506" s="111"/>
      <c r="F506" s="112"/>
      <c r="G506" s="113"/>
      <c r="H506" s="53">
        <f t="shared" si="1"/>
        <v>0</v>
      </c>
      <c r="I506" s="115"/>
      <c r="J506" s="115"/>
      <c r="K506" s="60">
        <f t="shared" si="2"/>
        <v>0</v>
      </c>
      <c r="L506" s="117"/>
    </row>
    <row r="507" ht="15.75" customHeight="1">
      <c r="A507" s="9"/>
      <c r="B507" s="164"/>
      <c r="C507" s="110"/>
      <c r="D507" s="156"/>
      <c r="E507" s="111"/>
      <c r="F507" s="112"/>
      <c r="G507" s="113"/>
      <c r="H507" s="53">
        <f t="shared" si="1"/>
        <v>0</v>
      </c>
      <c r="I507" s="115"/>
      <c r="J507" s="115"/>
      <c r="K507" s="60">
        <f t="shared" si="2"/>
        <v>0</v>
      </c>
      <c r="L507" s="117"/>
    </row>
    <row r="508" ht="15.75" customHeight="1">
      <c r="A508" s="9"/>
      <c r="B508" s="164"/>
      <c r="C508" s="110"/>
      <c r="D508" s="156"/>
      <c r="E508" s="111"/>
      <c r="F508" s="112"/>
      <c r="G508" s="113"/>
      <c r="H508" s="53">
        <f t="shared" si="1"/>
        <v>0</v>
      </c>
      <c r="I508" s="115"/>
      <c r="J508" s="115"/>
      <c r="K508" s="60">
        <f t="shared" si="2"/>
        <v>0</v>
      </c>
      <c r="L508" s="117"/>
    </row>
    <row r="509" ht="15.75" customHeight="1">
      <c r="A509" s="9"/>
      <c r="B509" s="164"/>
      <c r="C509" s="110"/>
      <c r="D509" s="156"/>
      <c r="E509" s="111"/>
      <c r="F509" s="112"/>
      <c r="G509" s="113"/>
      <c r="H509" s="53">
        <f t="shared" si="1"/>
        <v>0</v>
      </c>
      <c r="I509" s="115"/>
      <c r="J509" s="115"/>
      <c r="K509" s="60">
        <f t="shared" si="2"/>
        <v>0</v>
      </c>
      <c r="L509" s="117"/>
    </row>
    <row r="510" ht="15.75" customHeight="1">
      <c r="A510" s="9"/>
      <c r="B510" s="164"/>
      <c r="C510" s="110"/>
      <c r="D510" s="156"/>
      <c r="E510" s="111"/>
      <c r="F510" s="112"/>
      <c r="G510" s="113"/>
      <c r="H510" s="53">
        <f t="shared" si="1"/>
        <v>0</v>
      </c>
      <c r="I510" s="115"/>
      <c r="J510" s="115"/>
      <c r="K510" s="60">
        <f t="shared" si="2"/>
        <v>0</v>
      </c>
      <c r="L510" s="117"/>
    </row>
    <row r="511" ht="15.75" customHeight="1">
      <c r="A511" s="9"/>
      <c r="B511" s="164"/>
      <c r="C511" s="110"/>
      <c r="D511" s="156"/>
      <c r="E511" s="111"/>
      <c r="F511" s="112"/>
      <c r="G511" s="113"/>
      <c r="H511" s="53">
        <f t="shared" si="1"/>
        <v>0</v>
      </c>
      <c r="I511" s="115"/>
      <c r="J511" s="115"/>
      <c r="K511" s="60">
        <f t="shared" si="2"/>
        <v>0</v>
      </c>
      <c r="L511" s="117"/>
    </row>
    <row r="512" ht="15.75" customHeight="1">
      <c r="A512" s="9"/>
      <c r="B512" s="164"/>
      <c r="C512" s="110"/>
      <c r="D512" s="156"/>
      <c r="E512" s="111"/>
      <c r="F512" s="112"/>
      <c r="G512" s="113"/>
      <c r="H512" s="53">
        <f t="shared" si="1"/>
        <v>0</v>
      </c>
      <c r="I512" s="115"/>
      <c r="J512" s="115"/>
      <c r="K512" s="60">
        <f t="shared" si="2"/>
        <v>0</v>
      </c>
      <c r="L512" s="117"/>
    </row>
    <row r="513" ht="15.75" customHeight="1">
      <c r="A513" s="9"/>
      <c r="B513" s="164"/>
      <c r="C513" s="110"/>
      <c r="D513" s="156"/>
      <c r="E513" s="111"/>
      <c r="F513" s="112"/>
      <c r="G513" s="113"/>
      <c r="H513" s="53">
        <f t="shared" si="1"/>
        <v>0</v>
      </c>
      <c r="I513" s="115"/>
      <c r="J513" s="115"/>
      <c r="K513" s="60">
        <f t="shared" si="2"/>
        <v>0</v>
      </c>
      <c r="L513" s="117"/>
    </row>
    <row r="514" ht="15.75" customHeight="1">
      <c r="A514" s="9"/>
      <c r="B514" s="164"/>
      <c r="C514" s="110"/>
      <c r="D514" s="156"/>
      <c r="E514" s="111"/>
      <c r="F514" s="112"/>
      <c r="G514" s="113"/>
      <c r="H514" s="53">
        <f t="shared" si="1"/>
        <v>0</v>
      </c>
      <c r="I514" s="115"/>
      <c r="J514" s="115"/>
      <c r="K514" s="60">
        <f t="shared" si="2"/>
        <v>0</v>
      </c>
      <c r="L514" s="117"/>
    </row>
    <row r="515" ht="15.75" customHeight="1">
      <c r="A515" s="9"/>
      <c r="B515" s="164"/>
      <c r="C515" s="110"/>
      <c r="D515" s="156"/>
      <c r="E515" s="111"/>
      <c r="F515" s="112"/>
      <c r="G515" s="113"/>
      <c r="H515" s="53">
        <f t="shared" si="1"/>
        <v>0</v>
      </c>
      <c r="I515" s="115"/>
      <c r="J515" s="115"/>
      <c r="K515" s="60">
        <f t="shared" si="2"/>
        <v>0</v>
      </c>
      <c r="L515" s="117"/>
    </row>
    <row r="516" ht="15.75" customHeight="1">
      <c r="A516" s="9"/>
      <c r="B516" s="164"/>
      <c r="C516" s="110"/>
      <c r="D516" s="156"/>
      <c r="E516" s="111"/>
      <c r="F516" s="112"/>
      <c r="G516" s="113"/>
      <c r="H516" s="53">
        <f t="shared" si="1"/>
        <v>0</v>
      </c>
      <c r="I516" s="115"/>
      <c r="J516" s="115"/>
      <c r="K516" s="60">
        <f t="shared" si="2"/>
        <v>0</v>
      </c>
      <c r="L516" s="117"/>
    </row>
    <row r="517" ht="15.75" customHeight="1">
      <c r="A517" s="9"/>
      <c r="B517" s="164"/>
      <c r="C517" s="110"/>
      <c r="D517" s="156"/>
      <c r="E517" s="111"/>
      <c r="F517" s="112"/>
      <c r="G517" s="113"/>
      <c r="H517" s="53">
        <f t="shared" si="1"/>
        <v>0</v>
      </c>
      <c r="I517" s="115"/>
      <c r="J517" s="115"/>
      <c r="K517" s="60">
        <f t="shared" si="2"/>
        <v>0</v>
      </c>
      <c r="L517" s="117"/>
    </row>
    <row r="518" ht="15.75" customHeight="1">
      <c r="A518" s="9"/>
      <c r="B518" s="164"/>
      <c r="C518" s="110"/>
      <c r="D518" s="156"/>
      <c r="E518" s="111"/>
      <c r="F518" s="112"/>
      <c r="G518" s="113"/>
      <c r="H518" s="53">
        <f t="shared" si="1"/>
        <v>0</v>
      </c>
      <c r="I518" s="115"/>
      <c r="J518" s="115"/>
      <c r="K518" s="60">
        <f t="shared" si="2"/>
        <v>0</v>
      </c>
      <c r="L518" s="117"/>
    </row>
    <row r="519" ht="15.75" customHeight="1">
      <c r="A519" s="9"/>
      <c r="B519" s="164"/>
      <c r="C519" s="110"/>
      <c r="D519" s="156"/>
      <c r="E519" s="111"/>
      <c r="F519" s="112"/>
      <c r="G519" s="113"/>
      <c r="H519" s="53">
        <f t="shared" si="1"/>
        <v>0</v>
      </c>
      <c r="I519" s="115"/>
      <c r="J519" s="115"/>
      <c r="K519" s="60">
        <f t="shared" si="2"/>
        <v>0</v>
      </c>
      <c r="L519" s="117"/>
    </row>
    <row r="520" ht="15.75" customHeight="1">
      <c r="A520" s="9"/>
      <c r="B520" s="164"/>
      <c r="C520" s="110"/>
      <c r="D520" s="156"/>
      <c r="E520" s="111"/>
      <c r="F520" s="112"/>
      <c r="G520" s="113"/>
      <c r="H520" s="53">
        <f t="shared" si="1"/>
        <v>0</v>
      </c>
      <c r="I520" s="115"/>
      <c r="J520" s="115"/>
      <c r="K520" s="60">
        <f t="shared" si="2"/>
        <v>0</v>
      </c>
      <c r="L520" s="117"/>
    </row>
    <row r="521" ht="15.75" customHeight="1">
      <c r="A521" s="9"/>
      <c r="B521" s="164"/>
      <c r="C521" s="110"/>
      <c r="D521" s="156"/>
      <c r="E521" s="111"/>
      <c r="F521" s="112"/>
      <c r="G521" s="113"/>
      <c r="H521" s="53">
        <f t="shared" si="1"/>
        <v>0</v>
      </c>
      <c r="I521" s="115"/>
      <c r="J521" s="115"/>
      <c r="K521" s="60">
        <f t="shared" si="2"/>
        <v>0</v>
      </c>
      <c r="L521" s="117"/>
    </row>
    <row r="522" ht="15.75" customHeight="1">
      <c r="A522" s="9"/>
      <c r="B522" s="164"/>
      <c r="C522" s="110"/>
      <c r="D522" s="156"/>
      <c r="E522" s="111"/>
      <c r="F522" s="112"/>
      <c r="G522" s="113"/>
      <c r="H522" s="53">
        <f t="shared" si="1"/>
        <v>0</v>
      </c>
      <c r="I522" s="115"/>
      <c r="J522" s="115"/>
      <c r="K522" s="60">
        <f t="shared" si="2"/>
        <v>0</v>
      </c>
      <c r="L522" s="117"/>
    </row>
    <row r="523" ht="15.75" customHeight="1">
      <c r="A523" s="9"/>
      <c r="B523" s="164"/>
      <c r="C523" s="110"/>
      <c r="D523" s="156"/>
      <c r="E523" s="111"/>
      <c r="F523" s="112"/>
      <c r="G523" s="113"/>
      <c r="H523" s="53">
        <f t="shared" si="1"/>
        <v>0</v>
      </c>
      <c r="I523" s="115"/>
      <c r="J523" s="115"/>
      <c r="K523" s="60">
        <f t="shared" si="2"/>
        <v>0</v>
      </c>
      <c r="L523" s="117"/>
    </row>
    <row r="524" ht="15.75" customHeight="1">
      <c r="A524" s="9"/>
      <c r="B524" s="164"/>
      <c r="C524" s="110"/>
      <c r="D524" s="156"/>
      <c r="E524" s="111"/>
      <c r="F524" s="112"/>
      <c r="G524" s="113"/>
      <c r="H524" s="53">
        <f t="shared" si="1"/>
        <v>0</v>
      </c>
      <c r="I524" s="115"/>
      <c r="J524" s="115"/>
      <c r="K524" s="60">
        <f t="shared" si="2"/>
        <v>0</v>
      </c>
      <c r="L524" s="117"/>
    </row>
    <row r="525" ht="15.75" customHeight="1">
      <c r="A525" s="9"/>
      <c r="B525" s="164"/>
      <c r="C525" s="110"/>
      <c r="D525" s="156"/>
      <c r="E525" s="111"/>
      <c r="F525" s="112"/>
      <c r="G525" s="113"/>
      <c r="H525" s="53">
        <f t="shared" si="1"/>
        <v>0</v>
      </c>
      <c r="I525" s="115"/>
      <c r="J525" s="115"/>
      <c r="K525" s="60">
        <f t="shared" si="2"/>
        <v>0</v>
      </c>
      <c r="L525" s="117"/>
    </row>
    <row r="526" ht="15.75" customHeight="1">
      <c r="A526" s="9"/>
      <c r="B526" s="164"/>
      <c r="C526" s="110"/>
      <c r="D526" s="156"/>
      <c r="E526" s="111"/>
      <c r="F526" s="112"/>
      <c r="G526" s="113"/>
      <c r="H526" s="53">
        <f t="shared" si="1"/>
        <v>0</v>
      </c>
      <c r="I526" s="115"/>
      <c r="J526" s="115"/>
      <c r="K526" s="60">
        <f t="shared" si="2"/>
        <v>0</v>
      </c>
      <c r="L526" s="117"/>
    </row>
    <row r="527" ht="15.75" customHeight="1">
      <c r="A527" s="9"/>
      <c r="B527" s="164"/>
      <c r="C527" s="110"/>
      <c r="D527" s="156"/>
      <c r="E527" s="111"/>
      <c r="F527" s="112"/>
      <c r="G527" s="113"/>
      <c r="H527" s="53">
        <f t="shared" si="1"/>
        <v>0</v>
      </c>
      <c r="I527" s="115"/>
      <c r="J527" s="115"/>
      <c r="K527" s="60">
        <f t="shared" si="2"/>
        <v>0</v>
      </c>
      <c r="L527" s="117"/>
    </row>
    <row r="528" ht="15.75" customHeight="1">
      <c r="A528" s="9"/>
      <c r="B528" s="164"/>
      <c r="C528" s="110"/>
      <c r="D528" s="156"/>
      <c r="E528" s="111"/>
      <c r="F528" s="112"/>
      <c r="G528" s="113"/>
      <c r="H528" s="53">
        <f t="shared" si="1"/>
        <v>0</v>
      </c>
      <c r="I528" s="115"/>
      <c r="J528" s="115"/>
      <c r="K528" s="60">
        <f t="shared" si="2"/>
        <v>0</v>
      </c>
      <c r="L528" s="117"/>
    </row>
    <row r="529" ht="15.75" customHeight="1">
      <c r="A529" s="9"/>
      <c r="B529" s="164"/>
      <c r="C529" s="110"/>
      <c r="D529" s="156"/>
      <c r="E529" s="111"/>
      <c r="F529" s="112"/>
      <c r="G529" s="113"/>
      <c r="H529" s="53">
        <f t="shared" si="1"/>
        <v>0</v>
      </c>
      <c r="I529" s="115"/>
      <c r="J529" s="115"/>
      <c r="K529" s="60">
        <f t="shared" si="2"/>
        <v>0</v>
      </c>
      <c r="L529" s="117"/>
    </row>
    <row r="530" ht="15.75" customHeight="1">
      <c r="A530" s="9"/>
      <c r="B530" s="164"/>
      <c r="C530" s="110"/>
      <c r="D530" s="156"/>
      <c r="E530" s="111"/>
      <c r="F530" s="112"/>
      <c r="G530" s="113"/>
      <c r="H530" s="53">
        <f t="shared" si="1"/>
        <v>0</v>
      </c>
      <c r="I530" s="115"/>
      <c r="J530" s="115"/>
      <c r="K530" s="60">
        <f t="shared" si="2"/>
        <v>0</v>
      </c>
      <c r="L530" s="117"/>
    </row>
    <row r="531" ht="15.75" customHeight="1">
      <c r="A531" s="9"/>
      <c r="B531" s="164"/>
      <c r="C531" s="110"/>
      <c r="D531" s="156"/>
      <c r="E531" s="111"/>
      <c r="F531" s="112"/>
      <c r="G531" s="113"/>
      <c r="H531" s="53">
        <f t="shared" si="1"/>
        <v>0</v>
      </c>
      <c r="I531" s="115"/>
      <c r="J531" s="115"/>
      <c r="K531" s="60">
        <f t="shared" si="2"/>
        <v>0</v>
      </c>
      <c r="L531" s="117"/>
    </row>
    <row r="532" ht="15.75" customHeight="1">
      <c r="A532" s="9"/>
      <c r="B532" s="164"/>
      <c r="C532" s="110"/>
      <c r="D532" s="156"/>
      <c r="E532" s="111"/>
      <c r="F532" s="112"/>
      <c r="G532" s="113"/>
      <c r="H532" s="53">
        <f t="shared" si="1"/>
        <v>0</v>
      </c>
      <c r="I532" s="115"/>
      <c r="J532" s="115"/>
      <c r="K532" s="60">
        <f t="shared" si="2"/>
        <v>0</v>
      </c>
      <c r="L532" s="117"/>
    </row>
    <row r="533" ht="15.75" customHeight="1">
      <c r="A533" s="9"/>
      <c r="B533" s="164"/>
      <c r="C533" s="110"/>
      <c r="D533" s="156"/>
      <c r="E533" s="111"/>
      <c r="F533" s="112"/>
      <c r="G533" s="113"/>
      <c r="H533" s="53">
        <f t="shared" si="1"/>
        <v>0</v>
      </c>
      <c r="I533" s="115"/>
      <c r="J533" s="115"/>
      <c r="K533" s="60">
        <f t="shared" si="2"/>
        <v>0</v>
      </c>
      <c r="L533" s="117"/>
    </row>
    <row r="534" ht="15.75" customHeight="1">
      <c r="A534" s="9"/>
      <c r="B534" s="164"/>
      <c r="C534" s="110"/>
      <c r="D534" s="156"/>
      <c r="E534" s="111"/>
      <c r="F534" s="112"/>
      <c r="G534" s="113"/>
      <c r="H534" s="53">
        <f t="shared" si="1"/>
        <v>0</v>
      </c>
      <c r="I534" s="115"/>
      <c r="J534" s="115"/>
      <c r="K534" s="60">
        <f t="shared" si="2"/>
        <v>0</v>
      </c>
      <c r="L534" s="117"/>
    </row>
    <row r="535" ht="15.75" customHeight="1">
      <c r="A535" s="9"/>
      <c r="B535" s="164"/>
      <c r="C535" s="110"/>
      <c r="D535" s="156"/>
      <c r="E535" s="111"/>
      <c r="F535" s="112"/>
      <c r="G535" s="113"/>
      <c r="H535" s="53">
        <f t="shared" si="1"/>
        <v>0</v>
      </c>
      <c r="I535" s="115"/>
      <c r="J535" s="115"/>
      <c r="K535" s="60">
        <f t="shared" si="2"/>
        <v>0</v>
      </c>
      <c r="L535" s="117"/>
    </row>
    <row r="536" ht="15.75" customHeight="1">
      <c r="A536" s="9"/>
      <c r="B536" s="164"/>
      <c r="C536" s="110"/>
      <c r="D536" s="156"/>
      <c r="E536" s="111"/>
      <c r="F536" s="112"/>
      <c r="G536" s="113"/>
      <c r="H536" s="53">
        <f t="shared" si="1"/>
        <v>0</v>
      </c>
      <c r="I536" s="115"/>
      <c r="J536" s="115"/>
      <c r="K536" s="60">
        <f t="shared" si="2"/>
        <v>0</v>
      </c>
      <c r="L536" s="117"/>
    </row>
    <row r="537" ht="15.75" customHeight="1">
      <c r="A537" s="9"/>
      <c r="B537" s="164"/>
      <c r="C537" s="110"/>
      <c r="D537" s="156"/>
      <c r="E537" s="111"/>
      <c r="F537" s="112"/>
      <c r="G537" s="113"/>
      <c r="H537" s="53">
        <f t="shared" si="1"/>
        <v>0</v>
      </c>
      <c r="I537" s="115"/>
      <c r="J537" s="115"/>
      <c r="K537" s="60">
        <f t="shared" si="2"/>
        <v>0</v>
      </c>
      <c r="L537" s="117"/>
    </row>
    <row r="538" ht="15.75" customHeight="1">
      <c r="A538" s="9"/>
      <c r="B538" s="164"/>
      <c r="C538" s="110"/>
      <c r="D538" s="156"/>
      <c r="E538" s="111"/>
      <c r="F538" s="112"/>
      <c r="G538" s="113"/>
      <c r="H538" s="53">
        <f t="shared" si="1"/>
        <v>0</v>
      </c>
      <c r="I538" s="115"/>
      <c r="J538" s="115"/>
      <c r="K538" s="60">
        <f t="shared" si="2"/>
        <v>0</v>
      </c>
      <c r="L538" s="117"/>
    </row>
    <row r="539" ht="15.75" customHeight="1">
      <c r="A539" s="9"/>
      <c r="B539" s="164"/>
      <c r="C539" s="110"/>
      <c r="D539" s="156"/>
      <c r="E539" s="111"/>
      <c r="F539" s="112"/>
      <c r="G539" s="113"/>
      <c r="H539" s="53">
        <f t="shared" si="1"/>
        <v>0</v>
      </c>
      <c r="I539" s="115"/>
      <c r="J539" s="115"/>
      <c r="K539" s="60">
        <f t="shared" si="2"/>
        <v>0</v>
      </c>
      <c r="L539" s="117"/>
    </row>
    <row r="540" ht="15.75" customHeight="1">
      <c r="A540" s="9"/>
      <c r="B540" s="164"/>
      <c r="C540" s="110"/>
      <c r="D540" s="156"/>
      <c r="E540" s="111"/>
      <c r="F540" s="112"/>
      <c r="G540" s="113"/>
      <c r="H540" s="53">
        <f t="shared" si="1"/>
        <v>0</v>
      </c>
      <c r="I540" s="115"/>
      <c r="J540" s="115"/>
      <c r="K540" s="60">
        <f t="shared" si="2"/>
        <v>0</v>
      </c>
      <c r="L540" s="117"/>
    </row>
    <row r="541" ht="15.75" customHeight="1">
      <c r="A541" s="9"/>
      <c r="B541" s="164"/>
      <c r="C541" s="110"/>
      <c r="D541" s="156"/>
      <c r="E541" s="111"/>
      <c r="F541" s="112"/>
      <c r="G541" s="113"/>
      <c r="H541" s="53">
        <f t="shared" si="1"/>
        <v>0</v>
      </c>
      <c r="I541" s="115"/>
      <c r="J541" s="115"/>
      <c r="K541" s="60">
        <f t="shared" si="2"/>
        <v>0</v>
      </c>
      <c r="L541" s="117"/>
    </row>
    <row r="542" ht="15.75" customHeight="1">
      <c r="A542" s="9"/>
      <c r="B542" s="164"/>
      <c r="C542" s="110"/>
      <c r="D542" s="156"/>
      <c r="E542" s="111"/>
      <c r="F542" s="112"/>
      <c r="G542" s="113"/>
      <c r="H542" s="53">
        <f t="shared" si="1"/>
        <v>0</v>
      </c>
      <c r="I542" s="115"/>
      <c r="J542" s="115"/>
      <c r="K542" s="60">
        <f t="shared" si="2"/>
        <v>0</v>
      </c>
      <c r="L542" s="117"/>
    </row>
    <row r="543" ht="15.75" customHeight="1">
      <c r="A543" s="9"/>
      <c r="B543" s="164"/>
      <c r="C543" s="110"/>
      <c r="D543" s="156"/>
      <c r="E543" s="111"/>
      <c r="F543" s="112"/>
      <c r="G543" s="113"/>
      <c r="H543" s="53">
        <f t="shared" si="1"/>
        <v>0</v>
      </c>
      <c r="I543" s="115"/>
      <c r="J543" s="115"/>
      <c r="K543" s="60">
        <f t="shared" si="2"/>
        <v>0</v>
      </c>
      <c r="L543" s="117"/>
    </row>
    <row r="544" ht="15.75" customHeight="1">
      <c r="A544" s="9"/>
      <c r="B544" s="164"/>
      <c r="C544" s="110"/>
      <c r="D544" s="156"/>
      <c r="E544" s="111"/>
      <c r="F544" s="112"/>
      <c r="G544" s="113"/>
      <c r="H544" s="53">
        <f t="shared" si="1"/>
        <v>0</v>
      </c>
      <c r="I544" s="115"/>
      <c r="J544" s="115"/>
      <c r="K544" s="60">
        <f t="shared" si="2"/>
        <v>0</v>
      </c>
      <c r="L544" s="117"/>
    </row>
    <row r="545" ht="15.75" customHeight="1">
      <c r="A545" s="9"/>
      <c r="B545" s="164"/>
      <c r="C545" s="110"/>
      <c r="D545" s="156"/>
      <c r="E545" s="111"/>
      <c r="F545" s="112"/>
      <c r="G545" s="113"/>
      <c r="H545" s="53">
        <f t="shared" si="1"/>
        <v>0</v>
      </c>
      <c r="I545" s="115"/>
      <c r="J545" s="115"/>
      <c r="K545" s="60">
        <f t="shared" si="2"/>
        <v>0</v>
      </c>
      <c r="L545" s="117"/>
    </row>
    <row r="546" ht="15.75" customHeight="1">
      <c r="A546" s="9"/>
      <c r="B546" s="164"/>
      <c r="C546" s="110"/>
      <c r="D546" s="156"/>
      <c r="E546" s="111"/>
      <c r="F546" s="112"/>
      <c r="G546" s="113"/>
      <c r="H546" s="53">
        <f t="shared" si="1"/>
        <v>0</v>
      </c>
      <c r="I546" s="115"/>
      <c r="J546" s="115"/>
      <c r="K546" s="60">
        <f t="shared" si="2"/>
        <v>0</v>
      </c>
      <c r="L546" s="117"/>
    </row>
    <row r="547" ht="15.75" customHeight="1">
      <c r="A547" s="9"/>
      <c r="B547" s="164"/>
      <c r="C547" s="110"/>
      <c r="D547" s="156"/>
      <c r="E547" s="111"/>
      <c r="F547" s="112"/>
      <c r="G547" s="113"/>
      <c r="H547" s="53">
        <f t="shared" si="1"/>
        <v>0</v>
      </c>
      <c r="I547" s="115"/>
      <c r="J547" s="115"/>
      <c r="K547" s="60">
        <f t="shared" si="2"/>
        <v>0</v>
      </c>
      <c r="L547" s="117"/>
    </row>
    <row r="548" ht="15.75" customHeight="1">
      <c r="A548" s="9"/>
      <c r="B548" s="164"/>
      <c r="C548" s="110"/>
      <c r="D548" s="156"/>
      <c r="E548" s="111"/>
      <c r="F548" s="112"/>
      <c r="G548" s="113"/>
      <c r="H548" s="53">
        <f t="shared" si="1"/>
        <v>0</v>
      </c>
      <c r="I548" s="115"/>
      <c r="J548" s="115"/>
      <c r="K548" s="60">
        <f t="shared" si="2"/>
        <v>0</v>
      </c>
      <c r="L548" s="117"/>
    </row>
    <row r="549" ht="15.75" customHeight="1">
      <c r="A549" s="9"/>
      <c r="B549" s="164"/>
      <c r="C549" s="110"/>
      <c r="D549" s="156"/>
      <c r="E549" s="111"/>
      <c r="F549" s="112"/>
      <c r="G549" s="113"/>
      <c r="H549" s="53">
        <f t="shared" si="1"/>
        <v>0</v>
      </c>
      <c r="I549" s="115"/>
      <c r="J549" s="115"/>
      <c r="K549" s="60">
        <f t="shared" si="2"/>
        <v>0</v>
      </c>
      <c r="L549" s="117"/>
    </row>
    <row r="550" ht="15.75" customHeight="1">
      <c r="A550" s="9"/>
      <c r="B550" s="164"/>
      <c r="C550" s="110"/>
      <c r="D550" s="156"/>
      <c r="E550" s="111"/>
      <c r="F550" s="112"/>
      <c r="G550" s="113"/>
      <c r="H550" s="53">
        <f t="shared" si="1"/>
        <v>0</v>
      </c>
      <c r="I550" s="115"/>
      <c r="J550" s="115"/>
      <c r="K550" s="60">
        <f t="shared" si="2"/>
        <v>0</v>
      </c>
      <c r="L550" s="117"/>
    </row>
    <row r="551" ht="15.75" customHeight="1">
      <c r="A551" s="9"/>
      <c r="B551" s="164"/>
      <c r="C551" s="110"/>
      <c r="D551" s="156"/>
      <c r="E551" s="111"/>
      <c r="F551" s="112"/>
      <c r="G551" s="113"/>
      <c r="H551" s="53">
        <f t="shared" si="1"/>
        <v>0</v>
      </c>
      <c r="I551" s="115"/>
      <c r="J551" s="115"/>
      <c r="K551" s="60">
        <f t="shared" si="2"/>
        <v>0</v>
      </c>
      <c r="L551" s="117"/>
    </row>
    <row r="552" ht="15.75" customHeight="1">
      <c r="A552" s="9"/>
      <c r="B552" s="164"/>
      <c r="C552" s="110"/>
      <c r="D552" s="156"/>
      <c r="E552" s="111"/>
      <c r="F552" s="112"/>
      <c r="G552" s="113"/>
      <c r="H552" s="53">
        <f t="shared" si="1"/>
        <v>0</v>
      </c>
      <c r="I552" s="115"/>
      <c r="J552" s="115"/>
      <c r="K552" s="60">
        <f t="shared" si="2"/>
        <v>0</v>
      </c>
      <c r="L552" s="117"/>
    </row>
    <row r="553" ht="15.75" customHeight="1">
      <c r="A553" s="9"/>
      <c r="B553" s="164"/>
      <c r="C553" s="110"/>
      <c r="D553" s="156"/>
      <c r="E553" s="111"/>
      <c r="F553" s="112"/>
      <c r="G553" s="113"/>
      <c r="H553" s="53">
        <f t="shared" si="1"/>
        <v>0</v>
      </c>
      <c r="I553" s="115"/>
      <c r="J553" s="115"/>
      <c r="K553" s="60">
        <f t="shared" si="2"/>
        <v>0</v>
      </c>
      <c r="L553" s="117"/>
    </row>
    <row r="554" ht="15.75" customHeight="1">
      <c r="A554" s="9"/>
      <c r="B554" s="164"/>
      <c r="C554" s="110"/>
      <c r="D554" s="156"/>
      <c r="E554" s="111"/>
      <c r="F554" s="112"/>
      <c r="G554" s="113"/>
      <c r="H554" s="53">
        <f t="shared" si="1"/>
        <v>0</v>
      </c>
      <c r="I554" s="115"/>
      <c r="J554" s="115"/>
      <c r="K554" s="60">
        <f t="shared" si="2"/>
        <v>0</v>
      </c>
      <c r="L554" s="117"/>
    </row>
    <row r="555" ht="15.75" customHeight="1">
      <c r="A555" s="9"/>
      <c r="B555" s="164"/>
      <c r="C555" s="110"/>
      <c r="D555" s="156"/>
      <c r="E555" s="111"/>
      <c r="F555" s="112"/>
      <c r="G555" s="113"/>
      <c r="H555" s="53">
        <f t="shared" si="1"/>
        <v>0</v>
      </c>
      <c r="I555" s="115"/>
      <c r="J555" s="115"/>
      <c r="K555" s="60">
        <f t="shared" si="2"/>
        <v>0</v>
      </c>
      <c r="L555" s="117"/>
    </row>
    <row r="556" ht="15.75" customHeight="1">
      <c r="A556" s="9"/>
      <c r="B556" s="164"/>
      <c r="C556" s="110"/>
      <c r="D556" s="156"/>
      <c r="E556" s="111"/>
      <c r="F556" s="112"/>
      <c r="G556" s="113"/>
      <c r="H556" s="53">
        <f t="shared" si="1"/>
        <v>0</v>
      </c>
      <c r="I556" s="115"/>
      <c r="J556" s="115"/>
      <c r="K556" s="60">
        <f t="shared" si="2"/>
        <v>0</v>
      </c>
      <c r="L556" s="117"/>
    </row>
    <row r="557" ht="15.75" customHeight="1">
      <c r="A557" s="9"/>
      <c r="B557" s="164"/>
      <c r="C557" s="110"/>
      <c r="D557" s="156"/>
      <c r="E557" s="111"/>
      <c r="F557" s="112"/>
      <c r="G557" s="113"/>
      <c r="H557" s="53">
        <f t="shared" si="1"/>
        <v>0</v>
      </c>
      <c r="I557" s="115"/>
      <c r="J557" s="115"/>
      <c r="K557" s="60">
        <f t="shared" si="2"/>
        <v>0</v>
      </c>
      <c r="L557" s="117"/>
    </row>
    <row r="558" ht="15.75" customHeight="1">
      <c r="A558" s="9"/>
      <c r="B558" s="164"/>
      <c r="C558" s="110"/>
      <c r="D558" s="156"/>
      <c r="E558" s="111"/>
      <c r="F558" s="112"/>
      <c r="G558" s="113"/>
      <c r="H558" s="53">
        <f t="shared" si="1"/>
        <v>0</v>
      </c>
      <c r="I558" s="115"/>
      <c r="J558" s="115"/>
      <c r="K558" s="60">
        <f t="shared" si="2"/>
        <v>0</v>
      </c>
      <c r="L558" s="117"/>
    </row>
    <row r="559" ht="15.75" customHeight="1">
      <c r="A559" s="9"/>
      <c r="B559" s="164"/>
      <c r="C559" s="110"/>
      <c r="D559" s="156"/>
      <c r="E559" s="111"/>
      <c r="F559" s="112"/>
      <c r="G559" s="113"/>
      <c r="H559" s="53">
        <f t="shared" si="1"/>
        <v>0</v>
      </c>
      <c r="I559" s="115"/>
      <c r="J559" s="115"/>
      <c r="K559" s="60">
        <f t="shared" si="2"/>
        <v>0</v>
      </c>
      <c r="L559" s="117"/>
    </row>
    <row r="560" ht="15.75" customHeight="1">
      <c r="A560" s="9"/>
      <c r="B560" s="164"/>
      <c r="C560" s="110"/>
      <c r="D560" s="156"/>
      <c r="E560" s="111"/>
      <c r="F560" s="112"/>
      <c r="G560" s="113"/>
      <c r="H560" s="53">
        <f t="shared" si="1"/>
        <v>0</v>
      </c>
      <c r="I560" s="115"/>
      <c r="J560" s="115"/>
      <c r="K560" s="60">
        <f t="shared" si="2"/>
        <v>0</v>
      </c>
      <c r="L560" s="117"/>
    </row>
    <row r="561" ht="15.75" customHeight="1">
      <c r="A561" s="9"/>
      <c r="B561" s="164"/>
      <c r="C561" s="110"/>
      <c r="D561" s="156"/>
      <c r="E561" s="111"/>
      <c r="F561" s="112"/>
      <c r="G561" s="113"/>
      <c r="H561" s="53">
        <f t="shared" si="1"/>
        <v>0</v>
      </c>
      <c r="I561" s="115"/>
      <c r="J561" s="115"/>
      <c r="K561" s="60">
        <f t="shared" si="2"/>
        <v>0</v>
      </c>
      <c r="L561" s="117"/>
    </row>
    <row r="562" ht="15.75" customHeight="1">
      <c r="A562" s="9"/>
      <c r="B562" s="164"/>
      <c r="C562" s="110"/>
      <c r="D562" s="156"/>
      <c r="E562" s="111"/>
      <c r="F562" s="112"/>
      <c r="G562" s="113"/>
      <c r="H562" s="53">
        <f t="shared" si="1"/>
        <v>0</v>
      </c>
      <c r="I562" s="115"/>
      <c r="J562" s="115"/>
      <c r="K562" s="60">
        <f t="shared" si="2"/>
        <v>0</v>
      </c>
      <c r="L562" s="117"/>
    </row>
    <row r="563" ht="15.75" customHeight="1">
      <c r="A563" s="9"/>
      <c r="B563" s="164"/>
      <c r="C563" s="110"/>
      <c r="D563" s="156"/>
      <c r="E563" s="111"/>
      <c r="F563" s="112"/>
      <c r="G563" s="113"/>
      <c r="H563" s="53">
        <f t="shared" si="1"/>
        <v>0</v>
      </c>
      <c r="I563" s="115"/>
      <c r="J563" s="115"/>
      <c r="K563" s="60">
        <f t="shared" si="2"/>
        <v>0</v>
      </c>
      <c r="L563" s="117"/>
    </row>
    <row r="564" ht="15.75" customHeight="1">
      <c r="A564" s="9"/>
      <c r="B564" s="164"/>
      <c r="C564" s="110"/>
      <c r="D564" s="156"/>
      <c r="E564" s="111"/>
      <c r="F564" s="112"/>
      <c r="G564" s="113"/>
      <c r="H564" s="53">
        <f t="shared" si="1"/>
        <v>0</v>
      </c>
      <c r="I564" s="115"/>
      <c r="J564" s="115"/>
      <c r="K564" s="60">
        <f t="shared" si="2"/>
        <v>0</v>
      </c>
      <c r="L564" s="117"/>
    </row>
    <row r="565" ht="15.75" customHeight="1">
      <c r="A565" s="9"/>
      <c r="B565" s="164"/>
      <c r="C565" s="110"/>
      <c r="D565" s="156"/>
      <c r="E565" s="111"/>
      <c r="F565" s="112"/>
      <c r="G565" s="113"/>
      <c r="H565" s="53">
        <f t="shared" si="1"/>
        <v>0</v>
      </c>
      <c r="I565" s="115"/>
      <c r="J565" s="115"/>
      <c r="K565" s="60">
        <f t="shared" si="2"/>
        <v>0</v>
      </c>
      <c r="L565" s="117"/>
    </row>
    <row r="566" ht="15.75" customHeight="1">
      <c r="A566" s="9"/>
      <c r="B566" s="164"/>
      <c r="C566" s="110"/>
      <c r="D566" s="156"/>
      <c r="E566" s="111"/>
      <c r="F566" s="112"/>
      <c r="G566" s="113"/>
      <c r="H566" s="53">
        <f t="shared" si="1"/>
        <v>0</v>
      </c>
      <c r="I566" s="115"/>
      <c r="J566" s="115"/>
      <c r="K566" s="60">
        <f t="shared" si="2"/>
        <v>0</v>
      </c>
      <c r="L566" s="117"/>
    </row>
    <row r="567" ht="15.75" customHeight="1">
      <c r="A567" s="9"/>
      <c r="B567" s="164"/>
      <c r="C567" s="110"/>
      <c r="D567" s="156"/>
      <c r="E567" s="111"/>
      <c r="F567" s="112"/>
      <c r="G567" s="113"/>
      <c r="H567" s="53">
        <f t="shared" si="1"/>
        <v>0</v>
      </c>
      <c r="I567" s="115"/>
      <c r="J567" s="115"/>
      <c r="K567" s="60">
        <f t="shared" si="2"/>
        <v>0</v>
      </c>
      <c r="L567" s="117"/>
    </row>
    <row r="568" ht="15.75" customHeight="1">
      <c r="A568" s="9"/>
      <c r="B568" s="164"/>
      <c r="C568" s="110"/>
      <c r="D568" s="156"/>
      <c r="E568" s="111"/>
      <c r="F568" s="112"/>
      <c r="G568" s="113"/>
      <c r="H568" s="53">
        <f t="shared" si="1"/>
        <v>0</v>
      </c>
      <c r="I568" s="115"/>
      <c r="J568" s="115"/>
      <c r="K568" s="60">
        <f t="shared" si="2"/>
        <v>0</v>
      </c>
      <c r="L568" s="117"/>
    </row>
    <row r="569" ht="15.75" customHeight="1">
      <c r="A569" s="9"/>
      <c r="B569" s="164"/>
      <c r="C569" s="110"/>
      <c r="D569" s="156"/>
      <c r="E569" s="111"/>
      <c r="F569" s="112"/>
      <c r="G569" s="113"/>
      <c r="H569" s="53">
        <f t="shared" si="1"/>
        <v>0</v>
      </c>
      <c r="I569" s="115"/>
      <c r="J569" s="115"/>
      <c r="K569" s="60">
        <f t="shared" si="2"/>
        <v>0</v>
      </c>
      <c r="L569" s="117"/>
    </row>
    <row r="570" ht="15.75" customHeight="1">
      <c r="A570" s="9"/>
      <c r="B570" s="164"/>
      <c r="C570" s="110"/>
      <c r="D570" s="156"/>
      <c r="E570" s="111"/>
      <c r="F570" s="112"/>
      <c r="G570" s="113"/>
      <c r="H570" s="53">
        <f t="shared" si="1"/>
        <v>0</v>
      </c>
      <c r="I570" s="115"/>
      <c r="J570" s="115"/>
      <c r="K570" s="60">
        <f t="shared" si="2"/>
        <v>0</v>
      </c>
      <c r="L570" s="117"/>
    </row>
    <row r="571" ht="15.75" customHeight="1">
      <c r="A571" s="9"/>
      <c r="B571" s="164"/>
      <c r="C571" s="110"/>
      <c r="D571" s="156"/>
      <c r="E571" s="111"/>
      <c r="F571" s="112"/>
      <c r="G571" s="113"/>
      <c r="H571" s="53">
        <f t="shared" si="1"/>
        <v>0</v>
      </c>
      <c r="I571" s="115"/>
      <c r="J571" s="115"/>
      <c r="K571" s="60">
        <f t="shared" si="2"/>
        <v>0</v>
      </c>
      <c r="L571" s="117"/>
    </row>
    <row r="572" ht="15.75" customHeight="1">
      <c r="A572" s="9"/>
      <c r="B572" s="164"/>
      <c r="C572" s="110"/>
      <c r="D572" s="156"/>
      <c r="E572" s="111"/>
      <c r="F572" s="112"/>
      <c r="G572" s="113"/>
      <c r="H572" s="53">
        <f t="shared" si="1"/>
        <v>0</v>
      </c>
      <c r="I572" s="115"/>
      <c r="J572" s="115"/>
      <c r="K572" s="60">
        <f t="shared" si="2"/>
        <v>0</v>
      </c>
      <c r="L572" s="117"/>
    </row>
    <row r="573" ht="15.75" customHeight="1">
      <c r="A573" s="9"/>
      <c r="B573" s="164"/>
      <c r="C573" s="110"/>
      <c r="D573" s="156"/>
      <c r="E573" s="111"/>
      <c r="F573" s="112"/>
      <c r="G573" s="113"/>
      <c r="H573" s="53">
        <f t="shared" si="1"/>
        <v>0</v>
      </c>
      <c r="I573" s="115"/>
      <c r="J573" s="115"/>
      <c r="K573" s="60">
        <f t="shared" si="2"/>
        <v>0</v>
      </c>
      <c r="L573" s="117"/>
    </row>
    <row r="574" ht="15.75" customHeight="1">
      <c r="A574" s="9"/>
      <c r="B574" s="164"/>
      <c r="C574" s="110"/>
      <c r="D574" s="156"/>
      <c r="E574" s="111"/>
      <c r="F574" s="112"/>
      <c r="G574" s="113"/>
      <c r="H574" s="53">
        <f t="shared" si="1"/>
        <v>0</v>
      </c>
      <c r="I574" s="115"/>
      <c r="J574" s="115"/>
      <c r="K574" s="60">
        <f t="shared" si="2"/>
        <v>0</v>
      </c>
      <c r="L574" s="117"/>
    </row>
    <row r="575" ht="15.75" customHeight="1">
      <c r="A575" s="9"/>
      <c r="B575" s="164"/>
      <c r="C575" s="110"/>
      <c r="D575" s="156"/>
      <c r="E575" s="111"/>
      <c r="F575" s="112"/>
      <c r="G575" s="113"/>
      <c r="H575" s="53">
        <f t="shared" si="1"/>
        <v>0</v>
      </c>
      <c r="I575" s="115"/>
      <c r="J575" s="115"/>
      <c r="K575" s="60">
        <f t="shared" si="2"/>
        <v>0</v>
      </c>
      <c r="L575" s="117"/>
    </row>
    <row r="576" ht="15.75" customHeight="1">
      <c r="A576" s="9"/>
      <c r="B576" s="164"/>
      <c r="C576" s="110"/>
      <c r="D576" s="156"/>
      <c r="E576" s="111"/>
      <c r="F576" s="112"/>
      <c r="G576" s="113"/>
      <c r="H576" s="53">
        <f t="shared" si="1"/>
        <v>0</v>
      </c>
      <c r="I576" s="115"/>
      <c r="J576" s="115"/>
      <c r="K576" s="60">
        <f t="shared" si="2"/>
        <v>0</v>
      </c>
      <c r="L576" s="117"/>
    </row>
    <row r="577" ht="15.75" customHeight="1">
      <c r="A577" s="9"/>
      <c r="B577" s="164"/>
      <c r="C577" s="110"/>
      <c r="D577" s="156"/>
      <c r="E577" s="111"/>
      <c r="F577" s="112"/>
      <c r="G577" s="113"/>
      <c r="H577" s="53">
        <f t="shared" si="1"/>
        <v>0</v>
      </c>
      <c r="I577" s="115"/>
      <c r="J577" s="115"/>
      <c r="K577" s="60">
        <f t="shared" si="2"/>
        <v>0</v>
      </c>
      <c r="L577" s="117"/>
    </row>
    <row r="578" ht="15.75" customHeight="1">
      <c r="A578" s="9"/>
      <c r="B578" s="164"/>
      <c r="C578" s="110"/>
      <c r="D578" s="156"/>
      <c r="E578" s="111"/>
      <c r="F578" s="112"/>
      <c r="G578" s="113"/>
      <c r="H578" s="53">
        <f t="shared" si="1"/>
        <v>0</v>
      </c>
      <c r="I578" s="115"/>
      <c r="J578" s="115"/>
      <c r="K578" s="60">
        <f t="shared" si="2"/>
        <v>0</v>
      </c>
      <c r="L578" s="117"/>
    </row>
    <row r="579" ht="15.75" customHeight="1">
      <c r="A579" s="9"/>
      <c r="B579" s="164"/>
      <c r="C579" s="110"/>
      <c r="D579" s="156"/>
      <c r="E579" s="111"/>
      <c r="F579" s="112"/>
      <c r="G579" s="113"/>
      <c r="H579" s="53">
        <f t="shared" si="1"/>
        <v>0</v>
      </c>
      <c r="I579" s="115"/>
      <c r="J579" s="115"/>
      <c r="K579" s="60">
        <f t="shared" si="2"/>
        <v>0</v>
      </c>
      <c r="L579" s="117"/>
    </row>
    <row r="580" ht="15.75" customHeight="1">
      <c r="A580" s="9"/>
      <c r="B580" s="164"/>
      <c r="C580" s="110"/>
      <c r="D580" s="156"/>
      <c r="E580" s="111"/>
      <c r="F580" s="112"/>
      <c r="G580" s="113"/>
      <c r="H580" s="53">
        <f t="shared" si="1"/>
        <v>0</v>
      </c>
      <c r="I580" s="115"/>
      <c r="J580" s="115"/>
      <c r="K580" s="60">
        <f t="shared" si="2"/>
        <v>0</v>
      </c>
      <c r="L580" s="117"/>
    </row>
    <row r="581" ht="15.75" customHeight="1">
      <c r="A581" s="9"/>
      <c r="B581" s="164"/>
      <c r="C581" s="110"/>
      <c r="D581" s="156"/>
      <c r="E581" s="111"/>
      <c r="F581" s="112"/>
      <c r="G581" s="113"/>
      <c r="H581" s="53">
        <f t="shared" si="1"/>
        <v>0</v>
      </c>
      <c r="I581" s="115"/>
      <c r="J581" s="115"/>
      <c r="K581" s="60">
        <f t="shared" si="2"/>
        <v>0</v>
      </c>
      <c r="L581" s="117"/>
    </row>
    <row r="582" ht="15.75" customHeight="1">
      <c r="A582" s="9"/>
      <c r="B582" s="164"/>
      <c r="C582" s="110"/>
      <c r="D582" s="156"/>
      <c r="E582" s="111"/>
      <c r="F582" s="112"/>
      <c r="G582" s="113"/>
      <c r="H582" s="53">
        <f t="shared" si="1"/>
        <v>0</v>
      </c>
      <c r="I582" s="115"/>
      <c r="J582" s="115"/>
      <c r="K582" s="60">
        <f t="shared" si="2"/>
        <v>0</v>
      </c>
      <c r="L582" s="117"/>
    </row>
    <row r="583" ht="15.75" customHeight="1">
      <c r="A583" s="9"/>
      <c r="B583" s="164"/>
      <c r="C583" s="110"/>
      <c r="D583" s="156"/>
      <c r="E583" s="111"/>
      <c r="F583" s="112"/>
      <c r="G583" s="113"/>
      <c r="H583" s="53">
        <f t="shared" si="1"/>
        <v>0</v>
      </c>
      <c r="I583" s="115"/>
      <c r="J583" s="115"/>
      <c r="K583" s="60">
        <f t="shared" si="2"/>
        <v>0</v>
      </c>
      <c r="L583" s="117"/>
    </row>
    <row r="584" ht="15.75" customHeight="1">
      <c r="A584" s="9"/>
      <c r="B584" s="164"/>
      <c r="C584" s="110"/>
      <c r="D584" s="156"/>
      <c r="E584" s="111"/>
      <c r="F584" s="112"/>
      <c r="G584" s="113"/>
      <c r="H584" s="53">
        <f t="shared" si="1"/>
        <v>0</v>
      </c>
      <c r="I584" s="115"/>
      <c r="J584" s="115"/>
      <c r="K584" s="60">
        <f t="shared" si="2"/>
        <v>0</v>
      </c>
      <c r="L584" s="117"/>
    </row>
    <row r="585" ht="15.75" customHeight="1">
      <c r="A585" s="9"/>
      <c r="B585" s="164"/>
      <c r="C585" s="110"/>
      <c r="D585" s="156"/>
      <c r="E585" s="111"/>
      <c r="F585" s="112"/>
      <c r="G585" s="113"/>
      <c r="H585" s="53">
        <f t="shared" si="1"/>
        <v>0</v>
      </c>
      <c r="I585" s="115"/>
      <c r="J585" s="115"/>
      <c r="K585" s="60">
        <f t="shared" si="2"/>
        <v>0</v>
      </c>
      <c r="L585" s="117"/>
    </row>
    <row r="586" ht="15.75" customHeight="1">
      <c r="A586" s="9"/>
      <c r="B586" s="164"/>
      <c r="C586" s="110"/>
      <c r="D586" s="156"/>
      <c r="E586" s="111"/>
      <c r="F586" s="112"/>
      <c r="G586" s="113"/>
      <c r="H586" s="53">
        <f t="shared" si="1"/>
        <v>0</v>
      </c>
      <c r="I586" s="115"/>
      <c r="J586" s="115"/>
      <c r="K586" s="60">
        <f t="shared" si="2"/>
        <v>0</v>
      </c>
      <c r="L586" s="117"/>
    </row>
    <row r="587" ht="15.75" customHeight="1">
      <c r="A587" s="9"/>
      <c r="B587" s="164"/>
      <c r="C587" s="110"/>
      <c r="D587" s="156"/>
      <c r="E587" s="111"/>
      <c r="F587" s="112"/>
      <c r="G587" s="113"/>
      <c r="H587" s="53">
        <f t="shared" si="1"/>
        <v>0</v>
      </c>
      <c r="I587" s="115"/>
      <c r="J587" s="115"/>
      <c r="K587" s="60">
        <f t="shared" si="2"/>
        <v>0</v>
      </c>
      <c r="L587" s="117"/>
    </row>
    <row r="588" ht="15.75" customHeight="1">
      <c r="A588" s="9"/>
      <c r="B588" s="164"/>
      <c r="C588" s="110"/>
      <c r="D588" s="156"/>
      <c r="E588" s="111"/>
      <c r="F588" s="112"/>
      <c r="G588" s="113"/>
      <c r="H588" s="53">
        <f t="shared" si="1"/>
        <v>0</v>
      </c>
      <c r="I588" s="115"/>
      <c r="J588" s="115"/>
      <c r="K588" s="60">
        <f t="shared" si="2"/>
        <v>0</v>
      </c>
      <c r="L588" s="117"/>
    </row>
    <row r="589" ht="15.75" customHeight="1">
      <c r="A589" s="9"/>
      <c r="B589" s="164"/>
      <c r="C589" s="110"/>
      <c r="D589" s="156"/>
      <c r="E589" s="111"/>
      <c r="F589" s="112"/>
      <c r="G589" s="113"/>
      <c r="H589" s="53">
        <f t="shared" si="1"/>
        <v>0</v>
      </c>
      <c r="I589" s="115"/>
      <c r="J589" s="115"/>
      <c r="K589" s="60">
        <f t="shared" si="2"/>
        <v>0</v>
      </c>
      <c r="L589" s="117"/>
    </row>
    <row r="590" ht="15.75" customHeight="1">
      <c r="A590" s="9"/>
      <c r="B590" s="164"/>
      <c r="C590" s="110"/>
      <c r="D590" s="156"/>
      <c r="E590" s="111"/>
      <c r="F590" s="112"/>
      <c r="G590" s="113"/>
      <c r="H590" s="53">
        <f t="shared" si="1"/>
        <v>0</v>
      </c>
      <c r="I590" s="115"/>
      <c r="J590" s="115"/>
      <c r="K590" s="60">
        <f t="shared" si="2"/>
        <v>0</v>
      </c>
      <c r="L590" s="117"/>
    </row>
    <row r="591" ht="15.75" customHeight="1">
      <c r="A591" s="9"/>
      <c r="B591" s="164"/>
      <c r="C591" s="110"/>
      <c r="D591" s="156"/>
      <c r="E591" s="111"/>
      <c r="F591" s="112"/>
      <c r="G591" s="113"/>
      <c r="H591" s="53">
        <f t="shared" si="1"/>
        <v>0</v>
      </c>
      <c r="I591" s="115"/>
      <c r="J591" s="115"/>
      <c r="K591" s="60">
        <f t="shared" si="2"/>
        <v>0</v>
      </c>
      <c r="L591" s="117"/>
    </row>
    <row r="592" ht="15.75" customHeight="1">
      <c r="A592" s="9"/>
      <c r="B592" s="164"/>
      <c r="C592" s="110"/>
      <c r="D592" s="156"/>
      <c r="E592" s="111"/>
      <c r="F592" s="112"/>
      <c r="G592" s="113"/>
      <c r="H592" s="53">
        <f t="shared" si="1"/>
        <v>0</v>
      </c>
      <c r="I592" s="115"/>
      <c r="J592" s="115"/>
      <c r="K592" s="60">
        <f t="shared" si="2"/>
        <v>0</v>
      </c>
      <c r="L592" s="117"/>
    </row>
    <row r="593" ht="15.75" customHeight="1">
      <c r="A593" s="9"/>
      <c r="B593" s="164"/>
      <c r="C593" s="110"/>
      <c r="D593" s="156"/>
      <c r="E593" s="111"/>
      <c r="F593" s="112"/>
      <c r="G593" s="113"/>
      <c r="H593" s="53">
        <f t="shared" si="1"/>
        <v>0</v>
      </c>
      <c r="I593" s="115"/>
      <c r="J593" s="115"/>
      <c r="K593" s="60">
        <f t="shared" si="2"/>
        <v>0</v>
      </c>
      <c r="L593" s="117"/>
    </row>
    <row r="594" ht="15.75" customHeight="1">
      <c r="A594" s="9"/>
      <c r="B594" s="164"/>
      <c r="C594" s="110"/>
      <c r="D594" s="156"/>
      <c r="E594" s="111"/>
      <c r="F594" s="112"/>
      <c r="G594" s="113"/>
      <c r="H594" s="53">
        <f t="shared" si="1"/>
        <v>0</v>
      </c>
      <c r="I594" s="115"/>
      <c r="J594" s="115"/>
      <c r="K594" s="60">
        <f t="shared" si="2"/>
        <v>0</v>
      </c>
      <c r="L594" s="117"/>
    </row>
    <row r="595" ht="15.75" customHeight="1">
      <c r="A595" s="9"/>
      <c r="B595" s="164"/>
      <c r="C595" s="110"/>
      <c r="D595" s="156"/>
      <c r="E595" s="111"/>
      <c r="F595" s="112"/>
      <c r="G595" s="113"/>
      <c r="H595" s="53">
        <f t="shared" si="1"/>
        <v>0</v>
      </c>
      <c r="I595" s="115"/>
      <c r="J595" s="115"/>
      <c r="K595" s="60">
        <f t="shared" si="2"/>
        <v>0</v>
      </c>
      <c r="L595" s="117"/>
    </row>
    <row r="596" ht="15.75" customHeight="1">
      <c r="A596" s="9"/>
      <c r="B596" s="164"/>
      <c r="C596" s="110"/>
      <c r="D596" s="156"/>
      <c r="E596" s="111"/>
      <c r="F596" s="112"/>
      <c r="G596" s="113"/>
      <c r="H596" s="53">
        <f t="shared" si="1"/>
        <v>0</v>
      </c>
      <c r="I596" s="115"/>
      <c r="J596" s="115"/>
      <c r="K596" s="60">
        <f t="shared" si="2"/>
        <v>0</v>
      </c>
      <c r="L596" s="117"/>
    </row>
    <row r="597" ht="15.75" customHeight="1">
      <c r="A597" s="9"/>
      <c r="B597" s="164"/>
      <c r="C597" s="110"/>
      <c r="D597" s="156"/>
      <c r="E597" s="111"/>
      <c r="F597" s="112"/>
      <c r="G597" s="113"/>
      <c r="H597" s="53">
        <f t="shared" si="1"/>
        <v>0</v>
      </c>
      <c r="I597" s="115"/>
      <c r="J597" s="115"/>
      <c r="K597" s="60">
        <f t="shared" si="2"/>
        <v>0</v>
      </c>
      <c r="L597" s="117"/>
    </row>
    <row r="598" ht="15.75" customHeight="1">
      <c r="A598" s="9"/>
      <c r="B598" s="164"/>
      <c r="C598" s="110"/>
      <c r="D598" s="156"/>
      <c r="E598" s="111"/>
      <c r="F598" s="112"/>
      <c r="G598" s="113"/>
      <c r="H598" s="53">
        <f t="shared" si="1"/>
        <v>0</v>
      </c>
      <c r="I598" s="115"/>
      <c r="J598" s="115"/>
      <c r="K598" s="60">
        <f t="shared" si="2"/>
        <v>0</v>
      </c>
      <c r="L598" s="117"/>
    </row>
    <row r="599" ht="15.75" customHeight="1">
      <c r="A599" s="9"/>
      <c r="B599" s="164"/>
      <c r="C599" s="110"/>
      <c r="D599" s="156"/>
      <c r="E599" s="111"/>
      <c r="F599" s="112"/>
      <c r="G599" s="113"/>
      <c r="H599" s="53">
        <f t="shared" si="1"/>
        <v>0</v>
      </c>
      <c r="I599" s="115"/>
      <c r="J599" s="115"/>
      <c r="K599" s="60">
        <f t="shared" si="2"/>
        <v>0</v>
      </c>
      <c r="L599" s="117"/>
    </row>
    <row r="600" ht="15.75" customHeight="1">
      <c r="A600" s="9"/>
      <c r="B600" s="164"/>
      <c r="C600" s="110"/>
      <c r="D600" s="156"/>
      <c r="E600" s="111"/>
      <c r="F600" s="112"/>
      <c r="G600" s="113"/>
      <c r="H600" s="53">
        <f t="shared" si="1"/>
        <v>0</v>
      </c>
      <c r="I600" s="115"/>
      <c r="J600" s="115"/>
      <c r="K600" s="60">
        <f t="shared" si="2"/>
        <v>0</v>
      </c>
      <c r="L600" s="117"/>
    </row>
    <row r="601" ht="15.75" customHeight="1">
      <c r="A601" s="9"/>
      <c r="B601" s="164"/>
      <c r="C601" s="110"/>
      <c r="D601" s="156"/>
      <c r="E601" s="111"/>
      <c r="F601" s="112"/>
      <c r="G601" s="113"/>
      <c r="H601" s="53">
        <f t="shared" si="1"/>
        <v>0</v>
      </c>
      <c r="I601" s="115"/>
      <c r="J601" s="115"/>
      <c r="K601" s="60">
        <f t="shared" si="2"/>
        <v>0</v>
      </c>
      <c r="L601" s="117"/>
    </row>
    <row r="602" ht="15.75" customHeight="1">
      <c r="A602" s="9"/>
      <c r="B602" s="164"/>
      <c r="C602" s="110"/>
      <c r="D602" s="156"/>
      <c r="E602" s="111"/>
      <c r="F602" s="112"/>
      <c r="G602" s="113"/>
      <c r="H602" s="53">
        <f t="shared" si="1"/>
        <v>0</v>
      </c>
      <c r="I602" s="115"/>
      <c r="J602" s="115"/>
      <c r="K602" s="60">
        <f t="shared" si="2"/>
        <v>0</v>
      </c>
      <c r="L602" s="117"/>
    </row>
    <row r="603" ht="15.75" customHeight="1">
      <c r="A603" s="9"/>
      <c r="B603" s="164"/>
      <c r="C603" s="110"/>
      <c r="D603" s="156"/>
      <c r="E603" s="111"/>
      <c r="F603" s="112"/>
      <c r="G603" s="113"/>
      <c r="H603" s="53">
        <f t="shared" si="1"/>
        <v>0</v>
      </c>
      <c r="I603" s="115"/>
      <c r="J603" s="115"/>
      <c r="K603" s="60">
        <f t="shared" si="2"/>
        <v>0</v>
      </c>
      <c r="L603" s="117"/>
    </row>
    <row r="604" ht="15.75" customHeight="1">
      <c r="A604" s="9"/>
      <c r="B604" s="164"/>
      <c r="C604" s="110"/>
      <c r="D604" s="156"/>
      <c r="E604" s="111"/>
      <c r="F604" s="112"/>
      <c r="G604" s="113"/>
      <c r="H604" s="53">
        <f t="shared" si="1"/>
        <v>0</v>
      </c>
      <c r="I604" s="115"/>
      <c r="J604" s="115"/>
      <c r="K604" s="60">
        <f t="shared" si="2"/>
        <v>0</v>
      </c>
      <c r="L604" s="117"/>
    </row>
    <row r="605" ht="15.75" customHeight="1">
      <c r="A605" s="9"/>
      <c r="B605" s="164"/>
      <c r="C605" s="110"/>
      <c r="D605" s="156"/>
      <c r="E605" s="111"/>
      <c r="F605" s="112"/>
      <c r="G605" s="113"/>
      <c r="H605" s="53">
        <f t="shared" si="1"/>
        <v>0</v>
      </c>
      <c r="I605" s="115"/>
      <c r="J605" s="115"/>
      <c r="K605" s="60">
        <f t="shared" si="2"/>
        <v>0</v>
      </c>
      <c r="L605" s="117"/>
    </row>
    <row r="606" ht="15.75" customHeight="1">
      <c r="A606" s="9"/>
      <c r="B606" s="164"/>
      <c r="C606" s="110"/>
      <c r="D606" s="156"/>
      <c r="E606" s="111"/>
      <c r="F606" s="112"/>
      <c r="G606" s="113"/>
      <c r="H606" s="53">
        <f t="shared" si="1"/>
        <v>0</v>
      </c>
      <c r="I606" s="115"/>
      <c r="J606" s="115"/>
      <c r="K606" s="60">
        <f t="shared" si="2"/>
        <v>0</v>
      </c>
      <c r="L606" s="117"/>
    </row>
    <row r="607" ht="15.75" customHeight="1">
      <c r="A607" s="9"/>
      <c r="B607" s="164"/>
      <c r="C607" s="110"/>
      <c r="D607" s="156"/>
      <c r="E607" s="111"/>
      <c r="F607" s="112"/>
      <c r="G607" s="113"/>
      <c r="H607" s="53">
        <f t="shared" si="1"/>
        <v>0</v>
      </c>
      <c r="I607" s="115"/>
      <c r="J607" s="115"/>
      <c r="K607" s="60">
        <f t="shared" si="2"/>
        <v>0</v>
      </c>
      <c r="L607" s="117"/>
    </row>
    <row r="608" ht="15.75" customHeight="1">
      <c r="A608" s="9"/>
      <c r="B608" s="164"/>
      <c r="C608" s="110"/>
      <c r="D608" s="156"/>
      <c r="E608" s="111"/>
      <c r="F608" s="112"/>
      <c r="G608" s="113"/>
      <c r="H608" s="53">
        <f t="shared" si="1"/>
        <v>0</v>
      </c>
      <c r="I608" s="115"/>
      <c r="J608" s="115"/>
      <c r="K608" s="60">
        <f t="shared" si="2"/>
        <v>0</v>
      </c>
      <c r="L608" s="117"/>
    </row>
    <row r="609" ht="15.75" customHeight="1">
      <c r="A609" s="9"/>
      <c r="B609" s="164"/>
      <c r="C609" s="110"/>
      <c r="D609" s="156"/>
      <c r="E609" s="111"/>
      <c r="F609" s="112"/>
      <c r="G609" s="113"/>
      <c r="H609" s="53">
        <f t="shared" si="1"/>
        <v>0</v>
      </c>
      <c r="I609" s="115"/>
      <c r="J609" s="115"/>
      <c r="K609" s="60">
        <f t="shared" si="2"/>
        <v>0</v>
      </c>
      <c r="L609" s="117"/>
    </row>
    <row r="610" ht="15.75" customHeight="1">
      <c r="A610" s="9"/>
      <c r="B610" s="164"/>
      <c r="C610" s="110"/>
      <c r="D610" s="156"/>
      <c r="E610" s="111"/>
      <c r="F610" s="112"/>
      <c r="G610" s="113"/>
      <c r="H610" s="53">
        <f t="shared" si="1"/>
        <v>0</v>
      </c>
      <c r="I610" s="115"/>
      <c r="J610" s="115"/>
      <c r="K610" s="60">
        <f t="shared" si="2"/>
        <v>0</v>
      </c>
      <c r="L610" s="117"/>
    </row>
    <row r="611" ht="15.75" customHeight="1">
      <c r="A611" s="9"/>
      <c r="B611" s="164"/>
      <c r="C611" s="110"/>
      <c r="D611" s="156"/>
      <c r="E611" s="111"/>
      <c r="F611" s="112"/>
      <c r="G611" s="113"/>
      <c r="H611" s="53">
        <f t="shared" si="1"/>
        <v>0</v>
      </c>
      <c r="I611" s="115"/>
      <c r="J611" s="115"/>
      <c r="K611" s="60">
        <f t="shared" si="2"/>
        <v>0</v>
      </c>
      <c r="L611" s="117"/>
    </row>
    <row r="612" ht="15.75" customHeight="1">
      <c r="A612" s="9"/>
      <c r="B612" s="164"/>
      <c r="C612" s="110"/>
      <c r="D612" s="156"/>
      <c r="E612" s="111"/>
      <c r="F612" s="112"/>
      <c r="G612" s="113"/>
      <c r="H612" s="53">
        <f t="shared" si="1"/>
        <v>0</v>
      </c>
      <c r="I612" s="115"/>
      <c r="J612" s="115"/>
      <c r="K612" s="60">
        <f t="shared" si="2"/>
        <v>0</v>
      </c>
      <c r="L612" s="117"/>
    </row>
    <row r="613" ht="15.75" customHeight="1">
      <c r="A613" s="9"/>
      <c r="B613" s="164"/>
      <c r="C613" s="110"/>
      <c r="D613" s="156"/>
      <c r="E613" s="111"/>
      <c r="F613" s="112"/>
      <c r="G613" s="113"/>
      <c r="H613" s="53">
        <f t="shared" si="1"/>
        <v>0</v>
      </c>
      <c r="I613" s="115"/>
      <c r="J613" s="115"/>
      <c r="K613" s="60">
        <f t="shared" si="2"/>
        <v>0</v>
      </c>
      <c r="L613" s="117"/>
    </row>
    <row r="614" ht="15.75" customHeight="1">
      <c r="A614" s="9"/>
      <c r="B614" s="164"/>
      <c r="C614" s="110"/>
      <c r="D614" s="156"/>
      <c r="E614" s="111"/>
      <c r="F614" s="112"/>
      <c r="G614" s="113"/>
      <c r="H614" s="53">
        <f t="shared" si="1"/>
        <v>0</v>
      </c>
      <c r="I614" s="115"/>
      <c r="J614" s="115"/>
      <c r="K614" s="60">
        <f t="shared" si="2"/>
        <v>0</v>
      </c>
      <c r="L614" s="117"/>
    </row>
    <row r="615" ht="15.75" customHeight="1">
      <c r="A615" s="9"/>
      <c r="B615" s="164"/>
      <c r="C615" s="110"/>
      <c r="D615" s="156"/>
      <c r="E615" s="111"/>
      <c r="F615" s="112"/>
      <c r="G615" s="113"/>
      <c r="H615" s="53">
        <f t="shared" si="1"/>
        <v>0</v>
      </c>
      <c r="I615" s="115"/>
      <c r="J615" s="115"/>
      <c r="K615" s="60">
        <f t="shared" si="2"/>
        <v>0</v>
      </c>
      <c r="L615" s="117"/>
    </row>
    <row r="616" ht="15.75" customHeight="1">
      <c r="A616" s="9"/>
      <c r="B616" s="164"/>
      <c r="C616" s="110"/>
      <c r="D616" s="156"/>
      <c r="E616" s="111"/>
      <c r="F616" s="112"/>
      <c r="G616" s="113"/>
      <c r="H616" s="53">
        <f t="shared" si="1"/>
        <v>0</v>
      </c>
      <c r="I616" s="115"/>
      <c r="J616" s="115"/>
      <c r="K616" s="60">
        <f t="shared" si="2"/>
        <v>0</v>
      </c>
      <c r="L616" s="117"/>
    </row>
    <row r="617" ht="15.75" customHeight="1">
      <c r="A617" s="9"/>
      <c r="B617" s="164"/>
      <c r="C617" s="110"/>
      <c r="D617" s="156"/>
      <c r="E617" s="111"/>
      <c r="F617" s="112"/>
      <c r="G617" s="113"/>
      <c r="H617" s="53">
        <f t="shared" si="1"/>
        <v>0</v>
      </c>
      <c r="I617" s="115"/>
      <c r="J617" s="115"/>
      <c r="K617" s="60">
        <f t="shared" si="2"/>
        <v>0</v>
      </c>
      <c r="L617" s="117"/>
    </row>
    <row r="618" ht="15.75" customHeight="1">
      <c r="A618" s="9"/>
      <c r="B618" s="164"/>
      <c r="C618" s="110"/>
      <c r="D618" s="156"/>
      <c r="E618" s="111"/>
      <c r="F618" s="112"/>
      <c r="G618" s="113"/>
      <c r="H618" s="53">
        <f t="shared" si="1"/>
        <v>0</v>
      </c>
      <c r="I618" s="115"/>
      <c r="J618" s="115"/>
      <c r="K618" s="60">
        <f t="shared" si="2"/>
        <v>0</v>
      </c>
      <c r="L618" s="117"/>
    </row>
    <row r="619" ht="15.75" customHeight="1">
      <c r="A619" s="9"/>
      <c r="B619" s="164"/>
      <c r="C619" s="110"/>
      <c r="D619" s="156"/>
      <c r="E619" s="111"/>
      <c r="F619" s="112"/>
      <c r="G619" s="113"/>
      <c r="H619" s="53">
        <f t="shared" si="1"/>
        <v>0</v>
      </c>
      <c r="I619" s="115"/>
      <c r="J619" s="115"/>
      <c r="K619" s="60">
        <f t="shared" si="2"/>
        <v>0</v>
      </c>
      <c r="L619" s="117"/>
    </row>
    <row r="620" ht="15.75" customHeight="1">
      <c r="A620" s="9"/>
      <c r="B620" s="164"/>
      <c r="C620" s="110"/>
      <c r="D620" s="156"/>
      <c r="E620" s="111"/>
      <c r="F620" s="112"/>
      <c r="G620" s="113"/>
      <c r="H620" s="53">
        <f t="shared" si="1"/>
        <v>0</v>
      </c>
      <c r="I620" s="115"/>
      <c r="J620" s="115"/>
      <c r="K620" s="60">
        <f t="shared" si="2"/>
        <v>0</v>
      </c>
      <c r="L620" s="117"/>
    </row>
    <row r="621" ht="15.75" customHeight="1">
      <c r="A621" s="9"/>
      <c r="B621" s="164"/>
      <c r="C621" s="110"/>
      <c r="D621" s="156"/>
      <c r="E621" s="111"/>
      <c r="F621" s="112"/>
      <c r="G621" s="113"/>
      <c r="H621" s="53">
        <f t="shared" si="1"/>
        <v>0</v>
      </c>
      <c r="I621" s="115"/>
      <c r="J621" s="115"/>
      <c r="K621" s="60">
        <f t="shared" si="2"/>
        <v>0</v>
      </c>
      <c r="L621" s="117"/>
    </row>
    <row r="622" ht="15.75" customHeight="1">
      <c r="A622" s="9"/>
      <c r="B622" s="164"/>
      <c r="C622" s="110"/>
      <c r="D622" s="156"/>
      <c r="E622" s="111"/>
      <c r="F622" s="112"/>
      <c r="G622" s="113"/>
      <c r="H622" s="53">
        <f t="shared" si="1"/>
        <v>0</v>
      </c>
      <c r="I622" s="115"/>
      <c r="J622" s="115"/>
      <c r="K622" s="60">
        <f t="shared" si="2"/>
        <v>0</v>
      </c>
      <c r="L622" s="117"/>
    </row>
    <row r="623" ht="15.75" customHeight="1">
      <c r="A623" s="9"/>
      <c r="B623" s="164"/>
      <c r="C623" s="110"/>
      <c r="D623" s="156"/>
      <c r="E623" s="111"/>
      <c r="F623" s="112"/>
      <c r="G623" s="113"/>
      <c r="H623" s="53">
        <f t="shared" si="1"/>
        <v>0</v>
      </c>
      <c r="I623" s="115"/>
      <c r="J623" s="115"/>
      <c r="K623" s="60">
        <f t="shared" si="2"/>
        <v>0</v>
      </c>
      <c r="L623" s="117"/>
    </row>
    <row r="624" ht="15.75" customHeight="1">
      <c r="A624" s="9"/>
      <c r="B624" s="164"/>
      <c r="C624" s="110"/>
      <c r="D624" s="156"/>
      <c r="E624" s="111"/>
      <c r="F624" s="112"/>
      <c r="G624" s="113"/>
      <c r="H624" s="53">
        <f t="shared" si="1"/>
        <v>0</v>
      </c>
      <c r="I624" s="115"/>
      <c r="J624" s="115"/>
      <c r="K624" s="60">
        <f t="shared" si="2"/>
        <v>0</v>
      </c>
      <c r="L624" s="117"/>
    </row>
    <row r="625" ht="15.75" customHeight="1">
      <c r="A625" s="9"/>
      <c r="B625" s="164"/>
      <c r="C625" s="110"/>
      <c r="D625" s="156"/>
      <c r="E625" s="111"/>
      <c r="F625" s="112"/>
      <c r="G625" s="113"/>
      <c r="H625" s="53">
        <f t="shared" si="1"/>
        <v>0</v>
      </c>
      <c r="I625" s="115"/>
      <c r="J625" s="115"/>
      <c r="K625" s="60">
        <f t="shared" si="2"/>
        <v>0</v>
      </c>
      <c r="L625" s="117"/>
    </row>
    <row r="626" ht="15.75" customHeight="1">
      <c r="A626" s="9"/>
      <c r="B626" s="164"/>
      <c r="C626" s="110"/>
      <c r="D626" s="156"/>
      <c r="E626" s="111"/>
      <c r="F626" s="112"/>
      <c r="G626" s="113"/>
      <c r="H626" s="53">
        <f t="shared" si="1"/>
        <v>0</v>
      </c>
      <c r="I626" s="115"/>
      <c r="J626" s="115"/>
      <c r="K626" s="60">
        <f t="shared" si="2"/>
        <v>0</v>
      </c>
      <c r="L626" s="117"/>
    </row>
    <row r="627" ht="15.75" customHeight="1">
      <c r="A627" s="9"/>
      <c r="B627" s="164"/>
      <c r="C627" s="110"/>
      <c r="D627" s="156"/>
      <c r="E627" s="111"/>
      <c r="F627" s="112"/>
      <c r="G627" s="113"/>
      <c r="H627" s="53">
        <f t="shared" si="1"/>
        <v>0</v>
      </c>
      <c r="I627" s="115"/>
      <c r="J627" s="115"/>
      <c r="K627" s="60">
        <f t="shared" si="2"/>
        <v>0</v>
      </c>
      <c r="L627" s="117"/>
    </row>
    <row r="628" ht="15.75" customHeight="1">
      <c r="A628" s="9"/>
      <c r="B628" s="164"/>
      <c r="C628" s="110"/>
      <c r="D628" s="156"/>
      <c r="E628" s="111"/>
      <c r="F628" s="112"/>
      <c r="G628" s="113"/>
      <c r="H628" s="53">
        <f t="shared" si="1"/>
        <v>0</v>
      </c>
      <c r="I628" s="115"/>
      <c r="J628" s="115"/>
      <c r="K628" s="60">
        <f t="shared" si="2"/>
        <v>0</v>
      </c>
      <c r="L628" s="117"/>
    </row>
    <row r="629" ht="15.75" customHeight="1">
      <c r="A629" s="9"/>
      <c r="B629" s="164"/>
      <c r="C629" s="110"/>
      <c r="D629" s="156"/>
      <c r="E629" s="111"/>
      <c r="F629" s="112"/>
      <c r="G629" s="113"/>
      <c r="H629" s="53">
        <f t="shared" si="1"/>
        <v>0</v>
      </c>
      <c r="I629" s="115"/>
      <c r="J629" s="115"/>
      <c r="K629" s="60">
        <f t="shared" si="2"/>
        <v>0</v>
      </c>
      <c r="L629" s="117"/>
    </row>
    <row r="630" ht="15.75" customHeight="1">
      <c r="A630" s="9"/>
      <c r="B630" s="164"/>
      <c r="C630" s="110"/>
      <c r="D630" s="156"/>
      <c r="E630" s="111"/>
      <c r="F630" s="112"/>
      <c r="G630" s="113"/>
      <c r="H630" s="53">
        <f t="shared" si="1"/>
        <v>0</v>
      </c>
      <c r="I630" s="115"/>
      <c r="J630" s="115"/>
      <c r="K630" s="60">
        <f t="shared" si="2"/>
        <v>0</v>
      </c>
      <c r="L630" s="117"/>
    </row>
    <row r="631" ht="15.75" customHeight="1">
      <c r="A631" s="9"/>
      <c r="B631" s="164"/>
      <c r="C631" s="110"/>
      <c r="D631" s="156"/>
      <c r="E631" s="111"/>
      <c r="F631" s="112"/>
      <c r="G631" s="113"/>
      <c r="H631" s="53">
        <f t="shared" si="1"/>
        <v>0</v>
      </c>
      <c r="I631" s="115"/>
      <c r="J631" s="115"/>
      <c r="K631" s="60">
        <f t="shared" si="2"/>
        <v>0</v>
      </c>
      <c r="L631" s="117"/>
    </row>
    <row r="632" ht="15.75" customHeight="1">
      <c r="A632" s="9"/>
      <c r="B632" s="164"/>
      <c r="C632" s="110"/>
      <c r="D632" s="156"/>
      <c r="E632" s="111"/>
      <c r="F632" s="112"/>
      <c r="G632" s="113"/>
      <c r="H632" s="53">
        <f t="shared" si="1"/>
        <v>0</v>
      </c>
      <c r="I632" s="115"/>
      <c r="J632" s="115"/>
      <c r="K632" s="60">
        <f t="shared" si="2"/>
        <v>0</v>
      </c>
      <c r="L632" s="117"/>
    </row>
    <row r="633" ht="15.75" customHeight="1">
      <c r="A633" s="9"/>
      <c r="B633" s="164"/>
      <c r="C633" s="110"/>
      <c r="D633" s="156"/>
      <c r="E633" s="111"/>
      <c r="F633" s="112"/>
      <c r="G633" s="113"/>
      <c r="H633" s="53">
        <f t="shared" si="1"/>
        <v>0</v>
      </c>
      <c r="I633" s="115"/>
      <c r="J633" s="115"/>
      <c r="K633" s="60">
        <f t="shared" si="2"/>
        <v>0</v>
      </c>
      <c r="L633" s="117"/>
    </row>
    <row r="634" ht="15.75" customHeight="1">
      <c r="A634" s="9"/>
      <c r="B634" s="164"/>
      <c r="C634" s="110"/>
      <c r="D634" s="156"/>
      <c r="E634" s="111"/>
      <c r="F634" s="112"/>
      <c r="G634" s="113"/>
      <c r="H634" s="53">
        <f t="shared" si="1"/>
        <v>0</v>
      </c>
      <c r="I634" s="115"/>
      <c r="J634" s="115"/>
      <c r="K634" s="60">
        <f t="shared" si="2"/>
        <v>0</v>
      </c>
      <c r="L634" s="117"/>
    </row>
    <row r="635" ht="15.75" customHeight="1">
      <c r="A635" s="9"/>
      <c r="B635" s="164"/>
      <c r="C635" s="110"/>
      <c r="D635" s="156"/>
      <c r="E635" s="111"/>
      <c r="F635" s="112"/>
      <c r="G635" s="113"/>
      <c r="H635" s="53">
        <f t="shared" si="1"/>
        <v>0</v>
      </c>
      <c r="I635" s="115"/>
      <c r="J635" s="115"/>
      <c r="K635" s="60">
        <f t="shared" si="2"/>
        <v>0</v>
      </c>
      <c r="L635" s="117"/>
    </row>
    <row r="636" ht="15.75" customHeight="1">
      <c r="A636" s="9"/>
      <c r="B636" s="164"/>
      <c r="C636" s="110"/>
      <c r="D636" s="156"/>
      <c r="E636" s="111"/>
      <c r="F636" s="112"/>
      <c r="G636" s="113"/>
      <c r="H636" s="53">
        <f t="shared" si="1"/>
        <v>0</v>
      </c>
      <c r="I636" s="115"/>
      <c r="J636" s="115"/>
      <c r="K636" s="60">
        <f t="shared" si="2"/>
        <v>0</v>
      </c>
      <c r="L636" s="117"/>
    </row>
    <row r="637" ht="15.75" customHeight="1">
      <c r="A637" s="9"/>
      <c r="B637" s="164"/>
      <c r="C637" s="110"/>
      <c r="D637" s="156"/>
      <c r="E637" s="111"/>
      <c r="F637" s="112"/>
      <c r="G637" s="113"/>
      <c r="H637" s="53">
        <f t="shared" si="1"/>
        <v>0</v>
      </c>
      <c r="I637" s="115"/>
      <c r="J637" s="115"/>
      <c r="K637" s="60">
        <f t="shared" si="2"/>
        <v>0</v>
      </c>
      <c r="L637" s="117"/>
    </row>
    <row r="638" ht="15.75" customHeight="1">
      <c r="A638" s="9"/>
      <c r="B638" s="164"/>
      <c r="C638" s="110"/>
      <c r="D638" s="156"/>
      <c r="E638" s="111"/>
      <c r="F638" s="112"/>
      <c r="G638" s="113"/>
      <c r="H638" s="53">
        <f t="shared" si="1"/>
        <v>0</v>
      </c>
      <c r="I638" s="115"/>
      <c r="J638" s="115"/>
      <c r="K638" s="60">
        <f t="shared" si="2"/>
        <v>0</v>
      </c>
      <c r="L638" s="117"/>
    </row>
    <row r="639" ht="15.75" customHeight="1">
      <c r="A639" s="9"/>
      <c r="B639" s="164"/>
      <c r="C639" s="110"/>
      <c r="D639" s="156"/>
      <c r="E639" s="111"/>
      <c r="F639" s="112"/>
      <c r="G639" s="113"/>
      <c r="H639" s="53">
        <f t="shared" si="1"/>
        <v>0</v>
      </c>
      <c r="I639" s="115"/>
      <c r="J639" s="115"/>
      <c r="K639" s="60">
        <f t="shared" si="2"/>
        <v>0</v>
      </c>
      <c r="L639" s="117"/>
    </row>
    <row r="640" ht="15.75" customHeight="1">
      <c r="A640" s="9"/>
      <c r="B640" s="164"/>
      <c r="C640" s="110"/>
      <c r="D640" s="156"/>
      <c r="E640" s="111"/>
      <c r="F640" s="112"/>
      <c r="G640" s="113"/>
      <c r="H640" s="53">
        <f t="shared" si="1"/>
        <v>0</v>
      </c>
      <c r="I640" s="115"/>
      <c r="J640" s="115"/>
      <c r="K640" s="60">
        <f t="shared" si="2"/>
        <v>0</v>
      </c>
      <c r="L640" s="117"/>
    </row>
    <row r="641" ht="15.75" customHeight="1">
      <c r="A641" s="9"/>
      <c r="B641" s="164"/>
      <c r="C641" s="110"/>
      <c r="D641" s="156"/>
      <c r="E641" s="111"/>
      <c r="F641" s="112"/>
      <c r="G641" s="113"/>
      <c r="H641" s="53">
        <f t="shared" si="1"/>
        <v>0</v>
      </c>
      <c r="I641" s="115"/>
      <c r="J641" s="115"/>
      <c r="K641" s="60">
        <f t="shared" si="2"/>
        <v>0</v>
      </c>
      <c r="L641" s="117"/>
    </row>
    <row r="642" ht="15.75" customHeight="1">
      <c r="A642" s="9"/>
      <c r="B642" s="164"/>
      <c r="C642" s="110"/>
      <c r="D642" s="156"/>
      <c r="E642" s="111"/>
      <c r="F642" s="112"/>
      <c r="G642" s="113"/>
      <c r="H642" s="53">
        <f t="shared" si="1"/>
        <v>0</v>
      </c>
      <c r="I642" s="115"/>
      <c r="J642" s="115"/>
      <c r="K642" s="60">
        <f t="shared" si="2"/>
        <v>0</v>
      </c>
      <c r="L642" s="117"/>
    </row>
    <row r="643" ht="15.75" customHeight="1">
      <c r="A643" s="9"/>
      <c r="B643" s="164"/>
      <c r="C643" s="110"/>
      <c r="D643" s="156"/>
      <c r="E643" s="111"/>
      <c r="F643" s="112"/>
      <c r="G643" s="113"/>
      <c r="H643" s="53">
        <f t="shared" si="1"/>
        <v>0</v>
      </c>
      <c r="I643" s="115"/>
      <c r="J643" s="115"/>
      <c r="K643" s="60">
        <f t="shared" si="2"/>
        <v>0</v>
      </c>
      <c r="L643" s="117"/>
    </row>
    <row r="644" ht="15.75" customHeight="1">
      <c r="A644" s="9"/>
      <c r="B644" s="164"/>
      <c r="C644" s="110"/>
      <c r="D644" s="156"/>
      <c r="E644" s="111"/>
      <c r="F644" s="112"/>
      <c r="G644" s="113"/>
      <c r="H644" s="53">
        <f t="shared" si="1"/>
        <v>0</v>
      </c>
      <c r="I644" s="115"/>
      <c r="J644" s="115"/>
      <c r="K644" s="60">
        <f t="shared" si="2"/>
        <v>0</v>
      </c>
      <c r="L644" s="117"/>
    </row>
    <row r="645" ht="15.75" customHeight="1">
      <c r="A645" s="9"/>
      <c r="B645" s="164"/>
      <c r="C645" s="110"/>
      <c r="D645" s="156"/>
      <c r="E645" s="111"/>
      <c r="F645" s="112"/>
      <c r="G645" s="113"/>
      <c r="H645" s="53">
        <f t="shared" si="1"/>
        <v>0</v>
      </c>
      <c r="I645" s="115"/>
      <c r="J645" s="115"/>
      <c r="K645" s="60">
        <f t="shared" si="2"/>
        <v>0</v>
      </c>
      <c r="L645" s="117"/>
    </row>
    <row r="646" ht="15.75" customHeight="1">
      <c r="A646" s="9"/>
      <c r="B646" s="164"/>
      <c r="C646" s="110"/>
      <c r="D646" s="156"/>
      <c r="E646" s="111"/>
      <c r="F646" s="112"/>
      <c r="G646" s="113"/>
      <c r="H646" s="53">
        <f t="shared" si="1"/>
        <v>0</v>
      </c>
      <c r="I646" s="115"/>
      <c r="J646" s="115"/>
      <c r="K646" s="60">
        <f t="shared" si="2"/>
        <v>0</v>
      </c>
      <c r="L646" s="117"/>
    </row>
    <row r="647" ht="15.75" customHeight="1">
      <c r="A647" s="9"/>
      <c r="B647" s="164"/>
      <c r="C647" s="110"/>
      <c r="D647" s="156"/>
      <c r="E647" s="111"/>
      <c r="F647" s="112"/>
      <c r="G647" s="113"/>
      <c r="H647" s="53">
        <f t="shared" si="1"/>
        <v>0</v>
      </c>
      <c r="I647" s="115"/>
      <c r="J647" s="115"/>
      <c r="K647" s="60">
        <f t="shared" si="2"/>
        <v>0</v>
      </c>
      <c r="L647" s="117"/>
    </row>
    <row r="648" ht="15.75" customHeight="1">
      <c r="A648" s="9"/>
      <c r="B648" s="164"/>
      <c r="C648" s="110"/>
      <c r="D648" s="156"/>
      <c r="E648" s="111"/>
      <c r="F648" s="112"/>
      <c r="G648" s="113"/>
      <c r="H648" s="53">
        <f t="shared" si="1"/>
        <v>0</v>
      </c>
      <c r="I648" s="115"/>
      <c r="J648" s="115"/>
      <c r="K648" s="60">
        <f t="shared" si="2"/>
        <v>0</v>
      </c>
      <c r="L648" s="117"/>
    </row>
    <row r="649" ht="15.75" customHeight="1">
      <c r="A649" s="9"/>
      <c r="B649" s="164"/>
      <c r="C649" s="110"/>
      <c r="D649" s="156"/>
      <c r="E649" s="111"/>
      <c r="F649" s="112"/>
      <c r="G649" s="113"/>
      <c r="H649" s="53">
        <f t="shared" si="1"/>
        <v>0</v>
      </c>
      <c r="I649" s="115"/>
      <c r="J649" s="115"/>
      <c r="K649" s="60">
        <f t="shared" si="2"/>
        <v>0</v>
      </c>
      <c r="L649" s="117"/>
    </row>
    <row r="650" ht="15.75" customHeight="1">
      <c r="A650" s="9"/>
      <c r="B650" s="164"/>
      <c r="C650" s="110"/>
      <c r="D650" s="156"/>
      <c r="E650" s="111"/>
      <c r="F650" s="112"/>
      <c r="G650" s="113"/>
      <c r="H650" s="53">
        <f t="shared" si="1"/>
        <v>0</v>
      </c>
      <c r="I650" s="115"/>
      <c r="J650" s="115"/>
      <c r="K650" s="60">
        <f t="shared" si="2"/>
        <v>0</v>
      </c>
      <c r="L650" s="117"/>
    </row>
    <row r="651" ht="15.75" customHeight="1">
      <c r="A651" s="9"/>
      <c r="B651" s="164"/>
      <c r="C651" s="110"/>
      <c r="D651" s="156"/>
      <c r="E651" s="111"/>
      <c r="F651" s="112"/>
      <c r="G651" s="113"/>
      <c r="H651" s="53">
        <f t="shared" si="1"/>
        <v>0</v>
      </c>
      <c r="I651" s="115"/>
      <c r="J651" s="115"/>
      <c r="K651" s="60">
        <f t="shared" si="2"/>
        <v>0</v>
      </c>
      <c r="L651" s="117"/>
    </row>
    <row r="652" ht="15.75" customHeight="1">
      <c r="A652" s="9"/>
      <c r="B652" s="164"/>
      <c r="C652" s="110"/>
      <c r="D652" s="156"/>
      <c r="E652" s="111"/>
      <c r="F652" s="112"/>
      <c r="G652" s="113"/>
      <c r="H652" s="53">
        <f t="shared" si="1"/>
        <v>0</v>
      </c>
      <c r="I652" s="115"/>
      <c r="J652" s="115"/>
      <c r="K652" s="60">
        <f t="shared" si="2"/>
        <v>0</v>
      </c>
      <c r="L652" s="117"/>
    </row>
    <row r="653" ht="15.75" customHeight="1">
      <c r="A653" s="9"/>
      <c r="B653" s="164"/>
      <c r="C653" s="110"/>
      <c r="D653" s="156"/>
      <c r="E653" s="111"/>
      <c r="F653" s="112"/>
      <c r="G653" s="113"/>
      <c r="H653" s="53">
        <f t="shared" si="1"/>
        <v>0</v>
      </c>
      <c r="I653" s="115"/>
      <c r="J653" s="115"/>
      <c r="K653" s="60">
        <f t="shared" si="2"/>
        <v>0</v>
      </c>
      <c r="L653" s="117"/>
    </row>
    <row r="654" ht="15.75" customHeight="1">
      <c r="A654" s="9"/>
      <c r="B654" s="164"/>
      <c r="C654" s="110"/>
      <c r="D654" s="156"/>
      <c r="E654" s="111"/>
      <c r="F654" s="112"/>
      <c r="G654" s="113"/>
      <c r="H654" s="53">
        <f t="shared" si="1"/>
        <v>0</v>
      </c>
      <c r="I654" s="115"/>
      <c r="J654" s="115"/>
      <c r="K654" s="60">
        <f t="shared" si="2"/>
        <v>0</v>
      </c>
      <c r="L654" s="117"/>
    </row>
    <row r="655" ht="15.75" customHeight="1">
      <c r="A655" s="9"/>
      <c r="B655" s="164"/>
      <c r="C655" s="110"/>
      <c r="D655" s="156"/>
      <c r="E655" s="111"/>
      <c r="F655" s="112"/>
      <c r="G655" s="113"/>
      <c r="H655" s="53">
        <f t="shared" si="1"/>
        <v>0</v>
      </c>
      <c r="I655" s="115"/>
      <c r="J655" s="115"/>
      <c r="K655" s="60">
        <f t="shared" si="2"/>
        <v>0</v>
      </c>
      <c r="L655" s="117"/>
    </row>
    <row r="656" ht="15.75" customHeight="1">
      <c r="A656" s="9"/>
      <c r="B656" s="164"/>
      <c r="C656" s="110"/>
      <c r="D656" s="156"/>
      <c r="E656" s="111"/>
      <c r="F656" s="112"/>
      <c r="G656" s="113"/>
      <c r="H656" s="53">
        <f t="shared" si="1"/>
        <v>0</v>
      </c>
      <c r="I656" s="115"/>
      <c r="J656" s="115"/>
      <c r="K656" s="60">
        <f t="shared" si="2"/>
        <v>0</v>
      </c>
      <c r="L656" s="117"/>
    </row>
    <row r="657" ht="15.75" customHeight="1">
      <c r="A657" s="9"/>
      <c r="B657" s="164"/>
      <c r="C657" s="110"/>
      <c r="D657" s="156"/>
      <c r="E657" s="111"/>
      <c r="F657" s="112"/>
      <c r="G657" s="113"/>
      <c r="H657" s="53">
        <f t="shared" si="1"/>
        <v>0</v>
      </c>
      <c r="I657" s="115"/>
      <c r="J657" s="115"/>
      <c r="K657" s="60">
        <f t="shared" si="2"/>
        <v>0</v>
      </c>
      <c r="L657" s="117"/>
    </row>
    <row r="658" ht="15.75" customHeight="1">
      <c r="A658" s="9"/>
      <c r="B658" s="164"/>
      <c r="C658" s="110"/>
      <c r="D658" s="156"/>
      <c r="E658" s="111"/>
      <c r="F658" s="112"/>
      <c r="G658" s="113"/>
      <c r="H658" s="53">
        <f t="shared" si="1"/>
        <v>0</v>
      </c>
      <c r="I658" s="115"/>
      <c r="J658" s="115"/>
      <c r="K658" s="60">
        <f t="shared" si="2"/>
        <v>0</v>
      </c>
      <c r="L658" s="117"/>
    </row>
    <row r="659" ht="15.75" customHeight="1">
      <c r="A659" s="9"/>
      <c r="B659" s="164"/>
      <c r="C659" s="110"/>
      <c r="D659" s="156"/>
      <c r="E659" s="111"/>
      <c r="F659" s="112"/>
      <c r="G659" s="113"/>
      <c r="H659" s="53">
        <f t="shared" si="1"/>
        <v>0</v>
      </c>
      <c r="I659" s="115"/>
      <c r="J659" s="115"/>
      <c r="K659" s="60">
        <f t="shared" si="2"/>
        <v>0</v>
      </c>
      <c r="L659" s="117"/>
    </row>
    <row r="660" ht="15.75" customHeight="1">
      <c r="A660" s="9"/>
      <c r="B660" s="164"/>
      <c r="C660" s="110"/>
      <c r="D660" s="156"/>
      <c r="E660" s="111"/>
      <c r="F660" s="112"/>
      <c r="G660" s="113"/>
      <c r="H660" s="53">
        <f t="shared" si="1"/>
        <v>0</v>
      </c>
      <c r="I660" s="115"/>
      <c r="J660" s="115"/>
      <c r="K660" s="60">
        <f t="shared" si="2"/>
        <v>0</v>
      </c>
      <c r="L660" s="117"/>
    </row>
    <row r="661" ht="15.75" customHeight="1">
      <c r="A661" s="9"/>
      <c r="B661" s="164"/>
      <c r="C661" s="110"/>
      <c r="D661" s="156"/>
      <c r="E661" s="111"/>
      <c r="F661" s="112"/>
      <c r="G661" s="113"/>
      <c r="H661" s="53">
        <f t="shared" si="1"/>
        <v>0</v>
      </c>
      <c r="I661" s="115"/>
      <c r="J661" s="115"/>
      <c r="K661" s="60">
        <f t="shared" si="2"/>
        <v>0</v>
      </c>
      <c r="L661" s="117"/>
    </row>
    <row r="662" ht="15.75" customHeight="1">
      <c r="A662" s="9"/>
      <c r="B662" s="164"/>
      <c r="C662" s="110"/>
      <c r="D662" s="156"/>
      <c r="E662" s="111"/>
      <c r="F662" s="112"/>
      <c r="G662" s="113"/>
      <c r="H662" s="53">
        <f t="shared" si="1"/>
        <v>0</v>
      </c>
      <c r="I662" s="115"/>
      <c r="J662" s="115"/>
      <c r="K662" s="60">
        <f t="shared" si="2"/>
        <v>0</v>
      </c>
      <c r="L662" s="117"/>
    </row>
    <row r="663" ht="15.75" customHeight="1">
      <c r="A663" s="9"/>
      <c r="B663" s="164"/>
      <c r="C663" s="110"/>
      <c r="D663" s="156"/>
      <c r="E663" s="111"/>
      <c r="F663" s="112"/>
      <c r="G663" s="113"/>
      <c r="H663" s="53">
        <f t="shared" si="1"/>
        <v>0</v>
      </c>
      <c r="I663" s="115"/>
      <c r="J663" s="115"/>
      <c r="K663" s="60">
        <f t="shared" si="2"/>
        <v>0</v>
      </c>
      <c r="L663" s="117"/>
    </row>
    <row r="664" ht="15.75" customHeight="1">
      <c r="A664" s="9"/>
      <c r="B664" s="164"/>
      <c r="C664" s="110"/>
      <c r="D664" s="156"/>
      <c r="E664" s="111"/>
      <c r="F664" s="112"/>
      <c r="G664" s="113"/>
      <c r="H664" s="53">
        <f t="shared" si="1"/>
        <v>0</v>
      </c>
      <c r="I664" s="115"/>
      <c r="J664" s="115"/>
      <c r="K664" s="60">
        <f t="shared" si="2"/>
        <v>0</v>
      </c>
      <c r="L664" s="117"/>
    </row>
    <row r="665" ht="15.75" customHeight="1">
      <c r="A665" s="9"/>
      <c r="B665" s="164"/>
      <c r="C665" s="110"/>
      <c r="D665" s="156"/>
      <c r="E665" s="111"/>
      <c r="F665" s="112"/>
      <c r="G665" s="113"/>
      <c r="H665" s="53">
        <f t="shared" si="1"/>
        <v>0</v>
      </c>
      <c r="I665" s="115"/>
      <c r="J665" s="115"/>
      <c r="K665" s="60">
        <f t="shared" si="2"/>
        <v>0</v>
      </c>
      <c r="L665" s="117"/>
    </row>
    <row r="666" ht="15.75" customHeight="1">
      <c r="A666" s="9"/>
      <c r="B666" s="164"/>
      <c r="C666" s="110"/>
      <c r="D666" s="156"/>
      <c r="E666" s="111"/>
      <c r="F666" s="112"/>
      <c r="G666" s="113"/>
      <c r="H666" s="53">
        <f t="shared" si="1"/>
        <v>0</v>
      </c>
      <c r="I666" s="115"/>
      <c r="J666" s="115"/>
      <c r="K666" s="60">
        <f t="shared" si="2"/>
        <v>0</v>
      </c>
      <c r="L666" s="117"/>
    </row>
    <row r="667" ht="15.75" customHeight="1">
      <c r="A667" s="9"/>
      <c r="B667" s="164"/>
      <c r="C667" s="110"/>
      <c r="D667" s="156"/>
      <c r="E667" s="111"/>
      <c r="F667" s="112"/>
      <c r="G667" s="113"/>
      <c r="H667" s="53">
        <f t="shared" si="1"/>
        <v>0</v>
      </c>
      <c r="I667" s="115"/>
      <c r="J667" s="115"/>
      <c r="K667" s="60">
        <f t="shared" si="2"/>
        <v>0</v>
      </c>
      <c r="L667" s="117"/>
    </row>
    <row r="668" ht="15.75" customHeight="1">
      <c r="A668" s="9"/>
      <c r="B668" s="164"/>
      <c r="C668" s="110"/>
      <c r="D668" s="156"/>
      <c r="E668" s="111"/>
      <c r="F668" s="112"/>
      <c r="G668" s="113"/>
      <c r="H668" s="53">
        <f t="shared" si="1"/>
        <v>0</v>
      </c>
      <c r="I668" s="115"/>
      <c r="J668" s="115"/>
      <c r="K668" s="60">
        <f t="shared" si="2"/>
        <v>0</v>
      </c>
      <c r="L668" s="117"/>
    </row>
    <row r="669" ht="15.75" customHeight="1">
      <c r="A669" s="9"/>
      <c r="B669" s="164"/>
      <c r="C669" s="110"/>
      <c r="D669" s="156"/>
      <c r="E669" s="111"/>
      <c r="F669" s="112"/>
      <c r="G669" s="113"/>
      <c r="H669" s="53">
        <f t="shared" si="1"/>
        <v>0</v>
      </c>
      <c r="I669" s="115"/>
      <c r="J669" s="115"/>
      <c r="K669" s="60">
        <f t="shared" si="2"/>
        <v>0</v>
      </c>
      <c r="L669" s="117"/>
    </row>
    <row r="670" ht="15.75" customHeight="1">
      <c r="A670" s="9"/>
      <c r="B670" s="164"/>
      <c r="C670" s="110"/>
      <c r="D670" s="156"/>
      <c r="E670" s="111"/>
      <c r="F670" s="112"/>
      <c r="G670" s="113"/>
      <c r="H670" s="53">
        <f t="shared" si="1"/>
        <v>0</v>
      </c>
      <c r="I670" s="115"/>
      <c r="J670" s="115"/>
      <c r="K670" s="60">
        <f t="shared" si="2"/>
        <v>0</v>
      </c>
      <c r="L670" s="117"/>
    </row>
    <row r="671" ht="15.75" customHeight="1">
      <c r="A671" s="9"/>
      <c r="B671" s="164"/>
      <c r="C671" s="110"/>
      <c r="D671" s="156"/>
      <c r="E671" s="111"/>
      <c r="F671" s="112"/>
      <c r="G671" s="113"/>
      <c r="H671" s="53">
        <f t="shared" si="1"/>
        <v>0</v>
      </c>
      <c r="I671" s="115"/>
      <c r="J671" s="115"/>
      <c r="K671" s="60">
        <f t="shared" si="2"/>
        <v>0</v>
      </c>
      <c r="L671" s="117"/>
    </row>
    <row r="672" ht="15.75" customHeight="1">
      <c r="A672" s="9"/>
      <c r="B672" s="164"/>
      <c r="C672" s="110"/>
      <c r="D672" s="156"/>
      <c r="E672" s="111"/>
      <c r="F672" s="112"/>
      <c r="G672" s="113"/>
      <c r="H672" s="53">
        <f t="shared" si="1"/>
        <v>0</v>
      </c>
      <c r="I672" s="115"/>
      <c r="J672" s="115"/>
      <c r="K672" s="60">
        <f t="shared" si="2"/>
        <v>0</v>
      </c>
      <c r="L672" s="117"/>
    </row>
    <row r="673" ht="15.75" customHeight="1">
      <c r="A673" s="9"/>
      <c r="B673" s="164"/>
      <c r="C673" s="110"/>
      <c r="D673" s="156"/>
      <c r="E673" s="111"/>
      <c r="F673" s="112"/>
      <c r="G673" s="113"/>
      <c r="H673" s="53">
        <f t="shared" si="1"/>
        <v>0</v>
      </c>
      <c r="I673" s="115"/>
      <c r="J673" s="115"/>
      <c r="K673" s="60">
        <f t="shared" si="2"/>
        <v>0</v>
      </c>
      <c r="L673" s="117"/>
    </row>
    <row r="674" ht="15.75" customHeight="1">
      <c r="A674" s="9"/>
      <c r="B674" s="164"/>
      <c r="C674" s="110"/>
      <c r="D674" s="156"/>
      <c r="E674" s="111"/>
      <c r="F674" s="112"/>
      <c r="G674" s="113"/>
      <c r="H674" s="53">
        <f t="shared" si="1"/>
        <v>0</v>
      </c>
      <c r="I674" s="115"/>
      <c r="J674" s="115"/>
      <c r="K674" s="60">
        <f t="shared" si="2"/>
        <v>0</v>
      </c>
      <c r="L674" s="117"/>
    </row>
    <row r="675" ht="15.75" customHeight="1">
      <c r="A675" s="9"/>
      <c r="B675" s="164"/>
      <c r="C675" s="110"/>
      <c r="D675" s="156"/>
      <c r="E675" s="111"/>
      <c r="F675" s="112"/>
      <c r="G675" s="113"/>
      <c r="H675" s="53">
        <f t="shared" si="1"/>
        <v>0</v>
      </c>
      <c r="I675" s="115"/>
      <c r="J675" s="115"/>
      <c r="K675" s="60">
        <f t="shared" si="2"/>
        <v>0</v>
      </c>
      <c r="L675" s="117"/>
    </row>
    <row r="676" ht="15.75" customHeight="1">
      <c r="A676" s="9"/>
      <c r="B676" s="164"/>
      <c r="C676" s="110"/>
      <c r="D676" s="156"/>
      <c r="E676" s="111"/>
      <c r="F676" s="112"/>
      <c r="G676" s="113"/>
      <c r="H676" s="53">
        <f t="shared" si="1"/>
        <v>0</v>
      </c>
      <c r="I676" s="115"/>
      <c r="J676" s="115"/>
      <c r="K676" s="60">
        <f t="shared" si="2"/>
        <v>0</v>
      </c>
      <c r="L676" s="117"/>
    </row>
    <row r="677" ht="15.75" customHeight="1">
      <c r="A677" s="9"/>
      <c r="B677" s="164"/>
      <c r="C677" s="110"/>
      <c r="D677" s="156"/>
      <c r="E677" s="111"/>
      <c r="F677" s="112"/>
      <c r="G677" s="113"/>
      <c r="H677" s="53">
        <f t="shared" si="1"/>
        <v>0</v>
      </c>
      <c r="I677" s="115"/>
      <c r="J677" s="115"/>
      <c r="K677" s="60">
        <f t="shared" si="2"/>
        <v>0</v>
      </c>
      <c r="L677" s="117"/>
    </row>
    <row r="678" ht="15.75" customHeight="1">
      <c r="A678" s="9"/>
      <c r="B678" s="164"/>
      <c r="C678" s="110"/>
      <c r="D678" s="156"/>
      <c r="E678" s="111"/>
      <c r="F678" s="112"/>
      <c r="G678" s="113"/>
      <c r="H678" s="53">
        <f t="shared" si="1"/>
        <v>0</v>
      </c>
      <c r="I678" s="115"/>
      <c r="J678" s="115"/>
      <c r="K678" s="60">
        <f t="shared" si="2"/>
        <v>0</v>
      </c>
      <c r="L678" s="117"/>
    </row>
    <row r="679" ht="15.75" customHeight="1">
      <c r="A679" s="9"/>
      <c r="B679" s="164"/>
      <c r="C679" s="110"/>
      <c r="D679" s="156"/>
      <c r="E679" s="111"/>
      <c r="F679" s="112"/>
      <c r="G679" s="113"/>
      <c r="H679" s="53">
        <f t="shared" si="1"/>
        <v>0</v>
      </c>
      <c r="I679" s="115"/>
      <c r="J679" s="115"/>
      <c r="K679" s="60">
        <f t="shared" si="2"/>
        <v>0</v>
      </c>
      <c r="L679" s="117"/>
    </row>
    <row r="680" ht="15.75" customHeight="1">
      <c r="A680" s="9"/>
      <c r="B680" s="164"/>
      <c r="C680" s="110"/>
      <c r="D680" s="156"/>
      <c r="E680" s="111"/>
      <c r="F680" s="112"/>
      <c r="G680" s="113"/>
      <c r="H680" s="53">
        <f t="shared" si="1"/>
        <v>0</v>
      </c>
      <c r="I680" s="115"/>
      <c r="J680" s="115"/>
      <c r="K680" s="60">
        <f t="shared" si="2"/>
        <v>0</v>
      </c>
      <c r="L680" s="117"/>
    </row>
    <row r="681" ht="15.75" customHeight="1">
      <c r="A681" s="9"/>
      <c r="B681" s="164"/>
      <c r="C681" s="110"/>
      <c r="D681" s="156"/>
      <c r="E681" s="111"/>
      <c r="F681" s="112"/>
      <c r="G681" s="113"/>
      <c r="H681" s="53">
        <f t="shared" si="1"/>
        <v>0</v>
      </c>
      <c r="I681" s="115"/>
      <c r="J681" s="115"/>
      <c r="K681" s="60">
        <f t="shared" si="2"/>
        <v>0</v>
      </c>
      <c r="L681" s="117"/>
    </row>
    <row r="682" ht="15.75" customHeight="1">
      <c r="A682" s="9"/>
      <c r="B682" s="164"/>
      <c r="C682" s="110"/>
      <c r="D682" s="156"/>
      <c r="E682" s="111"/>
      <c r="F682" s="112"/>
      <c r="G682" s="113"/>
      <c r="H682" s="53">
        <f t="shared" si="1"/>
        <v>0</v>
      </c>
      <c r="I682" s="115"/>
      <c r="J682" s="115"/>
      <c r="K682" s="60">
        <f t="shared" si="2"/>
        <v>0</v>
      </c>
      <c r="L682" s="117"/>
    </row>
    <row r="683" ht="15.75" customHeight="1">
      <c r="A683" s="9"/>
      <c r="B683" s="164"/>
      <c r="C683" s="110"/>
      <c r="D683" s="156"/>
      <c r="E683" s="111"/>
      <c r="F683" s="112"/>
      <c r="G683" s="113"/>
      <c r="H683" s="53">
        <f t="shared" si="1"/>
        <v>0</v>
      </c>
      <c r="I683" s="115"/>
      <c r="J683" s="115"/>
      <c r="K683" s="60">
        <f t="shared" si="2"/>
        <v>0</v>
      </c>
      <c r="L683" s="117"/>
    </row>
    <row r="684" ht="15.75" customHeight="1">
      <c r="A684" s="9"/>
      <c r="B684" s="164"/>
      <c r="C684" s="110"/>
      <c r="D684" s="156"/>
      <c r="E684" s="111"/>
      <c r="F684" s="112"/>
      <c r="G684" s="113"/>
      <c r="H684" s="53">
        <f t="shared" si="1"/>
        <v>0</v>
      </c>
      <c r="I684" s="115"/>
      <c r="J684" s="115"/>
      <c r="K684" s="60">
        <f t="shared" si="2"/>
        <v>0</v>
      </c>
      <c r="L684" s="117"/>
    </row>
    <row r="685" ht="15.75" customHeight="1">
      <c r="A685" s="9"/>
      <c r="B685" s="164"/>
      <c r="C685" s="110"/>
      <c r="D685" s="156"/>
      <c r="E685" s="111"/>
      <c r="F685" s="112"/>
      <c r="G685" s="113"/>
      <c r="H685" s="53">
        <f t="shared" si="1"/>
        <v>0</v>
      </c>
      <c r="I685" s="115"/>
      <c r="J685" s="115"/>
      <c r="K685" s="60">
        <f t="shared" si="2"/>
        <v>0</v>
      </c>
      <c r="L685" s="117"/>
    </row>
    <row r="686" ht="15.75" customHeight="1">
      <c r="A686" s="9"/>
      <c r="B686" s="164"/>
      <c r="C686" s="110"/>
      <c r="D686" s="156"/>
      <c r="E686" s="111"/>
      <c r="F686" s="112"/>
      <c r="G686" s="113"/>
      <c r="H686" s="53">
        <f t="shared" si="1"/>
        <v>0</v>
      </c>
      <c r="I686" s="115"/>
      <c r="J686" s="115"/>
      <c r="K686" s="60">
        <f t="shared" si="2"/>
        <v>0</v>
      </c>
      <c r="L686" s="117"/>
    </row>
    <row r="687" ht="15.75" customHeight="1">
      <c r="A687" s="9"/>
      <c r="B687" s="164"/>
      <c r="C687" s="110"/>
      <c r="D687" s="156"/>
      <c r="E687" s="111"/>
      <c r="F687" s="112"/>
      <c r="G687" s="113"/>
      <c r="H687" s="53">
        <f t="shared" si="1"/>
        <v>0</v>
      </c>
      <c r="I687" s="115"/>
      <c r="J687" s="115"/>
      <c r="K687" s="60">
        <f t="shared" si="2"/>
        <v>0</v>
      </c>
      <c r="L687" s="117"/>
    </row>
    <row r="688" ht="15.75" customHeight="1">
      <c r="A688" s="9"/>
      <c r="B688" s="164"/>
      <c r="C688" s="110"/>
      <c r="D688" s="156"/>
      <c r="E688" s="111"/>
      <c r="F688" s="112"/>
      <c r="G688" s="113"/>
      <c r="H688" s="53">
        <f t="shared" si="1"/>
        <v>0</v>
      </c>
      <c r="I688" s="115"/>
      <c r="J688" s="115"/>
      <c r="K688" s="60">
        <f t="shared" si="2"/>
        <v>0</v>
      </c>
      <c r="L688" s="117"/>
    </row>
    <row r="689" ht="15.75" customHeight="1">
      <c r="A689" s="9"/>
      <c r="B689" s="164"/>
      <c r="C689" s="110"/>
      <c r="D689" s="156"/>
      <c r="E689" s="111"/>
      <c r="F689" s="112"/>
      <c r="G689" s="113"/>
      <c r="H689" s="53">
        <f t="shared" si="1"/>
        <v>0</v>
      </c>
      <c r="I689" s="115"/>
      <c r="J689" s="115"/>
      <c r="K689" s="60">
        <f t="shared" si="2"/>
        <v>0</v>
      </c>
      <c r="L689" s="117"/>
    </row>
    <row r="690" ht="15.75" customHeight="1">
      <c r="A690" s="9"/>
      <c r="B690" s="164"/>
      <c r="C690" s="110"/>
      <c r="D690" s="156"/>
      <c r="E690" s="111"/>
      <c r="F690" s="112"/>
      <c r="G690" s="113"/>
      <c r="H690" s="53">
        <f t="shared" si="1"/>
        <v>0</v>
      </c>
      <c r="I690" s="115"/>
      <c r="J690" s="115"/>
      <c r="K690" s="60">
        <f t="shared" si="2"/>
        <v>0</v>
      </c>
      <c r="L690" s="117"/>
    </row>
    <row r="691" ht="15.75" customHeight="1">
      <c r="A691" s="9"/>
      <c r="B691" s="164"/>
      <c r="C691" s="110"/>
      <c r="D691" s="156"/>
      <c r="E691" s="111"/>
      <c r="F691" s="112"/>
      <c r="G691" s="113"/>
      <c r="H691" s="53">
        <f t="shared" si="1"/>
        <v>0</v>
      </c>
      <c r="I691" s="115"/>
      <c r="J691" s="115"/>
      <c r="K691" s="60">
        <f t="shared" si="2"/>
        <v>0</v>
      </c>
      <c r="L691" s="117"/>
    </row>
    <row r="692" ht="15.75" customHeight="1">
      <c r="A692" s="9"/>
      <c r="B692" s="164"/>
      <c r="C692" s="110"/>
      <c r="D692" s="156"/>
      <c r="E692" s="111"/>
      <c r="F692" s="112"/>
      <c r="G692" s="113"/>
      <c r="H692" s="53">
        <f t="shared" si="1"/>
        <v>0</v>
      </c>
      <c r="I692" s="115"/>
      <c r="J692" s="115"/>
      <c r="K692" s="60">
        <f t="shared" si="2"/>
        <v>0</v>
      </c>
      <c r="L692" s="117"/>
    </row>
    <row r="693" ht="15.75" customHeight="1">
      <c r="A693" s="9"/>
      <c r="B693" s="164"/>
      <c r="C693" s="110"/>
      <c r="D693" s="156"/>
      <c r="E693" s="111"/>
      <c r="F693" s="112"/>
      <c r="G693" s="113"/>
      <c r="H693" s="53">
        <f t="shared" si="1"/>
        <v>0</v>
      </c>
      <c r="I693" s="115"/>
      <c r="J693" s="115"/>
      <c r="K693" s="60">
        <f t="shared" si="2"/>
        <v>0</v>
      </c>
      <c r="L693" s="117"/>
    </row>
    <row r="694" ht="15.75" customHeight="1">
      <c r="A694" s="9"/>
      <c r="B694" s="164"/>
      <c r="C694" s="110"/>
      <c r="D694" s="156"/>
      <c r="E694" s="111"/>
      <c r="F694" s="112"/>
      <c r="G694" s="113"/>
      <c r="H694" s="53">
        <f t="shared" si="1"/>
        <v>0</v>
      </c>
      <c r="I694" s="115"/>
      <c r="J694" s="115"/>
      <c r="K694" s="60">
        <f t="shared" si="2"/>
        <v>0</v>
      </c>
      <c r="L694" s="117"/>
    </row>
    <row r="695" ht="15.75" customHeight="1">
      <c r="A695" s="9"/>
      <c r="B695" s="164"/>
      <c r="C695" s="110"/>
      <c r="D695" s="156"/>
      <c r="E695" s="111"/>
      <c r="F695" s="112"/>
      <c r="G695" s="113"/>
      <c r="H695" s="53">
        <f t="shared" si="1"/>
        <v>0</v>
      </c>
      <c r="I695" s="115"/>
      <c r="J695" s="115"/>
      <c r="K695" s="60">
        <f t="shared" si="2"/>
        <v>0</v>
      </c>
      <c r="L695" s="117"/>
    </row>
    <row r="696" ht="15.75" customHeight="1">
      <c r="A696" s="9"/>
      <c r="B696" s="164"/>
      <c r="C696" s="110"/>
      <c r="D696" s="156"/>
      <c r="E696" s="111"/>
      <c r="F696" s="112"/>
      <c r="G696" s="113"/>
      <c r="H696" s="53">
        <f t="shared" si="1"/>
        <v>0</v>
      </c>
      <c r="I696" s="115"/>
      <c r="J696" s="115"/>
      <c r="K696" s="60">
        <f t="shared" si="2"/>
        <v>0</v>
      </c>
      <c r="L696" s="117"/>
    </row>
    <row r="697" ht="15.75" customHeight="1">
      <c r="A697" s="9"/>
      <c r="B697" s="164"/>
      <c r="C697" s="110"/>
      <c r="D697" s="156"/>
      <c r="E697" s="111"/>
      <c r="F697" s="112"/>
      <c r="G697" s="113"/>
      <c r="H697" s="53">
        <f t="shared" si="1"/>
        <v>0</v>
      </c>
      <c r="I697" s="115"/>
      <c r="J697" s="115"/>
      <c r="K697" s="60">
        <f t="shared" si="2"/>
        <v>0</v>
      </c>
      <c r="L697" s="117"/>
    </row>
    <row r="698" ht="15.75" customHeight="1">
      <c r="A698" s="9"/>
      <c r="B698" s="164"/>
      <c r="C698" s="110"/>
      <c r="D698" s="156"/>
      <c r="E698" s="111"/>
      <c r="F698" s="112"/>
      <c r="G698" s="113"/>
      <c r="H698" s="53">
        <f t="shared" si="1"/>
        <v>0</v>
      </c>
      <c r="I698" s="115"/>
      <c r="J698" s="115"/>
      <c r="K698" s="60">
        <f t="shared" si="2"/>
        <v>0</v>
      </c>
      <c r="L698" s="117"/>
    </row>
    <row r="699" ht="15.75" customHeight="1">
      <c r="A699" s="9"/>
      <c r="B699" s="164"/>
      <c r="C699" s="110"/>
      <c r="D699" s="156"/>
      <c r="E699" s="111"/>
      <c r="F699" s="112"/>
      <c r="G699" s="113"/>
      <c r="H699" s="53">
        <f t="shared" si="1"/>
        <v>0</v>
      </c>
      <c r="I699" s="115"/>
      <c r="J699" s="115"/>
      <c r="K699" s="60">
        <f t="shared" si="2"/>
        <v>0</v>
      </c>
      <c r="L699" s="117"/>
    </row>
    <row r="700" ht="15.75" customHeight="1">
      <c r="A700" s="9"/>
      <c r="B700" s="164"/>
      <c r="C700" s="110"/>
      <c r="D700" s="156"/>
      <c r="E700" s="111"/>
      <c r="F700" s="112"/>
      <c r="G700" s="113"/>
      <c r="H700" s="53">
        <f t="shared" si="1"/>
        <v>0</v>
      </c>
      <c r="I700" s="115"/>
      <c r="J700" s="115"/>
      <c r="K700" s="60">
        <f t="shared" si="2"/>
        <v>0</v>
      </c>
      <c r="L700" s="117"/>
    </row>
    <row r="701" ht="15.75" customHeight="1">
      <c r="A701" s="9"/>
      <c r="B701" s="164"/>
      <c r="C701" s="110"/>
      <c r="D701" s="156"/>
      <c r="E701" s="111"/>
      <c r="F701" s="112"/>
      <c r="G701" s="113"/>
      <c r="H701" s="53">
        <f t="shared" si="1"/>
        <v>0</v>
      </c>
      <c r="I701" s="115"/>
      <c r="J701" s="115"/>
      <c r="K701" s="60">
        <f t="shared" si="2"/>
        <v>0</v>
      </c>
      <c r="L701" s="117"/>
    </row>
    <row r="702" ht="15.75" customHeight="1">
      <c r="A702" s="9"/>
      <c r="B702" s="164"/>
      <c r="C702" s="110"/>
      <c r="D702" s="156"/>
      <c r="E702" s="111"/>
      <c r="F702" s="112"/>
      <c r="G702" s="113"/>
      <c r="H702" s="53">
        <f t="shared" si="1"/>
        <v>0</v>
      </c>
      <c r="I702" s="115"/>
      <c r="J702" s="115"/>
      <c r="K702" s="60">
        <f t="shared" si="2"/>
        <v>0</v>
      </c>
      <c r="L702" s="117"/>
    </row>
    <row r="703" ht="15.75" customHeight="1">
      <c r="A703" s="9"/>
      <c r="B703" s="164"/>
      <c r="C703" s="110"/>
      <c r="D703" s="156"/>
      <c r="E703" s="111"/>
      <c r="F703" s="112"/>
      <c r="G703" s="113"/>
      <c r="H703" s="53">
        <f t="shared" si="1"/>
        <v>0</v>
      </c>
      <c r="I703" s="115"/>
      <c r="J703" s="115"/>
      <c r="K703" s="60">
        <f t="shared" si="2"/>
        <v>0</v>
      </c>
      <c r="L703" s="117"/>
    </row>
    <row r="704" ht="15.75" customHeight="1">
      <c r="A704" s="9"/>
      <c r="B704" s="164"/>
      <c r="C704" s="110"/>
      <c r="D704" s="156"/>
      <c r="E704" s="111"/>
      <c r="F704" s="112"/>
      <c r="G704" s="113"/>
      <c r="H704" s="53">
        <f t="shared" si="1"/>
        <v>0</v>
      </c>
      <c r="I704" s="115"/>
      <c r="J704" s="115"/>
      <c r="K704" s="60">
        <f t="shared" si="2"/>
        <v>0</v>
      </c>
      <c r="L704" s="117"/>
    </row>
    <row r="705" ht="15.75" customHeight="1">
      <c r="A705" s="9"/>
      <c r="B705" s="164"/>
      <c r="C705" s="110"/>
      <c r="D705" s="156"/>
      <c r="E705" s="111"/>
      <c r="F705" s="112"/>
      <c r="G705" s="113"/>
      <c r="H705" s="53">
        <f t="shared" si="1"/>
        <v>0</v>
      </c>
      <c r="I705" s="115"/>
      <c r="J705" s="115"/>
      <c r="K705" s="60">
        <f t="shared" si="2"/>
        <v>0</v>
      </c>
      <c r="L705" s="117"/>
    </row>
    <row r="706" ht="15.75" customHeight="1">
      <c r="A706" s="9"/>
      <c r="B706" s="164"/>
      <c r="C706" s="110"/>
      <c r="D706" s="156"/>
      <c r="E706" s="111"/>
      <c r="F706" s="112"/>
      <c r="G706" s="113"/>
      <c r="H706" s="53">
        <f t="shared" si="1"/>
        <v>0</v>
      </c>
      <c r="I706" s="115"/>
      <c r="J706" s="115"/>
      <c r="K706" s="60">
        <f t="shared" si="2"/>
        <v>0</v>
      </c>
      <c r="L706" s="117"/>
    </row>
    <row r="707" ht="15.75" customHeight="1">
      <c r="A707" s="9"/>
      <c r="B707" s="164"/>
      <c r="C707" s="110"/>
      <c r="D707" s="156"/>
      <c r="E707" s="111"/>
      <c r="F707" s="112"/>
      <c r="G707" s="113"/>
      <c r="H707" s="53">
        <f t="shared" si="1"/>
        <v>0</v>
      </c>
      <c r="I707" s="115"/>
      <c r="J707" s="115"/>
      <c r="K707" s="60">
        <f t="shared" si="2"/>
        <v>0</v>
      </c>
      <c r="L707" s="117"/>
    </row>
    <row r="708" ht="15.75" customHeight="1">
      <c r="A708" s="9"/>
      <c r="B708" s="164"/>
      <c r="C708" s="110"/>
      <c r="D708" s="156"/>
      <c r="E708" s="111"/>
      <c r="F708" s="112"/>
      <c r="G708" s="113"/>
      <c r="H708" s="53">
        <f t="shared" si="1"/>
        <v>0</v>
      </c>
      <c r="I708" s="115"/>
      <c r="J708" s="115"/>
      <c r="K708" s="60">
        <f t="shared" si="2"/>
        <v>0</v>
      </c>
      <c r="L708" s="117"/>
    </row>
    <row r="709" ht="15.75" customHeight="1">
      <c r="A709" s="9"/>
      <c r="B709" s="164"/>
      <c r="C709" s="110"/>
      <c r="D709" s="156"/>
      <c r="E709" s="111"/>
      <c r="F709" s="112"/>
      <c r="G709" s="113"/>
      <c r="H709" s="53">
        <f t="shared" si="1"/>
        <v>0</v>
      </c>
      <c r="I709" s="115"/>
      <c r="J709" s="115"/>
      <c r="K709" s="60">
        <f t="shared" si="2"/>
        <v>0</v>
      </c>
      <c r="L709" s="117"/>
    </row>
    <row r="710" ht="15.75" customHeight="1">
      <c r="A710" s="9"/>
      <c r="B710" s="164"/>
      <c r="C710" s="110"/>
      <c r="D710" s="156"/>
      <c r="E710" s="111"/>
      <c r="F710" s="112"/>
      <c r="G710" s="113"/>
      <c r="H710" s="53">
        <f t="shared" si="1"/>
        <v>0</v>
      </c>
      <c r="I710" s="115"/>
      <c r="J710" s="115"/>
      <c r="K710" s="60">
        <f t="shared" si="2"/>
        <v>0</v>
      </c>
      <c r="L710" s="117"/>
    </row>
    <row r="711" ht="15.75" customHeight="1">
      <c r="A711" s="9"/>
      <c r="B711" s="164"/>
      <c r="C711" s="110"/>
      <c r="D711" s="156"/>
      <c r="E711" s="111"/>
      <c r="F711" s="112"/>
      <c r="G711" s="113"/>
      <c r="H711" s="53">
        <f t="shared" si="1"/>
        <v>0</v>
      </c>
      <c r="I711" s="115"/>
      <c r="J711" s="115"/>
      <c r="K711" s="60">
        <f t="shared" si="2"/>
        <v>0</v>
      </c>
      <c r="L711" s="117"/>
    </row>
    <row r="712" ht="15.75" customHeight="1">
      <c r="A712" s="9"/>
      <c r="B712" s="164"/>
      <c r="C712" s="110"/>
      <c r="D712" s="156"/>
      <c r="E712" s="111"/>
      <c r="F712" s="112"/>
      <c r="G712" s="113"/>
      <c r="H712" s="53">
        <f t="shared" si="1"/>
        <v>0</v>
      </c>
      <c r="I712" s="115"/>
      <c r="J712" s="115"/>
      <c r="K712" s="60">
        <f t="shared" si="2"/>
        <v>0</v>
      </c>
      <c r="L712" s="117"/>
    </row>
    <row r="713" ht="15.75" customHeight="1">
      <c r="A713" s="9"/>
      <c r="B713" s="164"/>
      <c r="C713" s="110"/>
      <c r="D713" s="156"/>
      <c r="E713" s="111"/>
      <c r="F713" s="112"/>
      <c r="G713" s="113"/>
      <c r="H713" s="53">
        <f t="shared" si="1"/>
        <v>0</v>
      </c>
      <c r="I713" s="115"/>
      <c r="J713" s="115"/>
      <c r="K713" s="60">
        <f t="shared" si="2"/>
        <v>0</v>
      </c>
      <c r="L713" s="117"/>
    </row>
    <row r="714" ht="15.75" customHeight="1">
      <c r="A714" s="9"/>
      <c r="B714" s="164"/>
      <c r="C714" s="110"/>
      <c r="D714" s="156"/>
      <c r="E714" s="111"/>
      <c r="F714" s="112"/>
      <c r="G714" s="113"/>
      <c r="H714" s="53">
        <f t="shared" si="1"/>
        <v>0</v>
      </c>
      <c r="I714" s="115"/>
      <c r="J714" s="115"/>
      <c r="K714" s="60">
        <f t="shared" si="2"/>
        <v>0</v>
      </c>
      <c r="L714" s="117"/>
    </row>
    <row r="715" ht="15.75" customHeight="1">
      <c r="A715" s="9"/>
      <c r="B715" s="164"/>
      <c r="C715" s="110"/>
      <c r="D715" s="156"/>
      <c r="E715" s="111"/>
      <c r="F715" s="112"/>
      <c r="G715" s="113"/>
      <c r="H715" s="53">
        <f t="shared" si="1"/>
        <v>0</v>
      </c>
      <c r="I715" s="115"/>
      <c r="J715" s="115"/>
      <c r="K715" s="60">
        <f t="shared" si="2"/>
        <v>0</v>
      </c>
      <c r="L715" s="117"/>
    </row>
    <row r="716" ht="15.75" customHeight="1">
      <c r="A716" s="9"/>
      <c r="B716" s="164"/>
      <c r="C716" s="110"/>
      <c r="D716" s="156"/>
      <c r="E716" s="111"/>
      <c r="F716" s="112"/>
      <c r="G716" s="113"/>
      <c r="H716" s="53">
        <f t="shared" si="1"/>
        <v>0</v>
      </c>
      <c r="I716" s="115"/>
      <c r="J716" s="115"/>
      <c r="K716" s="60">
        <f t="shared" si="2"/>
        <v>0</v>
      </c>
      <c r="L716" s="117"/>
    </row>
    <row r="717" ht="15.75" customHeight="1">
      <c r="A717" s="9"/>
      <c r="B717" s="164"/>
      <c r="C717" s="110"/>
      <c r="D717" s="156"/>
      <c r="E717" s="111"/>
      <c r="F717" s="112"/>
      <c r="G717" s="113"/>
      <c r="H717" s="53">
        <f t="shared" si="1"/>
        <v>0</v>
      </c>
      <c r="I717" s="115"/>
      <c r="J717" s="115"/>
      <c r="K717" s="60">
        <f t="shared" si="2"/>
        <v>0</v>
      </c>
      <c r="L717" s="117"/>
    </row>
    <row r="718" ht="15.75" customHeight="1">
      <c r="A718" s="9"/>
      <c r="B718" s="164"/>
      <c r="C718" s="110"/>
      <c r="D718" s="156"/>
      <c r="E718" s="111"/>
      <c r="F718" s="112"/>
      <c r="G718" s="113"/>
      <c r="H718" s="53">
        <f t="shared" si="1"/>
        <v>0</v>
      </c>
      <c r="I718" s="115"/>
      <c r="J718" s="115"/>
      <c r="K718" s="60">
        <f t="shared" si="2"/>
        <v>0</v>
      </c>
      <c r="L718" s="117"/>
    </row>
    <row r="719" ht="15.75" customHeight="1">
      <c r="A719" s="9"/>
      <c r="B719" s="164"/>
      <c r="C719" s="110"/>
      <c r="D719" s="156"/>
      <c r="E719" s="111"/>
      <c r="F719" s="112"/>
      <c r="G719" s="113"/>
      <c r="H719" s="53">
        <f t="shared" si="1"/>
        <v>0</v>
      </c>
      <c r="I719" s="115"/>
      <c r="J719" s="115"/>
      <c r="K719" s="60">
        <f t="shared" si="2"/>
        <v>0</v>
      </c>
      <c r="L719" s="117"/>
    </row>
    <row r="720" ht="15.75" customHeight="1">
      <c r="A720" s="9"/>
      <c r="B720" s="164"/>
      <c r="C720" s="110"/>
      <c r="D720" s="156"/>
      <c r="E720" s="111"/>
      <c r="F720" s="112"/>
      <c r="G720" s="113"/>
      <c r="H720" s="53">
        <f t="shared" si="1"/>
        <v>0</v>
      </c>
      <c r="I720" s="115"/>
      <c r="J720" s="115"/>
      <c r="K720" s="60">
        <f t="shared" si="2"/>
        <v>0</v>
      </c>
      <c r="L720" s="117"/>
    </row>
    <row r="721" ht="15.75" customHeight="1">
      <c r="A721" s="9"/>
      <c r="B721" s="164"/>
      <c r="C721" s="110"/>
      <c r="D721" s="156"/>
      <c r="E721" s="111"/>
      <c r="F721" s="112"/>
      <c r="G721" s="113"/>
      <c r="H721" s="53">
        <f t="shared" si="1"/>
        <v>0</v>
      </c>
      <c r="I721" s="115"/>
      <c r="J721" s="115"/>
      <c r="K721" s="60">
        <f t="shared" si="2"/>
        <v>0</v>
      </c>
      <c r="L721" s="117"/>
    </row>
    <row r="722" ht="15.75" customHeight="1">
      <c r="A722" s="9"/>
      <c r="B722" s="164"/>
      <c r="C722" s="110"/>
      <c r="D722" s="156"/>
      <c r="E722" s="111"/>
      <c r="F722" s="112"/>
      <c r="G722" s="113"/>
      <c r="H722" s="53">
        <f t="shared" si="1"/>
        <v>0</v>
      </c>
      <c r="I722" s="115"/>
      <c r="J722" s="115"/>
      <c r="K722" s="60">
        <f t="shared" si="2"/>
        <v>0</v>
      </c>
      <c r="L722" s="117"/>
    </row>
    <row r="723" ht="15.75" customHeight="1">
      <c r="A723" s="9"/>
      <c r="B723" s="164"/>
      <c r="C723" s="110"/>
      <c r="D723" s="156"/>
      <c r="E723" s="111"/>
      <c r="F723" s="112"/>
      <c r="G723" s="113"/>
      <c r="H723" s="53">
        <f t="shared" si="1"/>
        <v>0</v>
      </c>
      <c r="I723" s="115"/>
      <c r="J723" s="115"/>
      <c r="K723" s="60">
        <f t="shared" si="2"/>
        <v>0</v>
      </c>
      <c r="L723" s="117"/>
    </row>
    <row r="724" ht="15.75" customHeight="1">
      <c r="A724" s="9"/>
      <c r="B724" s="164"/>
      <c r="C724" s="110"/>
      <c r="D724" s="156"/>
      <c r="E724" s="111"/>
      <c r="F724" s="112"/>
      <c r="G724" s="113"/>
      <c r="H724" s="53">
        <f t="shared" si="1"/>
        <v>0</v>
      </c>
      <c r="I724" s="115"/>
      <c r="J724" s="115"/>
      <c r="K724" s="60">
        <f t="shared" si="2"/>
        <v>0</v>
      </c>
      <c r="L724" s="117"/>
    </row>
    <row r="725" ht="15.75" customHeight="1">
      <c r="A725" s="9"/>
      <c r="B725" s="164"/>
      <c r="C725" s="110"/>
      <c r="D725" s="156"/>
      <c r="E725" s="111"/>
      <c r="F725" s="112"/>
      <c r="G725" s="113"/>
      <c r="H725" s="53">
        <f t="shared" si="1"/>
        <v>0</v>
      </c>
      <c r="I725" s="115"/>
      <c r="J725" s="115"/>
      <c r="K725" s="60">
        <f t="shared" si="2"/>
        <v>0</v>
      </c>
      <c r="L725" s="117"/>
    </row>
    <row r="726" ht="15.75" customHeight="1">
      <c r="A726" s="9"/>
      <c r="B726" s="164"/>
      <c r="C726" s="110"/>
      <c r="D726" s="156"/>
      <c r="E726" s="111"/>
      <c r="F726" s="112"/>
      <c r="G726" s="113"/>
      <c r="H726" s="53">
        <f t="shared" si="1"/>
        <v>0</v>
      </c>
      <c r="I726" s="115"/>
      <c r="J726" s="115"/>
      <c r="K726" s="60">
        <f t="shared" si="2"/>
        <v>0</v>
      </c>
      <c r="L726" s="117"/>
    </row>
    <row r="727" ht="15.75" customHeight="1">
      <c r="A727" s="9"/>
      <c r="B727" s="164"/>
      <c r="C727" s="110"/>
      <c r="D727" s="156"/>
      <c r="E727" s="111"/>
      <c r="F727" s="112"/>
      <c r="G727" s="113"/>
      <c r="H727" s="53">
        <f t="shared" si="1"/>
        <v>0</v>
      </c>
      <c r="I727" s="115"/>
      <c r="J727" s="115"/>
      <c r="K727" s="60">
        <f t="shared" si="2"/>
        <v>0</v>
      </c>
      <c r="L727" s="117"/>
    </row>
    <row r="728" ht="15.75" customHeight="1">
      <c r="A728" s="9"/>
      <c r="B728" s="164"/>
      <c r="C728" s="110"/>
      <c r="D728" s="156"/>
      <c r="E728" s="111"/>
      <c r="F728" s="112"/>
      <c r="G728" s="113"/>
      <c r="H728" s="53">
        <f t="shared" si="1"/>
        <v>0</v>
      </c>
      <c r="I728" s="115"/>
      <c r="J728" s="115"/>
      <c r="K728" s="60">
        <f t="shared" si="2"/>
        <v>0</v>
      </c>
      <c r="L728" s="117"/>
    </row>
    <row r="729" ht="15.75" customHeight="1">
      <c r="A729" s="9"/>
      <c r="B729" s="164"/>
      <c r="C729" s="110"/>
      <c r="D729" s="156"/>
      <c r="E729" s="111"/>
      <c r="F729" s="112"/>
      <c r="G729" s="113"/>
      <c r="H729" s="53">
        <f t="shared" si="1"/>
        <v>0</v>
      </c>
      <c r="I729" s="115"/>
      <c r="J729" s="115"/>
      <c r="K729" s="60">
        <f t="shared" si="2"/>
        <v>0</v>
      </c>
      <c r="L729" s="117"/>
    </row>
    <row r="730" ht="15.75" customHeight="1">
      <c r="A730" s="9"/>
      <c r="B730" s="164"/>
      <c r="C730" s="110"/>
      <c r="D730" s="156"/>
      <c r="E730" s="111"/>
      <c r="F730" s="112"/>
      <c r="G730" s="113"/>
      <c r="H730" s="53">
        <f t="shared" si="1"/>
        <v>0</v>
      </c>
      <c r="I730" s="115"/>
      <c r="J730" s="115"/>
      <c r="K730" s="60">
        <f t="shared" si="2"/>
        <v>0</v>
      </c>
      <c r="L730" s="117"/>
    </row>
    <row r="731" ht="15.75" customHeight="1">
      <c r="A731" s="9"/>
      <c r="B731" s="164"/>
      <c r="C731" s="110"/>
      <c r="D731" s="156"/>
      <c r="E731" s="111"/>
      <c r="F731" s="112"/>
      <c r="G731" s="113"/>
      <c r="H731" s="53">
        <f t="shared" si="1"/>
        <v>0</v>
      </c>
      <c r="I731" s="115"/>
      <c r="J731" s="115"/>
      <c r="K731" s="60">
        <f t="shared" si="2"/>
        <v>0</v>
      </c>
      <c r="L731" s="117"/>
    </row>
    <row r="732" ht="15.75" customHeight="1">
      <c r="A732" s="9"/>
      <c r="B732" s="164"/>
      <c r="C732" s="110"/>
      <c r="D732" s="156"/>
      <c r="E732" s="111"/>
      <c r="F732" s="112"/>
      <c r="G732" s="113"/>
      <c r="H732" s="53">
        <f t="shared" si="1"/>
        <v>0</v>
      </c>
      <c r="I732" s="115"/>
      <c r="J732" s="115"/>
      <c r="K732" s="60">
        <f t="shared" si="2"/>
        <v>0</v>
      </c>
      <c r="L732" s="117"/>
    </row>
    <row r="733" ht="15.75" customHeight="1">
      <c r="A733" s="9"/>
      <c r="B733" s="164"/>
      <c r="C733" s="110"/>
      <c r="D733" s="156"/>
      <c r="E733" s="111"/>
      <c r="F733" s="112"/>
      <c r="G733" s="113"/>
      <c r="H733" s="53">
        <f t="shared" si="1"/>
        <v>0</v>
      </c>
      <c r="I733" s="115"/>
      <c r="J733" s="115"/>
      <c r="K733" s="60">
        <f t="shared" si="2"/>
        <v>0</v>
      </c>
      <c r="L733" s="117"/>
    </row>
    <row r="734" ht="15.75" customHeight="1">
      <c r="A734" s="9"/>
      <c r="B734" s="164"/>
      <c r="C734" s="110"/>
      <c r="D734" s="156"/>
      <c r="E734" s="111"/>
      <c r="F734" s="112"/>
      <c r="G734" s="113"/>
      <c r="H734" s="53">
        <f t="shared" si="1"/>
        <v>0</v>
      </c>
      <c r="I734" s="115"/>
      <c r="J734" s="115"/>
      <c r="K734" s="60">
        <f t="shared" si="2"/>
        <v>0</v>
      </c>
      <c r="L734" s="117"/>
    </row>
    <row r="735" ht="15.75" customHeight="1">
      <c r="A735" s="9"/>
      <c r="B735" s="164"/>
      <c r="C735" s="110"/>
      <c r="D735" s="156"/>
      <c r="E735" s="111"/>
      <c r="F735" s="112"/>
      <c r="G735" s="113"/>
      <c r="H735" s="53">
        <f t="shared" si="1"/>
        <v>0</v>
      </c>
      <c r="I735" s="115"/>
      <c r="J735" s="115"/>
      <c r="K735" s="60">
        <f t="shared" si="2"/>
        <v>0</v>
      </c>
      <c r="L735" s="117"/>
    </row>
    <row r="736" ht="15.75" customHeight="1">
      <c r="A736" s="9"/>
      <c r="B736" s="164"/>
      <c r="C736" s="110"/>
      <c r="D736" s="156"/>
      <c r="E736" s="111"/>
      <c r="F736" s="112"/>
      <c r="G736" s="113"/>
      <c r="H736" s="53">
        <f t="shared" si="1"/>
        <v>0</v>
      </c>
      <c r="I736" s="115"/>
      <c r="J736" s="115"/>
      <c r="K736" s="60">
        <f t="shared" si="2"/>
        <v>0</v>
      </c>
      <c r="L736" s="117"/>
    </row>
    <row r="737" ht="15.75" customHeight="1">
      <c r="A737" s="9"/>
      <c r="B737" s="164"/>
      <c r="C737" s="110"/>
      <c r="D737" s="156"/>
      <c r="E737" s="111"/>
      <c r="F737" s="112"/>
      <c r="G737" s="113"/>
      <c r="H737" s="53">
        <f t="shared" si="1"/>
        <v>0</v>
      </c>
      <c r="I737" s="115"/>
      <c r="J737" s="115"/>
      <c r="K737" s="60">
        <f t="shared" si="2"/>
        <v>0</v>
      </c>
      <c r="L737" s="117"/>
    </row>
    <row r="738" ht="15.75" customHeight="1">
      <c r="A738" s="9"/>
      <c r="B738" s="164"/>
      <c r="C738" s="110"/>
      <c r="D738" s="156"/>
      <c r="E738" s="111"/>
      <c r="F738" s="112"/>
      <c r="G738" s="113"/>
      <c r="H738" s="53">
        <f t="shared" si="1"/>
        <v>0</v>
      </c>
      <c r="I738" s="115"/>
      <c r="J738" s="115"/>
      <c r="K738" s="60">
        <f t="shared" si="2"/>
        <v>0</v>
      </c>
      <c r="L738" s="117"/>
    </row>
    <row r="739" ht="15.75" customHeight="1">
      <c r="A739" s="9"/>
      <c r="B739" s="164"/>
      <c r="C739" s="110"/>
      <c r="D739" s="156"/>
      <c r="E739" s="111"/>
      <c r="F739" s="112"/>
      <c r="G739" s="113"/>
      <c r="H739" s="53">
        <f t="shared" si="1"/>
        <v>0</v>
      </c>
      <c r="I739" s="115"/>
      <c r="J739" s="115"/>
      <c r="K739" s="60">
        <f t="shared" si="2"/>
        <v>0</v>
      </c>
      <c r="L739" s="117"/>
    </row>
    <row r="740" ht="15.75" customHeight="1">
      <c r="A740" s="9"/>
      <c r="B740" s="164"/>
      <c r="C740" s="110"/>
      <c r="D740" s="156"/>
      <c r="E740" s="111"/>
      <c r="F740" s="112"/>
      <c r="G740" s="113"/>
      <c r="H740" s="53">
        <f t="shared" si="1"/>
        <v>0</v>
      </c>
      <c r="I740" s="115"/>
      <c r="J740" s="115"/>
      <c r="K740" s="60">
        <f t="shared" si="2"/>
        <v>0</v>
      </c>
      <c r="L740" s="117"/>
    </row>
    <row r="741" ht="15.75" customHeight="1">
      <c r="A741" s="9"/>
      <c r="B741" s="164"/>
      <c r="C741" s="110"/>
      <c r="D741" s="156"/>
      <c r="E741" s="111"/>
      <c r="F741" s="112"/>
      <c r="G741" s="113"/>
      <c r="H741" s="53">
        <f t="shared" si="1"/>
        <v>0</v>
      </c>
      <c r="I741" s="115"/>
      <c r="J741" s="115"/>
      <c r="K741" s="60">
        <f t="shared" si="2"/>
        <v>0</v>
      </c>
      <c r="L741" s="117"/>
    </row>
    <row r="742" ht="15.75" customHeight="1">
      <c r="A742" s="9"/>
      <c r="B742" s="164"/>
      <c r="C742" s="110"/>
      <c r="D742" s="156"/>
      <c r="E742" s="111"/>
      <c r="F742" s="112"/>
      <c r="G742" s="113"/>
      <c r="H742" s="53">
        <f t="shared" si="1"/>
        <v>0</v>
      </c>
      <c r="I742" s="115"/>
      <c r="J742" s="115"/>
      <c r="K742" s="60">
        <f t="shared" si="2"/>
        <v>0</v>
      </c>
      <c r="L742" s="117"/>
    </row>
    <row r="743" ht="15.75" customHeight="1">
      <c r="A743" s="9"/>
      <c r="B743" s="164"/>
      <c r="C743" s="110"/>
      <c r="D743" s="156"/>
      <c r="E743" s="111"/>
      <c r="F743" s="112"/>
      <c r="G743" s="113"/>
      <c r="H743" s="53">
        <f t="shared" si="1"/>
        <v>0</v>
      </c>
      <c r="I743" s="115"/>
      <c r="J743" s="115"/>
      <c r="K743" s="60">
        <f t="shared" si="2"/>
        <v>0</v>
      </c>
      <c r="L743" s="117"/>
    </row>
    <row r="744" ht="15.75" customHeight="1">
      <c r="A744" s="9"/>
      <c r="B744" s="164"/>
      <c r="C744" s="110"/>
      <c r="D744" s="156"/>
      <c r="E744" s="111"/>
      <c r="F744" s="112"/>
      <c r="G744" s="113"/>
      <c r="H744" s="53">
        <f t="shared" si="1"/>
        <v>0</v>
      </c>
      <c r="I744" s="115"/>
      <c r="J744" s="115"/>
      <c r="K744" s="60">
        <f t="shared" si="2"/>
        <v>0</v>
      </c>
      <c r="L744" s="117"/>
    </row>
    <row r="745" ht="15.75" customHeight="1">
      <c r="A745" s="9"/>
      <c r="B745" s="164"/>
      <c r="C745" s="110"/>
      <c r="D745" s="156"/>
      <c r="E745" s="111"/>
      <c r="F745" s="112"/>
      <c r="G745" s="113"/>
      <c r="H745" s="53">
        <f t="shared" si="1"/>
        <v>0</v>
      </c>
      <c r="I745" s="115"/>
      <c r="J745" s="115"/>
      <c r="K745" s="60">
        <f t="shared" si="2"/>
        <v>0</v>
      </c>
      <c r="L745" s="117"/>
    </row>
    <row r="746" ht="15.75" customHeight="1">
      <c r="A746" s="9"/>
      <c r="B746" s="164"/>
      <c r="C746" s="110"/>
      <c r="D746" s="156"/>
      <c r="E746" s="111"/>
      <c r="F746" s="112"/>
      <c r="G746" s="113"/>
      <c r="H746" s="53">
        <f t="shared" si="1"/>
        <v>0</v>
      </c>
      <c r="I746" s="115"/>
      <c r="J746" s="115"/>
      <c r="K746" s="60">
        <f t="shared" si="2"/>
        <v>0</v>
      </c>
      <c r="L746" s="117"/>
    </row>
    <row r="747" ht="15.75" customHeight="1">
      <c r="A747" s="9"/>
      <c r="B747" s="164"/>
      <c r="C747" s="110"/>
      <c r="D747" s="156"/>
      <c r="E747" s="111"/>
      <c r="F747" s="112"/>
      <c r="G747" s="113"/>
      <c r="H747" s="53">
        <f t="shared" si="1"/>
        <v>0</v>
      </c>
      <c r="I747" s="115"/>
      <c r="J747" s="115"/>
      <c r="K747" s="60">
        <f t="shared" si="2"/>
        <v>0</v>
      </c>
      <c r="L747" s="117"/>
    </row>
    <row r="748" ht="15.75" customHeight="1">
      <c r="A748" s="9"/>
      <c r="B748" s="164"/>
      <c r="C748" s="110"/>
      <c r="D748" s="156"/>
      <c r="E748" s="111"/>
      <c r="F748" s="112"/>
      <c r="G748" s="113"/>
      <c r="H748" s="53">
        <f t="shared" si="1"/>
        <v>0</v>
      </c>
      <c r="I748" s="115"/>
      <c r="J748" s="115"/>
      <c r="K748" s="60">
        <f t="shared" si="2"/>
        <v>0</v>
      </c>
      <c r="L748" s="117"/>
    </row>
    <row r="749" ht="15.75" customHeight="1">
      <c r="A749" s="9"/>
      <c r="B749" s="164"/>
      <c r="C749" s="110"/>
      <c r="D749" s="156"/>
      <c r="E749" s="111"/>
      <c r="F749" s="112"/>
      <c r="G749" s="113"/>
      <c r="H749" s="53">
        <f t="shared" si="1"/>
        <v>0</v>
      </c>
      <c r="I749" s="115"/>
      <c r="J749" s="115"/>
      <c r="K749" s="60">
        <f t="shared" si="2"/>
        <v>0</v>
      </c>
      <c r="L749" s="117"/>
    </row>
    <row r="750" ht="15.75" customHeight="1">
      <c r="A750" s="9"/>
      <c r="B750" s="164"/>
      <c r="C750" s="110"/>
      <c r="D750" s="156"/>
      <c r="E750" s="111"/>
      <c r="F750" s="112"/>
      <c r="G750" s="113"/>
      <c r="H750" s="53">
        <f t="shared" si="1"/>
        <v>0</v>
      </c>
      <c r="I750" s="115"/>
      <c r="J750" s="115"/>
      <c r="K750" s="60">
        <f t="shared" si="2"/>
        <v>0</v>
      </c>
      <c r="L750" s="117"/>
    </row>
    <row r="751" ht="15.75" customHeight="1">
      <c r="A751" s="9"/>
      <c r="B751" s="164"/>
      <c r="C751" s="110"/>
      <c r="D751" s="156"/>
      <c r="E751" s="111"/>
      <c r="F751" s="112"/>
      <c r="G751" s="113"/>
      <c r="H751" s="53">
        <f t="shared" si="1"/>
        <v>0</v>
      </c>
      <c r="I751" s="115"/>
      <c r="J751" s="115"/>
      <c r="K751" s="60">
        <f t="shared" si="2"/>
        <v>0</v>
      </c>
      <c r="L751" s="117"/>
    </row>
    <row r="752" ht="15.75" customHeight="1">
      <c r="A752" s="9"/>
      <c r="B752" s="164"/>
      <c r="C752" s="110"/>
      <c r="D752" s="156"/>
      <c r="E752" s="111"/>
      <c r="F752" s="112"/>
      <c r="G752" s="113"/>
      <c r="H752" s="53">
        <f t="shared" si="1"/>
        <v>0</v>
      </c>
      <c r="I752" s="115"/>
      <c r="J752" s="115"/>
      <c r="K752" s="60">
        <f t="shared" si="2"/>
        <v>0</v>
      </c>
      <c r="L752" s="117"/>
    </row>
    <row r="753" ht="15.75" customHeight="1">
      <c r="A753" s="9"/>
      <c r="B753" s="164"/>
      <c r="C753" s="110"/>
      <c r="D753" s="156"/>
      <c r="E753" s="111"/>
      <c r="F753" s="112"/>
      <c r="G753" s="113"/>
      <c r="H753" s="53">
        <f t="shared" si="1"/>
        <v>0</v>
      </c>
      <c r="I753" s="115"/>
      <c r="J753" s="115"/>
      <c r="K753" s="60">
        <f t="shared" si="2"/>
        <v>0</v>
      </c>
      <c r="L753" s="117"/>
    </row>
    <row r="754" ht="15.75" customHeight="1">
      <c r="A754" s="9"/>
      <c r="B754" s="164"/>
      <c r="C754" s="110"/>
      <c r="D754" s="156"/>
      <c r="E754" s="111"/>
      <c r="F754" s="112"/>
      <c r="G754" s="113"/>
      <c r="H754" s="53">
        <f t="shared" si="1"/>
        <v>0</v>
      </c>
      <c r="I754" s="115"/>
      <c r="J754" s="115"/>
      <c r="K754" s="60">
        <f t="shared" si="2"/>
        <v>0</v>
      </c>
      <c r="L754" s="117"/>
    </row>
    <row r="755" ht="15.75" customHeight="1">
      <c r="A755" s="9"/>
      <c r="B755" s="164"/>
      <c r="C755" s="110"/>
      <c r="D755" s="156"/>
      <c r="E755" s="111"/>
      <c r="F755" s="112"/>
      <c r="G755" s="113"/>
      <c r="H755" s="53">
        <f t="shared" si="1"/>
        <v>0</v>
      </c>
      <c r="I755" s="115"/>
      <c r="J755" s="115"/>
      <c r="K755" s="60">
        <f t="shared" si="2"/>
        <v>0</v>
      </c>
      <c r="L755" s="117"/>
    </row>
    <row r="756" ht="15.75" customHeight="1">
      <c r="A756" s="9"/>
      <c r="B756" s="164"/>
      <c r="C756" s="110"/>
      <c r="D756" s="156"/>
      <c r="E756" s="111"/>
      <c r="F756" s="112"/>
      <c r="G756" s="113"/>
      <c r="H756" s="53">
        <f t="shared" si="1"/>
        <v>0</v>
      </c>
      <c r="I756" s="115"/>
      <c r="J756" s="115"/>
      <c r="K756" s="60">
        <f t="shared" si="2"/>
        <v>0</v>
      </c>
      <c r="L756" s="117"/>
    </row>
    <row r="757" ht="15.75" customHeight="1">
      <c r="A757" s="9"/>
      <c r="B757" s="164"/>
      <c r="C757" s="110"/>
      <c r="D757" s="156"/>
      <c r="E757" s="111"/>
      <c r="F757" s="112"/>
      <c r="G757" s="113"/>
      <c r="H757" s="53">
        <f t="shared" si="1"/>
        <v>0</v>
      </c>
      <c r="I757" s="115"/>
      <c r="J757" s="115"/>
      <c r="K757" s="60">
        <f t="shared" si="2"/>
        <v>0</v>
      </c>
      <c r="L757" s="117"/>
    </row>
    <row r="758" ht="15.75" customHeight="1">
      <c r="A758" s="9"/>
      <c r="B758" s="164"/>
      <c r="C758" s="110"/>
      <c r="D758" s="156"/>
      <c r="E758" s="111"/>
      <c r="F758" s="112"/>
      <c r="G758" s="113"/>
      <c r="H758" s="53">
        <f t="shared" si="1"/>
        <v>0</v>
      </c>
      <c r="I758" s="115"/>
      <c r="J758" s="115"/>
      <c r="K758" s="60">
        <f t="shared" si="2"/>
        <v>0</v>
      </c>
      <c r="L758" s="117"/>
    </row>
    <row r="759" ht="15.75" customHeight="1">
      <c r="A759" s="9"/>
      <c r="B759" s="164"/>
      <c r="C759" s="110"/>
      <c r="D759" s="156"/>
      <c r="E759" s="111"/>
      <c r="F759" s="112"/>
      <c r="G759" s="113"/>
      <c r="H759" s="53">
        <f t="shared" si="1"/>
        <v>0</v>
      </c>
      <c r="I759" s="115"/>
      <c r="J759" s="115"/>
      <c r="K759" s="60">
        <f t="shared" si="2"/>
        <v>0</v>
      </c>
      <c r="L759" s="117"/>
    </row>
    <row r="760" ht="15.75" customHeight="1">
      <c r="A760" s="9"/>
      <c r="B760" s="164"/>
      <c r="C760" s="110"/>
      <c r="D760" s="156"/>
      <c r="E760" s="111"/>
      <c r="F760" s="112"/>
      <c r="G760" s="113"/>
      <c r="H760" s="53">
        <f t="shared" si="1"/>
        <v>0</v>
      </c>
      <c r="I760" s="115"/>
      <c r="J760" s="115"/>
      <c r="K760" s="60">
        <f t="shared" si="2"/>
        <v>0</v>
      </c>
      <c r="L760" s="117"/>
    </row>
    <row r="761" ht="15.75" customHeight="1">
      <c r="A761" s="9"/>
      <c r="B761" s="164"/>
      <c r="C761" s="110"/>
      <c r="D761" s="156"/>
      <c r="E761" s="111"/>
      <c r="F761" s="112"/>
      <c r="G761" s="113"/>
      <c r="H761" s="53">
        <f t="shared" si="1"/>
        <v>0</v>
      </c>
      <c r="I761" s="115"/>
      <c r="J761" s="115"/>
      <c r="K761" s="60">
        <f t="shared" si="2"/>
        <v>0</v>
      </c>
      <c r="L761" s="117"/>
    </row>
    <row r="762" ht="15.75" customHeight="1">
      <c r="A762" s="9"/>
      <c r="B762" s="164"/>
      <c r="C762" s="110"/>
      <c r="D762" s="156"/>
      <c r="E762" s="111"/>
      <c r="F762" s="112"/>
      <c r="G762" s="113"/>
      <c r="H762" s="53">
        <f t="shared" si="1"/>
        <v>0</v>
      </c>
      <c r="I762" s="115"/>
      <c r="J762" s="115"/>
      <c r="K762" s="60">
        <f t="shared" si="2"/>
        <v>0</v>
      </c>
      <c r="L762" s="117"/>
    </row>
    <row r="763" ht="15.75" customHeight="1">
      <c r="A763" s="9"/>
      <c r="B763" s="164"/>
      <c r="C763" s="110"/>
      <c r="D763" s="156"/>
      <c r="E763" s="111"/>
      <c r="F763" s="112"/>
      <c r="G763" s="113"/>
      <c r="H763" s="53">
        <f t="shared" si="1"/>
        <v>0</v>
      </c>
      <c r="I763" s="115"/>
      <c r="J763" s="115"/>
      <c r="K763" s="60">
        <f t="shared" si="2"/>
        <v>0</v>
      </c>
      <c r="L763" s="117"/>
    </row>
    <row r="764" ht="15.75" customHeight="1">
      <c r="A764" s="9"/>
      <c r="B764" s="164"/>
      <c r="C764" s="110"/>
      <c r="D764" s="156"/>
      <c r="E764" s="111"/>
      <c r="F764" s="112"/>
      <c r="G764" s="113"/>
      <c r="H764" s="53">
        <f t="shared" si="1"/>
        <v>0</v>
      </c>
      <c r="I764" s="115"/>
      <c r="J764" s="115"/>
      <c r="K764" s="60">
        <f t="shared" si="2"/>
        <v>0</v>
      </c>
      <c r="L764" s="117"/>
    </row>
    <row r="765" ht="15.75" customHeight="1">
      <c r="A765" s="9"/>
      <c r="B765" s="164"/>
      <c r="C765" s="110"/>
      <c r="D765" s="156"/>
      <c r="E765" s="111"/>
      <c r="F765" s="112"/>
      <c r="G765" s="113"/>
      <c r="H765" s="53">
        <f t="shared" si="1"/>
        <v>0</v>
      </c>
      <c r="I765" s="115"/>
      <c r="J765" s="115"/>
      <c r="K765" s="60">
        <f t="shared" si="2"/>
        <v>0</v>
      </c>
      <c r="L765" s="117"/>
    </row>
    <row r="766" ht="15.75" customHeight="1">
      <c r="A766" s="9"/>
      <c r="B766" s="164"/>
      <c r="C766" s="110"/>
      <c r="D766" s="156"/>
      <c r="E766" s="111"/>
      <c r="F766" s="112"/>
      <c r="G766" s="113"/>
      <c r="H766" s="53">
        <f t="shared" si="1"/>
        <v>0</v>
      </c>
      <c r="I766" s="115"/>
      <c r="J766" s="115"/>
      <c r="K766" s="60">
        <f t="shared" si="2"/>
        <v>0</v>
      </c>
      <c r="L766" s="117"/>
    </row>
    <row r="767" ht="15.75" customHeight="1">
      <c r="A767" s="9"/>
      <c r="B767" s="164"/>
      <c r="C767" s="110"/>
      <c r="D767" s="156"/>
      <c r="E767" s="111"/>
      <c r="F767" s="112"/>
      <c r="G767" s="113"/>
      <c r="H767" s="53">
        <f t="shared" si="1"/>
        <v>0</v>
      </c>
      <c r="I767" s="115"/>
      <c r="J767" s="115"/>
      <c r="K767" s="60">
        <f t="shared" si="2"/>
        <v>0</v>
      </c>
      <c r="L767" s="117"/>
    </row>
    <row r="768" ht="15.75" customHeight="1">
      <c r="A768" s="9"/>
      <c r="B768" s="164"/>
      <c r="C768" s="110"/>
      <c r="D768" s="156"/>
      <c r="E768" s="111"/>
      <c r="F768" s="112"/>
      <c r="G768" s="113"/>
      <c r="H768" s="53">
        <f t="shared" si="1"/>
        <v>0</v>
      </c>
      <c r="I768" s="115"/>
      <c r="J768" s="115"/>
      <c r="K768" s="60">
        <f t="shared" si="2"/>
        <v>0</v>
      </c>
      <c r="L768" s="117"/>
    </row>
    <row r="769" ht="15.75" customHeight="1">
      <c r="A769" s="9"/>
      <c r="B769" s="164"/>
      <c r="C769" s="110"/>
      <c r="D769" s="156"/>
      <c r="E769" s="111"/>
      <c r="F769" s="112"/>
      <c r="G769" s="113"/>
      <c r="H769" s="53">
        <f t="shared" si="1"/>
        <v>0</v>
      </c>
      <c r="I769" s="115"/>
      <c r="J769" s="115"/>
      <c r="K769" s="60">
        <f t="shared" si="2"/>
        <v>0</v>
      </c>
      <c r="L769" s="117"/>
    </row>
    <row r="770" ht="15.75" customHeight="1">
      <c r="A770" s="9"/>
      <c r="B770" s="164"/>
      <c r="C770" s="110"/>
      <c r="D770" s="156"/>
      <c r="E770" s="111"/>
      <c r="F770" s="112"/>
      <c r="G770" s="113"/>
      <c r="H770" s="53">
        <f t="shared" si="1"/>
        <v>0</v>
      </c>
      <c r="I770" s="115"/>
      <c r="J770" s="115"/>
      <c r="K770" s="60">
        <f t="shared" si="2"/>
        <v>0</v>
      </c>
      <c r="L770" s="117"/>
    </row>
    <row r="771" ht="15.75" customHeight="1">
      <c r="A771" s="9"/>
      <c r="B771" s="164"/>
      <c r="C771" s="110"/>
      <c r="D771" s="156"/>
      <c r="E771" s="111"/>
      <c r="F771" s="112"/>
      <c r="G771" s="113"/>
      <c r="H771" s="53">
        <f t="shared" si="1"/>
        <v>0</v>
      </c>
      <c r="I771" s="115"/>
      <c r="J771" s="115"/>
      <c r="K771" s="60">
        <f t="shared" si="2"/>
        <v>0</v>
      </c>
      <c r="L771" s="117"/>
    </row>
    <row r="772" ht="15.75" customHeight="1">
      <c r="A772" s="9"/>
      <c r="B772" s="164"/>
      <c r="C772" s="110"/>
      <c r="D772" s="156"/>
      <c r="E772" s="111"/>
      <c r="F772" s="112"/>
      <c r="G772" s="113"/>
      <c r="H772" s="53">
        <f t="shared" si="1"/>
        <v>0</v>
      </c>
      <c r="I772" s="115"/>
      <c r="J772" s="115"/>
      <c r="K772" s="60">
        <f t="shared" si="2"/>
        <v>0</v>
      </c>
      <c r="L772" s="117"/>
    </row>
    <row r="773" ht="15.75" customHeight="1">
      <c r="A773" s="9"/>
      <c r="B773" s="164"/>
      <c r="C773" s="110"/>
      <c r="D773" s="156"/>
      <c r="E773" s="111"/>
      <c r="F773" s="112"/>
      <c r="G773" s="113"/>
      <c r="H773" s="53">
        <f t="shared" si="1"/>
        <v>0</v>
      </c>
      <c r="I773" s="115"/>
      <c r="J773" s="115"/>
      <c r="K773" s="60">
        <f t="shared" si="2"/>
        <v>0</v>
      </c>
      <c r="L773" s="117"/>
    </row>
    <row r="774" ht="15.75" customHeight="1">
      <c r="A774" s="9"/>
      <c r="B774" s="164"/>
      <c r="C774" s="110"/>
      <c r="D774" s="156"/>
      <c r="E774" s="111"/>
      <c r="F774" s="112"/>
      <c r="G774" s="113"/>
      <c r="H774" s="53">
        <f t="shared" si="1"/>
        <v>0</v>
      </c>
      <c r="I774" s="115"/>
      <c r="J774" s="115"/>
      <c r="K774" s="60">
        <f t="shared" si="2"/>
        <v>0</v>
      </c>
      <c r="L774" s="117"/>
    </row>
    <row r="775" ht="15.75" customHeight="1">
      <c r="A775" s="9"/>
      <c r="B775" s="164"/>
      <c r="C775" s="110"/>
      <c r="D775" s="156"/>
      <c r="E775" s="111"/>
      <c r="F775" s="112"/>
      <c r="G775" s="113"/>
      <c r="H775" s="53">
        <f t="shared" si="1"/>
        <v>0</v>
      </c>
      <c r="I775" s="115"/>
      <c r="J775" s="115"/>
      <c r="K775" s="60">
        <f t="shared" si="2"/>
        <v>0</v>
      </c>
      <c r="L775" s="117"/>
    </row>
    <row r="776" ht="15.75" customHeight="1">
      <c r="A776" s="9"/>
      <c r="B776" s="164"/>
      <c r="C776" s="110"/>
      <c r="D776" s="156"/>
      <c r="E776" s="111"/>
      <c r="F776" s="112"/>
      <c r="G776" s="113"/>
      <c r="H776" s="53">
        <f t="shared" si="1"/>
        <v>0</v>
      </c>
      <c r="I776" s="115"/>
      <c r="J776" s="115"/>
      <c r="K776" s="60">
        <f t="shared" si="2"/>
        <v>0</v>
      </c>
      <c r="L776" s="117"/>
    </row>
    <row r="777" ht="15.75" customHeight="1">
      <c r="A777" s="9"/>
      <c r="B777" s="164"/>
      <c r="C777" s="110"/>
      <c r="D777" s="156"/>
      <c r="E777" s="111"/>
      <c r="F777" s="112"/>
      <c r="G777" s="113"/>
      <c r="H777" s="53">
        <f t="shared" si="1"/>
        <v>0</v>
      </c>
      <c r="I777" s="115"/>
      <c r="J777" s="115"/>
      <c r="K777" s="60">
        <f t="shared" si="2"/>
        <v>0</v>
      </c>
      <c r="L777" s="117"/>
    </row>
    <row r="778" ht="15.75" customHeight="1">
      <c r="A778" s="9"/>
      <c r="B778" s="164"/>
      <c r="C778" s="110"/>
      <c r="D778" s="156"/>
      <c r="E778" s="111"/>
      <c r="F778" s="112"/>
      <c r="G778" s="113"/>
      <c r="H778" s="53">
        <f t="shared" si="1"/>
        <v>0</v>
      </c>
      <c r="I778" s="115"/>
      <c r="J778" s="115"/>
      <c r="K778" s="60">
        <f t="shared" si="2"/>
        <v>0</v>
      </c>
      <c r="L778" s="117"/>
    </row>
    <row r="779" ht="15.75" customHeight="1">
      <c r="A779" s="9"/>
      <c r="B779" s="164"/>
      <c r="C779" s="110"/>
      <c r="D779" s="156"/>
      <c r="E779" s="111"/>
      <c r="F779" s="112"/>
      <c r="G779" s="113"/>
      <c r="H779" s="53">
        <f t="shared" si="1"/>
        <v>0</v>
      </c>
      <c r="I779" s="115"/>
      <c r="J779" s="115"/>
      <c r="K779" s="60">
        <f t="shared" si="2"/>
        <v>0</v>
      </c>
      <c r="L779" s="117"/>
    </row>
    <row r="780" ht="15.75" customHeight="1">
      <c r="A780" s="9"/>
      <c r="B780" s="164"/>
      <c r="C780" s="110"/>
      <c r="D780" s="156"/>
      <c r="E780" s="111"/>
      <c r="F780" s="112"/>
      <c r="G780" s="113"/>
      <c r="H780" s="53">
        <f t="shared" si="1"/>
        <v>0</v>
      </c>
      <c r="I780" s="115"/>
      <c r="J780" s="115"/>
      <c r="K780" s="60">
        <f t="shared" si="2"/>
        <v>0</v>
      </c>
      <c r="L780" s="117"/>
    </row>
    <row r="781" ht="15.75" customHeight="1">
      <c r="A781" s="9"/>
      <c r="B781" s="164"/>
      <c r="C781" s="110"/>
      <c r="D781" s="156"/>
      <c r="E781" s="111"/>
      <c r="F781" s="112"/>
      <c r="G781" s="113"/>
      <c r="H781" s="53">
        <f t="shared" si="1"/>
        <v>0</v>
      </c>
      <c r="I781" s="115"/>
      <c r="J781" s="115"/>
      <c r="K781" s="60">
        <f t="shared" si="2"/>
        <v>0</v>
      </c>
      <c r="L781" s="117"/>
    </row>
    <row r="782" ht="15.75" customHeight="1">
      <c r="A782" s="9"/>
      <c r="B782" s="164"/>
      <c r="C782" s="110"/>
      <c r="D782" s="156"/>
      <c r="E782" s="111"/>
      <c r="F782" s="112"/>
      <c r="G782" s="113"/>
      <c r="H782" s="53">
        <f t="shared" si="1"/>
        <v>0</v>
      </c>
      <c r="I782" s="115"/>
      <c r="J782" s="115"/>
      <c r="K782" s="60">
        <f t="shared" si="2"/>
        <v>0</v>
      </c>
      <c r="L782" s="117"/>
    </row>
    <row r="783" ht="15.75" customHeight="1">
      <c r="A783" s="9"/>
      <c r="B783" s="164"/>
      <c r="C783" s="110"/>
      <c r="D783" s="156"/>
      <c r="E783" s="111"/>
      <c r="F783" s="112"/>
      <c r="G783" s="113"/>
      <c r="H783" s="53">
        <f t="shared" si="1"/>
        <v>0</v>
      </c>
      <c r="I783" s="115"/>
      <c r="J783" s="115"/>
      <c r="K783" s="60">
        <f t="shared" si="2"/>
        <v>0</v>
      </c>
      <c r="L783" s="117"/>
    </row>
    <row r="784" ht="15.75" customHeight="1">
      <c r="A784" s="9"/>
      <c r="B784" s="164"/>
      <c r="C784" s="110"/>
      <c r="D784" s="156"/>
      <c r="E784" s="111"/>
      <c r="F784" s="112"/>
      <c r="G784" s="113"/>
      <c r="H784" s="53">
        <f t="shared" si="1"/>
        <v>0</v>
      </c>
      <c r="I784" s="115"/>
      <c r="J784" s="115"/>
      <c r="K784" s="60">
        <f t="shared" si="2"/>
        <v>0</v>
      </c>
      <c r="L784" s="117"/>
    </row>
    <row r="785" ht="15.75" customHeight="1">
      <c r="A785" s="9"/>
      <c r="B785" s="164"/>
      <c r="C785" s="110"/>
      <c r="D785" s="156"/>
      <c r="E785" s="111"/>
      <c r="F785" s="112"/>
      <c r="G785" s="113"/>
      <c r="H785" s="53">
        <f t="shared" si="1"/>
        <v>0</v>
      </c>
      <c r="I785" s="115"/>
      <c r="J785" s="115"/>
      <c r="K785" s="60">
        <f t="shared" si="2"/>
        <v>0</v>
      </c>
      <c r="L785" s="117"/>
    </row>
    <row r="786" ht="15.75" customHeight="1">
      <c r="A786" s="9"/>
      <c r="B786" s="164"/>
      <c r="C786" s="110"/>
      <c r="D786" s="156"/>
      <c r="E786" s="111"/>
      <c r="F786" s="112"/>
      <c r="G786" s="113"/>
      <c r="H786" s="53">
        <f t="shared" si="1"/>
        <v>0</v>
      </c>
      <c r="I786" s="115"/>
      <c r="J786" s="115"/>
      <c r="K786" s="60">
        <f t="shared" si="2"/>
        <v>0</v>
      </c>
      <c r="L786" s="117"/>
    </row>
    <row r="787" ht="15.75" customHeight="1">
      <c r="A787" s="9"/>
      <c r="B787" s="164"/>
      <c r="C787" s="110"/>
      <c r="D787" s="156"/>
      <c r="E787" s="111"/>
      <c r="F787" s="112"/>
      <c r="G787" s="113"/>
      <c r="H787" s="53">
        <f t="shared" si="1"/>
        <v>0</v>
      </c>
      <c r="I787" s="115"/>
      <c r="J787" s="115"/>
      <c r="K787" s="60">
        <f t="shared" si="2"/>
        <v>0</v>
      </c>
      <c r="L787" s="117"/>
    </row>
    <row r="788" ht="15.75" customHeight="1">
      <c r="A788" s="9"/>
      <c r="B788" s="164"/>
      <c r="C788" s="110"/>
      <c r="D788" s="156"/>
      <c r="E788" s="111"/>
      <c r="F788" s="112"/>
      <c r="G788" s="113"/>
      <c r="H788" s="53">
        <f t="shared" si="1"/>
        <v>0</v>
      </c>
      <c r="I788" s="115"/>
      <c r="J788" s="115"/>
      <c r="K788" s="60">
        <f t="shared" si="2"/>
        <v>0</v>
      </c>
      <c r="L788" s="117"/>
    </row>
    <row r="789" ht="15.75" customHeight="1">
      <c r="A789" s="9"/>
      <c r="B789" s="164"/>
      <c r="C789" s="110"/>
      <c r="D789" s="156"/>
      <c r="E789" s="111"/>
      <c r="F789" s="112"/>
      <c r="G789" s="113"/>
      <c r="H789" s="53">
        <f t="shared" si="1"/>
        <v>0</v>
      </c>
      <c r="I789" s="115"/>
      <c r="J789" s="115"/>
      <c r="K789" s="60">
        <f t="shared" si="2"/>
        <v>0</v>
      </c>
      <c r="L789" s="117"/>
    </row>
    <row r="790" ht="15.75" customHeight="1">
      <c r="A790" s="9"/>
      <c r="B790" s="164"/>
      <c r="C790" s="110"/>
      <c r="D790" s="156"/>
      <c r="E790" s="111"/>
      <c r="F790" s="112"/>
      <c r="G790" s="113"/>
      <c r="H790" s="53">
        <f t="shared" si="1"/>
        <v>0</v>
      </c>
      <c r="I790" s="115"/>
      <c r="J790" s="115"/>
      <c r="K790" s="60">
        <f t="shared" si="2"/>
        <v>0</v>
      </c>
      <c r="L790" s="117"/>
    </row>
    <row r="791" ht="15.75" customHeight="1">
      <c r="A791" s="9"/>
      <c r="B791" s="164"/>
      <c r="C791" s="110"/>
      <c r="D791" s="156"/>
      <c r="E791" s="111"/>
      <c r="F791" s="112"/>
      <c r="G791" s="113"/>
      <c r="H791" s="53">
        <f t="shared" si="1"/>
        <v>0</v>
      </c>
      <c r="I791" s="115"/>
      <c r="J791" s="115"/>
      <c r="K791" s="60">
        <f t="shared" si="2"/>
        <v>0</v>
      </c>
      <c r="L791" s="117"/>
    </row>
    <row r="792" ht="15.75" customHeight="1">
      <c r="A792" s="9"/>
      <c r="B792" s="164"/>
      <c r="C792" s="110"/>
      <c r="D792" s="156"/>
      <c r="E792" s="111"/>
      <c r="F792" s="112"/>
      <c r="G792" s="113"/>
      <c r="H792" s="53">
        <f t="shared" si="1"/>
        <v>0</v>
      </c>
      <c r="I792" s="115"/>
      <c r="J792" s="115"/>
      <c r="K792" s="60">
        <f t="shared" si="2"/>
        <v>0</v>
      </c>
      <c r="L792" s="117"/>
    </row>
    <row r="793" ht="15.75" customHeight="1">
      <c r="A793" s="9"/>
      <c r="B793" s="164"/>
      <c r="C793" s="110"/>
      <c r="D793" s="156"/>
      <c r="E793" s="111"/>
      <c r="F793" s="112"/>
      <c r="G793" s="113"/>
      <c r="H793" s="53">
        <f t="shared" si="1"/>
        <v>0</v>
      </c>
      <c r="I793" s="115"/>
      <c r="J793" s="115"/>
      <c r="K793" s="60">
        <f t="shared" si="2"/>
        <v>0</v>
      </c>
      <c r="L793" s="117"/>
    </row>
    <row r="794" ht="15.75" customHeight="1">
      <c r="A794" s="9"/>
      <c r="B794" s="164"/>
      <c r="C794" s="110"/>
      <c r="D794" s="156"/>
      <c r="E794" s="111"/>
      <c r="F794" s="112"/>
      <c r="G794" s="113"/>
      <c r="H794" s="53">
        <f t="shared" si="1"/>
        <v>0</v>
      </c>
      <c r="I794" s="115"/>
      <c r="J794" s="115"/>
      <c r="K794" s="60">
        <f t="shared" si="2"/>
        <v>0</v>
      </c>
      <c r="L794" s="117"/>
    </row>
    <row r="795" ht="15.75" customHeight="1">
      <c r="A795" s="9"/>
      <c r="B795" s="164"/>
      <c r="C795" s="110"/>
      <c r="D795" s="156"/>
      <c r="E795" s="111"/>
      <c r="F795" s="112"/>
      <c r="G795" s="113"/>
      <c r="H795" s="53">
        <f t="shared" si="1"/>
        <v>0</v>
      </c>
      <c r="I795" s="115"/>
      <c r="J795" s="115"/>
      <c r="K795" s="60">
        <f t="shared" si="2"/>
        <v>0</v>
      </c>
      <c r="L795" s="117"/>
    </row>
    <row r="796" ht="15.75" customHeight="1">
      <c r="A796" s="9"/>
      <c r="B796" s="164"/>
      <c r="C796" s="110"/>
      <c r="D796" s="156"/>
      <c r="E796" s="111"/>
      <c r="F796" s="112"/>
      <c r="G796" s="113"/>
      <c r="H796" s="53">
        <f t="shared" si="1"/>
        <v>0</v>
      </c>
      <c r="I796" s="115"/>
      <c r="J796" s="115"/>
      <c r="K796" s="60">
        <f t="shared" si="2"/>
        <v>0</v>
      </c>
      <c r="L796" s="117"/>
    </row>
    <row r="797" ht="15.75" customHeight="1">
      <c r="A797" s="9"/>
      <c r="B797" s="164"/>
      <c r="C797" s="110"/>
      <c r="D797" s="156"/>
      <c r="E797" s="111"/>
      <c r="F797" s="112"/>
      <c r="G797" s="113"/>
      <c r="H797" s="53">
        <f t="shared" si="1"/>
        <v>0</v>
      </c>
      <c r="I797" s="115"/>
      <c r="J797" s="115"/>
      <c r="K797" s="60">
        <f t="shared" si="2"/>
        <v>0</v>
      </c>
      <c r="L797" s="117"/>
    </row>
    <row r="798" ht="15.75" customHeight="1">
      <c r="A798" s="9"/>
      <c r="B798" s="164"/>
      <c r="C798" s="110"/>
      <c r="D798" s="156"/>
      <c r="E798" s="111"/>
      <c r="F798" s="112"/>
      <c r="G798" s="113"/>
      <c r="H798" s="53">
        <f t="shared" si="1"/>
        <v>0</v>
      </c>
      <c r="I798" s="115"/>
      <c r="J798" s="115"/>
      <c r="K798" s="60">
        <f t="shared" si="2"/>
        <v>0</v>
      </c>
      <c r="L798" s="117"/>
    </row>
    <row r="799" ht="15.75" customHeight="1">
      <c r="A799" s="9"/>
      <c r="B799" s="164"/>
      <c r="C799" s="110"/>
      <c r="D799" s="156"/>
      <c r="E799" s="111"/>
      <c r="F799" s="112"/>
      <c r="G799" s="113"/>
      <c r="H799" s="53">
        <f t="shared" si="1"/>
        <v>0</v>
      </c>
      <c r="I799" s="115"/>
      <c r="J799" s="115"/>
      <c r="K799" s="60">
        <f t="shared" si="2"/>
        <v>0</v>
      </c>
      <c r="L799" s="117"/>
    </row>
    <row r="800" ht="15.75" customHeight="1">
      <c r="A800" s="9"/>
      <c r="B800" s="164"/>
      <c r="C800" s="110"/>
      <c r="D800" s="156"/>
      <c r="E800" s="111"/>
      <c r="F800" s="112"/>
      <c r="G800" s="113"/>
      <c r="H800" s="53">
        <f t="shared" si="1"/>
        <v>0</v>
      </c>
      <c r="I800" s="115"/>
      <c r="J800" s="115"/>
      <c r="K800" s="60">
        <f t="shared" si="2"/>
        <v>0</v>
      </c>
      <c r="L800" s="117"/>
    </row>
    <row r="801" ht="15.75" customHeight="1">
      <c r="A801" s="9"/>
      <c r="B801" s="164"/>
      <c r="C801" s="110"/>
      <c r="D801" s="156"/>
      <c r="E801" s="111"/>
      <c r="F801" s="112"/>
      <c r="G801" s="113"/>
      <c r="H801" s="53">
        <f t="shared" si="1"/>
        <v>0</v>
      </c>
      <c r="I801" s="115"/>
      <c r="J801" s="115"/>
      <c r="K801" s="60">
        <f t="shared" si="2"/>
        <v>0</v>
      </c>
      <c r="L801" s="117"/>
    </row>
    <row r="802" ht="15.75" customHeight="1">
      <c r="A802" s="9"/>
      <c r="B802" s="164"/>
      <c r="C802" s="110"/>
      <c r="D802" s="156"/>
      <c r="E802" s="111"/>
      <c r="F802" s="112"/>
      <c r="G802" s="113"/>
      <c r="H802" s="53">
        <f t="shared" si="1"/>
        <v>0</v>
      </c>
      <c r="I802" s="115"/>
      <c r="J802" s="115"/>
      <c r="K802" s="60">
        <f t="shared" si="2"/>
        <v>0</v>
      </c>
      <c r="L802" s="117"/>
    </row>
    <row r="803" ht="15.75" customHeight="1">
      <c r="A803" s="9"/>
      <c r="B803" s="164"/>
      <c r="C803" s="110"/>
      <c r="D803" s="156"/>
      <c r="E803" s="111"/>
      <c r="F803" s="112"/>
      <c r="G803" s="113"/>
      <c r="H803" s="53">
        <f t="shared" si="1"/>
        <v>0</v>
      </c>
      <c r="I803" s="115"/>
      <c r="J803" s="115"/>
      <c r="K803" s="60">
        <f t="shared" si="2"/>
        <v>0</v>
      </c>
      <c r="L803" s="117"/>
    </row>
    <row r="804" ht="15.75" customHeight="1">
      <c r="A804" s="9"/>
      <c r="B804" s="164"/>
      <c r="C804" s="110"/>
      <c r="D804" s="156"/>
      <c r="E804" s="111"/>
      <c r="F804" s="112"/>
      <c r="G804" s="113"/>
      <c r="H804" s="53">
        <f t="shared" si="1"/>
        <v>0</v>
      </c>
      <c r="I804" s="115"/>
      <c r="J804" s="115"/>
      <c r="K804" s="60">
        <f t="shared" si="2"/>
        <v>0</v>
      </c>
      <c r="L804" s="117"/>
    </row>
    <row r="805" ht="15.75" customHeight="1">
      <c r="A805" s="9"/>
      <c r="B805" s="164"/>
      <c r="C805" s="110"/>
      <c r="D805" s="156"/>
      <c r="E805" s="111"/>
      <c r="F805" s="112"/>
      <c r="G805" s="113"/>
      <c r="H805" s="53">
        <f t="shared" si="1"/>
        <v>0</v>
      </c>
      <c r="I805" s="115"/>
      <c r="J805" s="115"/>
      <c r="K805" s="60">
        <f t="shared" si="2"/>
        <v>0</v>
      </c>
      <c r="L805" s="117"/>
    </row>
    <row r="806" ht="15.75" customHeight="1">
      <c r="A806" s="9"/>
      <c r="B806" s="164"/>
      <c r="C806" s="110"/>
      <c r="D806" s="156"/>
      <c r="E806" s="111"/>
      <c r="F806" s="112"/>
      <c r="G806" s="113"/>
      <c r="H806" s="53">
        <f t="shared" si="1"/>
        <v>0</v>
      </c>
      <c r="I806" s="115"/>
      <c r="J806" s="115"/>
      <c r="K806" s="60">
        <f t="shared" si="2"/>
        <v>0</v>
      </c>
      <c r="L806" s="117"/>
    </row>
    <row r="807" ht="15.75" customHeight="1">
      <c r="A807" s="9"/>
      <c r="B807" s="164"/>
      <c r="C807" s="110"/>
      <c r="D807" s="156"/>
      <c r="E807" s="111"/>
      <c r="F807" s="112"/>
      <c r="G807" s="113"/>
      <c r="H807" s="53">
        <f t="shared" si="1"/>
        <v>0</v>
      </c>
      <c r="I807" s="115"/>
      <c r="J807" s="115"/>
      <c r="K807" s="60">
        <f t="shared" si="2"/>
        <v>0</v>
      </c>
      <c r="L807" s="117"/>
    </row>
    <row r="808" ht="15.75" customHeight="1">
      <c r="A808" s="9"/>
      <c r="B808" s="164"/>
      <c r="C808" s="110"/>
      <c r="D808" s="156"/>
      <c r="E808" s="111"/>
      <c r="F808" s="112"/>
      <c r="G808" s="113"/>
      <c r="H808" s="53">
        <f t="shared" si="1"/>
        <v>0</v>
      </c>
      <c r="I808" s="115"/>
      <c r="J808" s="115"/>
      <c r="K808" s="60">
        <f t="shared" si="2"/>
        <v>0</v>
      </c>
      <c r="L808" s="117"/>
    </row>
    <row r="809" ht="15.75" customHeight="1">
      <c r="A809" s="9"/>
      <c r="B809" s="164"/>
      <c r="C809" s="110"/>
      <c r="D809" s="156"/>
      <c r="E809" s="111"/>
      <c r="F809" s="112"/>
      <c r="G809" s="113"/>
      <c r="H809" s="53">
        <f t="shared" si="1"/>
        <v>0</v>
      </c>
      <c r="I809" s="115"/>
      <c r="J809" s="115"/>
      <c r="K809" s="60">
        <f t="shared" si="2"/>
        <v>0</v>
      </c>
      <c r="L809" s="117"/>
    </row>
    <row r="810" ht="15.75" customHeight="1">
      <c r="A810" s="9"/>
      <c r="B810" s="164"/>
      <c r="C810" s="110"/>
      <c r="D810" s="156"/>
      <c r="E810" s="111"/>
      <c r="F810" s="112"/>
      <c r="G810" s="113"/>
      <c r="H810" s="53">
        <f t="shared" si="1"/>
        <v>0</v>
      </c>
      <c r="I810" s="115"/>
      <c r="J810" s="115"/>
      <c r="K810" s="60">
        <f t="shared" si="2"/>
        <v>0</v>
      </c>
      <c r="L810" s="117"/>
    </row>
    <row r="811" ht="15.75" customHeight="1">
      <c r="A811" s="9"/>
      <c r="B811" s="164"/>
      <c r="C811" s="110"/>
      <c r="D811" s="156"/>
      <c r="E811" s="111"/>
      <c r="F811" s="112"/>
      <c r="G811" s="113"/>
      <c r="H811" s="53">
        <f t="shared" si="1"/>
        <v>0</v>
      </c>
      <c r="I811" s="115"/>
      <c r="J811" s="115"/>
      <c r="K811" s="60">
        <f t="shared" si="2"/>
        <v>0</v>
      </c>
      <c r="L811" s="117"/>
    </row>
    <row r="812" ht="15.75" customHeight="1">
      <c r="A812" s="9"/>
      <c r="B812" s="164"/>
      <c r="C812" s="110"/>
      <c r="D812" s="156"/>
      <c r="E812" s="111"/>
      <c r="F812" s="112"/>
      <c r="G812" s="113"/>
      <c r="H812" s="53">
        <f t="shared" si="1"/>
        <v>0</v>
      </c>
      <c r="I812" s="115"/>
      <c r="J812" s="115"/>
      <c r="K812" s="60">
        <f t="shared" si="2"/>
        <v>0</v>
      </c>
      <c r="L812" s="117"/>
    </row>
    <row r="813" ht="15.75" customHeight="1">
      <c r="A813" s="9"/>
      <c r="B813" s="164"/>
      <c r="C813" s="110"/>
      <c r="D813" s="156"/>
      <c r="E813" s="111"/>
      <c r="F813" s="112"/>
      <c r="G813" s="113"/>
      <c r="H813" s="53">
        <f t="shared" si="1"/>
        <v>0</v>
      </c>
      <c r="I813" s="115"/>
      <c r="J813" s="115"/>
      <c r="K813" s="60">
        <f t="shared" si="2"/>
        <v>0</v>
      </c>
      <c r="L813" s="117"/>
    </row>
    <row r="814" ht="15.75" customHeight="1">
      <c r="A814" s="9"/>
      <c r="B814" s="164"/>
      <c r="C814" s="110"/>
      <c r="D814" s="156"/>
      <c r="E814" s="111"/>
      <c r="F814" s="112"/>
      <c r="G814" s="113"/>
      <c r="H814" s="53">
        <f t="shared" si="1"/>
        <v>0</v>
      </c>
      <c r="I814" s="115"/>
      <c r="J814" s="115"/>
      <c r="K814" s="60">
        <f t="shared" si="2"/>
        <v>0</v>
      </c>
      <c r="L814" s="117"/>
    </row>
    <row r="815" ht="15.75" customHeight="1">
      <c r="A815" s="9"/>
      <c r="B815" s="164"/>
      <c r="C815" s="110"/>
      <c r="D815" s="156"/>
      <c r="E815" s="111"/>
      <c r="F815" s="112"/>
      <c r="G815" s="113"/>
      <c r="H815" s="53">
        <f t="shared" si="1"/>
        <v>0</v>
      </c>
      <c r="I815" s="115"/>
      <c r="J815" s="115"/>
      <c r="K815" s="60">
        <f t="shared" si="2"/>
        <v>0</v>
      </c>
      <c r="L815" s="117"/>
    </row>
    <row r="816" ht="15.75" customHeight="1">
      <c r="A816" s="9"/>
      <c r="B816" s="164"/>
      <c r="C816" s="110"/>
      <c r="D816" s="156"/>
      <c r="E816" s="111"/>
      <c r="F816" s="112"/>
      <c r="G816" s="113"/>
      <c r="H816" s="53">
        <f t="shared" si="1"/>
        <v>0</v>
      </c>
      <c r="I816" s="115"/>
      <c r="J816" s="115"/>
      <c r="K816" s="60">
        <f t="shared" si="2"/>
        <v>0</v>
      </c>
      <c r="L816" s="117"/>
    </row>
    <row r="817" ht="15.75" customHeight="1">
      <c r="A817" s="9"/>
      <c r="B817" s="164"/>
      <c r="C817" s="110"/>
      <c r="D817" s="156"/>
      <c r="E817" s="111"/>
      <c r="F817" s="112"/>
      <c r="G817" s="113"/>
      <c r="H817" s="53">
        <f t="shared" si="1"/>
        <v>0</v>
      </c>
      <c r="I817" s="115"/>
      <c r="J817" s="115"/>
      <c r="K817" s="60">
        <f t="shared" si="2"/>
        <v>0</v>
      </c>
      <c r="L817" s="117"/>
    </row>
    <row r="818" ht="15.75" customHeight="1">
      <c r="A818" s="9"/>
      <c r="B818" s="164"/>
      <c r="C818" s="110"/>
      <c r="D818" s="156"/>
      <c r="E818" s="111"/>
      <c r="F818" s="112"/>
      <c r="G818" s="113"/>
      <c r="H818" s="53">
        <f t="shared" si="1"/>
        <v>0</v>
      </c>
      <c r="I818" s="115"/>
      <c r="J818" s="115"/>
      <c r="K818" s="60">
        <f t="shared" si="2"/>
        <v>0</v>
      </c>
      <c r="L818" s="117"/>
    </row>
    <row r="819" ht="15.75" customHeight="1">
      <c r="A819" s="9"/>
      <c r="B819" s="164"/>
      <c r="C819" s="110"/>
      <c r="D819" s="156"/>
      <c r="E819" s="111"/>
      <c r="F819" s="112"/>
      <c r="G819" s="113"/>
      <c r="H819" s="53">
        <f t="shared" si="1"/>
        <v>0</v>
      </c>
      <c r="I819" s="115"/>
      <c r="J819" s="115"/>
      <c r="K819" s="60">
        <f t="shared" si="2"/>
        <v>0</v>
      </c>
      <c r="L819" s="117"/>
    </row>
    <row r="820" ht="15.75" customHeight="1">
      <c r="A820" s="9"/>
      <c r="B820" s="164"/>
      <c r="C820" s="110"/>
      <c r="D820" s="156"/>
      <c r="E820" s="111"/>
      <c r="F820" s="112"/>
      <c r="G820" s="113"/>
      <c r="H820" s="53">
        <f t="shared" si="1"/>
        <v>0</v>
      </c>
      <c r="I820" s="115"/>
      <c r="J820" s="115"/>
      <c r="K820" s="60">
        <f t="shared" si="2"/>
        <v>0</v>
      </c>
      <c r="L820" s="117"/>
    </row>
    <row r="821" ht="15.75" customHeight="1">
      <c r="A821" s="9"/>
      <c r="B821" s="164"/>
      <c r="C821" s="110"/>
      <c r="D821" s="156"/>
      <c r="E821" s="111"/>
      <c r="F821" s="112"/>
      <c r="G821" s="113"/>
      <c r="H821" s="53">
        <f t="shared" si="1"/>
        <v>0</v>
      </c>
      <c r="I821" s="115"/>
      <c r="J821" s="115"/>
      <c r="K821" s="60">
        <f t="shared" si="2"/>
        <v>0</v>
      </c>
      <c r="L821" s="117"/>
    </row>
    <row r="822" ht="15.75" customHeight="1">
      <c r="A822" s="9"/>
      <c r="B822" s="164"/>
      <c r="C822" s="110"/>
      <c r="D822" s="156"/>
      <c r="E822" s="111"/>
      <c r="F822" s="112"/>
      <c r="G822" s="113"/>
      <c r="H822" s="53">
        <f t="shared" si="1"/>
        <v>0</v>
      </c>
      <c r="I822" s="115"/>
      <c r="J822" s="115"/>
      <c r="K822" s="60">
        <f t="shared" si="2"/>
        <v>0</v>
      </c>
      <c r="L822" s="117"/>
    </row>
    <row r="823" ht="15.75" customHeight="1">
      <c r="A823" s="9"/>
      <c r="B823" s="164"/>
      <c r="C823" s="110"/>
      <c r="D823" s="156"/>
      <c r="E823" s="111"/>
      <c r="F823" s="112"/>
      <c r="G823" s="113"/>
      <c r="H823" s="53">
        <f t="shared" si="1"/>
        <v>0</v>
      </c>
      <c r="I823" s="115"/>
      <c r="J823" s="115"/>
      <c r="K823" s="60">
        <f t="shared" si="2"/>
        <v>0</v>
      </c>
      <c r="L823" s="117"/>
    </row>
    <row r="824" ht="15.75" customHeight="1">
      <c r="A824" s="9"/>
      <c r="B824" s="164"/>
      <c r="C824" s="110"/>
      <c r="D824" s="156"/>
      <c r="E824" s="111"/>
      <c r="F824" s="112"/>
      <c r="G824" s="113"/>
      <c r="H824" s="53">
        <f t="shared" si="1"/>
        <v>0</v>
      </c>
      <c r="I824" s="115"/>
      <c r="J824" s="115"/>
      <c r="K824" s="60">
        <f t="shared" si="2"/>
        <v>0</v>
      </c>
      <c r="L824" s="117"/>
    </row>
    <row r="825" ht="15.75" customHeight="1">
      <c r="A825" s="9"/>
      <c r="B825" s="164"/>
      <c r="C825" s="110"/>
      <c r="D825" s="156"/>
      <c r="E825" s="111"/>
      <c r="F825" s="112"/>
      <c r="G825" s="113"/>
      <c r="H825" s="53">
        <f t="shared" si="1"/>
        <v>0</v>
      </c>
      <c r="I825" s="115"/>
      <c r="J825" s="115"/>
      <c r="K825" s="60">
        <f t="shared" si="2"/>
        <v>0</v>
      </c>
      <c r="L825" s="117"/>
    </row>
    <row r="826" ht="15.75" customHeight="1">
      <c r="A826" s="9"/>
      <c r="B826" s="164"/>
      <c r="C826" s="110"/>
      <c r="D826" s="156"/>
      <c r="E826" s="111"/>
      <c r="F826" s="112"/>
      <c r="G826" s="113"/>
      <c r="H826" s="53">
        <f t="shared" si="1"/>
        <v>0</v>
      </c>
      <c r="I826" s="115"/>
      <c r="J826" s="115"/>
      <c r="K826" s="60">
        <f t="shared" si="2"/>
        <v>0</v>
      </c>
      <c r="L826" s="117"/>
    </row>
    <row r="827" ht="15.75" customHeight="1">
      <c r="A827" s="9"/>
      <c r="B827" s="164"/>
      <c r="C827" s="110"/>
      <c r="D827" s="156"/>
      <c r="E827" s="111"/>
      <c r="F827" s="112"/>
      <c r="G827" s="113"/>
      <c r="H827" s="53">
        <f t="shared" si="1"/>
        <v>0</v>
      </c>
      <c r="I827" s="115"/>
      <c r="J827" s="115"/>
      <c r="K827" s="60">
        <f t="shared" si="2"/>
        <v>0</v>
      </c>
      <c r="L827" s="117"/>
    </row>
    <row r="828" ht="15.75" customHeight="1">
      <c r="A828" s="9"/>
      <c r="B828" s="164"/>
      <c r="C828" s="110"/>
      <c r="D828" s="156"/>
      <c r="E828" s="111"/>
      <c r="F828" s="112"/>
      <c r="G828" s="113"/>
      <c r="H828" s="53">
        <f t="shared" si="1"/>
        <v>0</v>
      </c>
      <c r="I828" s="115"/>
      <c r="J828" s="115"/>
      <c r="K828" s="60">
        <f t="shared" si="2"/>
        <v>0</v>
      </c>
      <c r="L828" s="117"/>
    </row>
    <row r="829" ht="15.75" customHeight="1">
      <c r="A829" s="9"/>
      <c r="B829" s="164"/>
      <c r="C829" s="110"/>
      <c r="D829" s="156"/>
      <c r="E829" s="111"/>
      <c r="F829" s="112"/>
      <c r="G829" s="113"/>
      <c r="H829" s="53">
        <f t="shared" si="1"/>
        <v>0</v>
      </c>
      <c r="I829" s="115"/>
      <c r="J829" s="115"/>
      <c r="K829" s="60">
        <f t="shared" si="2"/>
        <v>0</v>
      </c>
      <c r="L829" s="117"/>
    </row>
    <row r="830" ht="15.75" customHeight="1">
      <c r="A830" s="9"/>
      <c r="B830" s="164"/>
      <c r="C830" s="110"/>
      <c r="D830" s="156"/>
      <c r="E830" s="111"/>
      <c r="F830" s="112"/>
      <c r="G830" s="113"/>
      <c r="H830" s="53">
        <f t="shared" si="1"/>
        <v>0</v>
      </c>
      <c r="I830" s="115"/>
      <c r="J830" s="115"/>
      <c r="K830" s="60">
        <f t="shared" si="2"/>
        <v>0</v>
      </c>
      <c r="L830" s="117"/>
    </row>
    <row r="831" ht="15.75" customHeight="1">
      <c r="A831" s="9"/>
      <c r="B831" s="164"/>
      <c r="C831" s="110"/>
      <c r="D831" s="156"/>
      <c r="E831" s="111"/>
      <c r="F831" s="112"/>
      <c r="G831" s="113"/>
      <c r="H831" s="53">
        <f t="shared" si="1"/>
        <v>0</v>
      </c>
      <c r="I831" s="115"/>
      <c r="J831" s="115"/>
      <c r="K831" s="60">
        <f t="shared" si="2"/>
        <v>0</v>
      </c>
      <c r="L831" s="117"/>
    </row>
    <row r="832" ht="15.75" customHeight="1">
      <c r="A832" s="9"/>
      <c r="B832" s="164"/>
      <c r="C832" s="110"/>
      <c r="D832" s="156"/>
      <c r="E832" s="111"/>
      <c r="F832" s="112"/>
      <c r="G832" s="113"/>
      <c r="H832" s="53">
        <f t="shared" si="1"/>
        <v>0</v>
      </c>
      <c r="I832" s="115"/>
      <c r="J832" s="115"/>
      <c r="K832" s="60">
        <f t="shared" si="2"/>
        <v>0</v>
      </c>
      <c r="L832" s="117"/>
    </row>
    <row r="833" ht="15.75" customHeight="1">
      <c r="A833" s="9"/>
      <c r="B833" s="164"/>
      <c r="C833" s="110"/>
      <c r="D833" s="156"/>
      <c r="E833" s="111"/>
      <c r="F833" s="112"/>
      <c r="G833" s="113"/>
      <c r="H833" s="53">
        <f t="shared" si="1"/>
        <v>0</v>
      </c>
      <c r="I833" s="115"/>
      <c r="J833" s="115"/>
      <c r="K833" s="60">
        <f t="shared" si="2"/>
        <v>0</v>
      </c>
      <c r="L833" s="117"/>
    </row>
    <row r="834" ht="15.75" customHeight="1">
      <c r="A834" s="9"/>
      <c r="B834" s="164"/>
      <c r="C834" s="110"/>
      <c r="D834" s="156"/>
      <c r="E834" s="111"/>
      <c r="F834" s="112"/>
      <c r="G834" s="113"/>
      <c r="H834" s="53">
        <f t="shared" si="1"/>
        <v>0</v>
      </c>
      <c r="I834" s="115"/>
      <c r="J834" s="115"/>
      <c r="K834" s="60">
        <f t="shared" si="2"/>
        <v>0</v>
      </c>
      <c r="L834" s="117"/>
    </row>
    <row r="835" ht="15.75" customHeight="1">
      <c r="A835" s="9"/>
      <c r="B835" s="164"/>
      <c r="C835" s="110"/>
      <c r="D835" s="156"/>
      <c r="E835" s="111"/>
      <c r="F835" s="112"/>
      <c r="G835" s="113"/>
      <c r="H835" s="53">
        <f t="shared" si="1"/>
        <v>0</v>
      </c>
      <c r="I835" s="115"/>
      <c r="J835" s="115"/>
      <c r="K835" s="60">
        <f t="shared" si="2"/>
        <v>0</v>
      </c>
      <c r="L835" s="117"/>
    </row>
    <row r="836" ht="15.75" customHeight="1">
      <c r="A836" s="9"/>
      <c r="B836" s="164"/>
      <c r="C836" s="110"/>
      <c r="D836" s="156"/>
      <c r="E836" s="111"/>
      <c r="F836" s="112"/>
      <c r="G836" s="113"/>
      <c r="H836" s="53">
        <f t="shared" si="1"/>
        <v>0</v>
      </c>
      <c r="I836" s="115"/>
      <c r="J836" s="115"/>
      <c r="K836" s="60">
        <f t="shared" si="2"/>
        <v>0</v>
      </c>
      <c r="L836" s="117"/>
    </row>
    <row r="837" ht="15.75" customHeight="1">
      <c r="A837" s="9"/>
      <c r="B837" s="164"/>
      <c r="C837" s="110"/>
      <c r="D837" s="156"/>
      <c r="E837" s="111"/>
      <c r="F837" s="112"/>
      <c r="G837" s="113"/>
      <c r="H837" s="53">
        <f t="shared" si="1"/>
        <v>0</v>
      </c>
      <c r="I837" s="115"/>
      <c r="J837" s="115"/>
      <c r="K837" s="60">
        <f t="shared" si="2"/>
        <v>0</v>
      </c>
      <c r="L837" s="117"/>
    </row>
    <row r="838" ht="15.75" customHeight="1">
      <c r="A838" s="9"/>
      <c r="B838" s="164"/>
      <c r="C838" s="110"/>
      <c r="D838" s="156"/>
      <c r="E838" s="111"/>
      <c r="F838" s="112"/>
      <c r="G838" s="113"/>
      <c r="H838" s="53">
        <f t="shared" si="1"/>
        <v>0</v>
      </c>
      <c r="I838" s="115"/>
      <c r="J838" s="115"/>
      <c r="K838" s="60">
        <f t="shared" si="2"/>
        <v>0</v>
      </c>
      <c r="L838" s="117"/>
    </row>
    <row r="839" ht="15.75" customHeight="1">
      <c r="A839" s="9"/>
      <c r="B839" s="164"/>
      <c r="C839" s="110"/>
      <c r="D839" s="156"/>
      <c r="E839" s="111"/>
      <c r="F839" s="112"/>
      <c r="G839" s="113"/>
      <c r="H839" s="53">
        <f t="shared" si="1"/>
        <v>0</v>
      </c>
      <c r="I839" s="115"/>
      <c r="J839" s="115"/>
      <c r="K839" s="60">
        <f t="shared" si="2"/>
        <v>0</v>
      </c>
      <c r="L839" s="117"/>
    </row>
    <row r="840" ht="15.75" customHeight="1">
      <c r="A840" s="9"/>
      <c r="B840" s="164"/>
      <c r="C840" s="110"/>
      <c r="D840" s="156"/>
      <c r="E840" s="111"/>
      <c r="F840" s="112"/>
      <c r="G840" s="113"/>
      <c r="H840" s="53">
        <f t="shared" si="1"/>
        <v>0</v>
      </c>
      <c r="I840" s="115"/>
      <c r="J840" s="115"/>
      <c r="K840" s="60">
        <f t="shared" si="2"/>
        <v>0</v>
      </c>
      <c r="L840" s="117"/>
    </row>
    <row r="841" ht="15.75" customHeight="1">
      <c r="A841" s="9"/>
      <c r="B841" s="164"/>
      <c r="C841" s="110"/>
      <c r="D841" s="156"/>
      <c r="E841" s="111"/>
      <c r="F841" s="112"/>
      <c r="G841" s="113"/>
      <c r="H841" s="53">
        <f t="shared" si="1"/>
        <v>0</v>
      </c>
      <c r="I841" s="115"/>
      <c r="J841" s="115"/>
      <c r="K841" s="60">
        <f t="shared" si="2"/>
        <v>0</v>
      </c>
      <c r="L841" s="117"/>
    </row>
    <row r="842" ht="15.75" customHeight="1">
      <c r="A842" s="9"/>
      <c r="B842" s="164"/>
      <c r="C842" s="110"/>
      <c r="D842" s="156"/>
      <c r="E842" s="111"/>
      <c r="F842" s="112"/>
      <c r="G842" s="113"/>
      <c r="H842" s="53">
        <f t="shared" si="1"/>
        <v>0</v>
      </c>
      <c r="I842" s="115"/>
      <c r="J842" s="115"/>
      <c r="K842" s="60">
        <f t="shared" si="2"/>
        <v>0</v>
      </c>
      <c r="L842" s="117"/>
    </row>
    <row r="843" ht="15.75" customHeight="1">
      <c r="A843" s="9"/>
      <c r="B843" s="164"/>
      <c r="C843" s="110"/>
      <c r="D843" s="156"/>
      <c r="E843" s="111"/>
      <c r="F843" s="112"/>
      <c r="G843" s="113"/>
      <c r="H843" s="53">
        <f t="shared" si="1"/>
        <v>0</v>
      </c>
      <c r="I843" s="115"/>
      <c r="J843" s="115"/>
      <c r="K843" s="60">
        <f t="shared" si="2"/>
        <v>0</v>
      </c>
      <c r="L843" s="117"/>
    </row>
    <row r="844" ht="15.75" customHeight="1">
      <c r="A844" s="9"/>
      <c r="B844" s="164"/>
      <c r="C844" s="110"/>
      <c r="D844" s="156"/>
      <c r="E844" s="111"/>
      <c r="F844" s="112"/>
      <c r="G844" s="113"/>
      <c r="H844" s="53">
        <f t="shared" si="1"/>
        <v>0</v>
      </c>
      <c r="I844" s="115"/>
      <c r="J844" s="115"/>
      <c r="K844" s="60">
        <f t="shared" si="2"/>
        <v>0</v>
      </c>
      <c r="L844" s="117"/>
    </row>
    <row r="845" ht="15.75" customHeight="1">
      <c r="A845" s="9"/>
      <c r="B845" s="164"/>
      <c r="C845" s="110"/>
      <c r="D845" s="156"/>
      <c r="E845" s="111"/>
      <c r="F845" s="112"/>
      <c r="G845" s="113"/>
      <c r="H845" s="53">
        <f t="shared" si="1"/>
        <v>0</v>
      </c>
      <c r="I845" s="115"/>
      <c r="J845" s="115"/>
      <c r="K845" s="60">
        <f t="shared" si="2"/>
        <v>0</v>
      </c>
      <c r="L845" s="117"/>
    </row>
    <row r="846" ht="15.75" customHeight="1">
      <c r="A846" s="9"/>
      <c r="B846" s="164"/>
      <c r="C846" s="110"/>
      <c r="D846" s="156"/>
      <c r="E846" s="111"/>
      <c r="F846" s="112"/>
      <c r="G846" s="113"/>
      <c r="H846" s="53">
        <f t="shared" si="1"/>
        <v>0</v>
      </c>
      <c r="I846" s="115"/>
      <c r="J846" s="115"/>
      <c r="K846" s="60">
        <f t="shared" si="2"/>
        <v>0</v>
      </c>
      <c r="L846" s="117"/>
    </row>
    <row r="847" ht="15.75" customHeight="1">
      <c r="A847" s="9"/>
      <c r="B847" s="164"/>
      <c r="C847" s="110"/>
      <c r="D847" s="156"/>
      <c r="E847" s="111"/>
      <c r="F847" s="112"/>
      <c r="G847" s="113"/>
      <c r="H847" s="53">
        <f t="shared" si="1"/>
        <v>0</v>
      </c>
      <c r="I847" s="115"/>
      <c r="J847" s="115"/>
      <c r="K847" s="60">
        <f t="shared" si="2"/>
        <v>0</v>
      </c>
      <c r="L847" s="117"/>
    </row>
    <row r="848" ht="15.75" customHeight="1">
      <c r="A848" s="9"/>
      <c r="B848" s="164"/>
      <c r="C848" s="110"/>
      <c r="D848" s="156"/>
      <c r="E848" s="111"/>
      <c r="F848" s="112"/>
      <c r="G848" s="113"/>
      <c r="H848" s="53">
        <f t="shared" si="1"/>
        <v>0</v>
      </c>
      <c r="I848" s="115"/>
      <c r="J848" s="115"/>
      <c r="K848" s="60">
        <f t="shared" si="2"/>
        <v>0</v>
      </c>
      <c r="L848" s="117"/>
    </row>
    <row r="849" ht="15.75" customHeight="1">
      <c r="A849" s="9"/>
      <c r="B849" s="164"/>
      <c r="C849" s="110"/>
      <c r="D849" s="156"/>
      <c r="E849" s="111"/>
      <c r="F849" s="112"/>
      <c r="G849" s="113"/>
      <c r="H849" s="53">
        <f t="shared" si="1"/>
        <v>0</v>
      </c>
      <c r="I849" s="115"/>
      <c r="J849" s="115"/>
      <c r="K849" s="60">
        <f t="shared" si="2"/>
        <v>0</v>
      </c>
      <c r="L849" s="117"/>
    </row>
    <row r="850" ht="15.75" customHeight="1">
      <c r="A850" s="9"/>
      <c r="B850" s="164"/>
      <c r="C850" s="110"/>
      <c r="D850" s="156"/>
      <c r="E850" s="111"/>
      <c r="F850" s="112"/>
      <c r="G850" s="113"/>
      <c r="H850" s="53">
        <f t="shared" si="1"/>
        <v>0</v>
      </c>
      <c r="I850" s="115"/>
      <c r="J850" s="115"/>
      <c r="K850" s="60">
        <f t="shared" si="2"/>
        <v>0</v>
      </c>
      <c r="L850" s="117"/>
    </row>
    <row r="851" ht="15.75" customHeight="1">
      <c r="A851" s="9"/>
      <c r="B851" s="164"/>
      <c r="C851" s="110"/>
      <c r="D851" s="156"/>
      <c r="E851" s="111"/>
      <c r="F851" s="112"/>
      <c r="G851" s="113"/>
      <c r="H851" s="53">
        <f t="shared" si="1"/>
        <v>0</v>
      </c>
      <c r="I851" s="115"/>
      <c r="J851" s="115"/>
      <c r="K851" s="60">
        <f t="shared" si="2"/>
        <v>0</v>
      </c>
      <c r="L851" s="117"/>
    </row>
    <row r="852" ht="15.75" customHeight="1">
      <c r="A852" s="9"/>
      <c r="B852" s="164"/>
      <c r="C852" s="110"/>
      <c r="D852" s="156"/>
      <c r="E852" s="111"/>
      <c r="F852" s="112"/>
      <c r="G852" s="113"/>
      <c r="H852" s="53">
        <f t="shared" si="1"/>
        <v>0</v>
      </c>
      <c r="I852" s="115"/>
      <c r="J852" s="115"/>
      <c r="K852" s="60">
        <f t="shared" si="2"/>
        <v>0</v>
      </c>
      <c r="L852" s="117"/>
    </row>
    <row r="853" ht="15.75" customHeight="1">
      <c r="A853" s="9"/>
      <c r="B853" s="164"/>
      <c r="C853" s="110"/>
      <c r="D853" s="156"/>
      <c r="E853" s="111"/>
      <c r="F853" s="112"/>
      <c r="G853" s="113"/>
      <c r="H853" s="53">
        <f t="shared" si="1"/>
        <v>0</v>
      </c>
      <c r="I853" s="115"/>
      <c r="J853" s="115"/>
      <c r="K853" s="60">
        <f t="shared" si="2"/>
        <v>0</v>
      </c>
      <c r="L853" s="117"/>
    </row>
    <row r="854" ht="15.75" customHeight="1">
      <c r="A854" s="9"/>
      <c r="B854" s="164"/>
      <c r="C854" s="110"/>
      <c r="D854" s="156"/>
      <c r="E854" s="111"/>
      <c r="F854" s="112"/>
      <c r="G854" s="113"/>
      <c r="H854" s="53">
        <f t="shared" si="1"/>
        <v>0</v>
      </c>
      <c r="I854" s="115"/>
      <c r="J854" s="115"/>
      <c r="K854" s="60">
        <f t="shared" si="2"/>
        <v>0</v>
      </c>
      <c r="L854" s="117"/>
    </row>
    <row r="855" ht="15.75" customHeight="1">
      <c r="A855" s="9"/>
      <c r="B855" s="164"/>
      <c r="C855" s="110"/>
      <c r="D855" s="156"/>
      <c r="E855" s="111"/>
      <c r="F855" s="112"/>
      <c r="G855" s="113"/>
      <c r="H855" s="53">
        <f t="shared" si="1"/>
        <v>0</v>
      </c>
      <c r="I855" s="115"/>
      <c r="J855" s="115"/>
      <c r="K855" s="60">
        <f t="shared" si="2"/>
        <v>0</v>
      </c>
      <c r="L855" s="117"/>
    </row>
    <row r="856" ht="15.75" customHeight="1">
      <c r="A856" s="9"/>
      <c r="B856" s="164"/>
      <c r="C856" s="110"/>
      <c r="D856" s="156"/>
      <c r="E856" s="111"/>
      <c r="F856" s="112"/>
      <c r="G856" s="113"/>
      <c r="H856" s="53">
        <f t="shared" si="1"/>
        <v>0</v>
      </c>
      <c r="I856" s="115"/>
      <c r="J856" s="115"/>
      <c r="K856" s="60">
        <f t="shared" si="2"/>
        <v>0</v>
      </c>
      <c r="L856" s="117"/>
    </row>
    <row r="857" ht="15.75" customHeight="1">
      <c r="A857" s="9"/>
      <c r="B857" s="164"/>
      <c r="C857" s="110"/>
      <c r="D857" s="156"/>
      <c r="E857" s="111"/>
      <c r="F857" s="112"/>
      <c r="G857" s="113"/>
      <c r="H857" s="53">
        <f t="shared" si="1"/>
        <v>0</v>
      </c>
      <c r="I857" s="115"/>
      <c r="J857" s="115"/>
      <c r="K857" s="60">
        <f t="shared" si="2"/>
        <v>0</v>
      </c>
      <c r="L857" s="117"/>
    </row>
    <row r="858" ht="15.75" customHeight="1">
      <c r="A858" s="9"/>
      <c r="B858" s="164"/>
      <c r="C858" s="110"/>
      <c r="D858" s="156"/>
      <c r="E858" s="111"/>
      <c r="F858" s="112"/>
      <c r="G858" s="113"/>
      <c r="H858" s="53">
        <f t="shared" si="1"/>
        <v>0</v>
      </c>
      <c r="I858" s="115"/>
      <c r="J858" s="115"/>
      <c r="K858" s="60">
        <f t="shared" si="2"/>
        <v>0</v>
      </c>
      <c r="L858" s="117"/>
    </row>
    <row r="859" ht="15.75" customHeight="1">
      <c r="A859" s="9"/>
      <c r="B859" s="164"/>
      <c r="C859" s="110"/>
      <c r="D859" s="156"/>
      <c r="E859" s="111"/>
      <c r="F859" s="112"/>
      <c r="G859" s="113"/>
      <c r="H859" s="53">
        <f t="shared" si="1"/>
        <v>0</v>
      </c>
      <c r="I859" s="115"/>
      <c r="J859" s="115"/>
      <c r="K859" s="60">
        <f t="shared" si="2"/>
        <v>0</v>
      </c>
      <c r="L859" s="117"/>
    </row>
    <row r="860" ht="15.75" customHeight="1">
      <c r="A860" s="9"/>
      <c r="B860" s="164"/>
      <c r="C860" s="110"/>
      <c r="D860" s="156"/>
      <c r="E860" s="111"/>
      <c r="F860" s="112"/>
      <c r="G860" s="113"/>
      <c r="H860" s="53">
        <f t="shared" si="1"/>
        <v>0</v>
      </c>
      <c r="I860" s="115"/>
      <c r="J860" s="115"/>
      <c r="K860" s="60">
        <f t="shared" si="2"/>
        <v>0</v>
      </c>
      <c r="L860" s="117"/>
    </row>
    <row r="861" ht="15.75" customHeight="1">
      <c r="A861" s="9"/>
      <c r="B861" s="164"/>
      <c r="C861" s="110"/>
      <c r="D861" s="156"/>
      <c r="E861" s="111"/>
      <c r="F861" s="112"/>
      <c r="G861" s="113"/>
      <c r="H861" s="53">
        <f t="shared" si="1"/>
        <v>0</v>
      </c>
      <c r="I861" s="115"/>
      <c r="J861" s="115"/>
      <c r="K861" s="60">
        <f t="shared" si="2"/>
        <v>0</v>
      </c>
      <c r="L861" s="117"/>
    </row>
    <row r="862" ht="15.75" customHeight="1">
      <c r="A862" s="9"/>
      <c r="B862" s="164"/>
      <c r="C862" s="110"/>
      <c r="D862" s="156"/>
      <c r="E862" s="111"/>
      <c r="F862" s="112"/>
      <c r="G862" s="113"/>
      <c r="H862" s="53">
        <f t="shared" si="1"/>
        <v>0</v>
      </c>
      <c r="I862" s="115"/>
      <c r="J862" s="115"/>
      <c r="K862" s="60">
        <f t="shared" si="2"/>
        <v>0</v>
      </c>
      <c r="L862" s="117"/>
    </row>
    <row r="863" ht="15.75" customHeight="1">
      <c r="A863" s="9"/>
      <c r="B863" s="164"/>
      <c r="C863" s="110"/>
      <c r="D863" s="156"/>
      <c r="E863" s="111"/>
      <c r="F863" s="112"/>
      <c r="G863" s="113"/>
      <c r="H863" s="53">
        <f t="shared" si="1"/>
        <v>0</v>
      </c>
      <c r="I863" s="115"/>
      <c r="J863" s="115"/>
      <c r="K863" s="60">
        <f t="shared" si="2"/>
        <v>0</v>
      </c>
      <c r="L863" s="117"/>
    </row>
    <row r="864" ht="15.75" customHeight="1">
      <c r="A864" s="9"/>
      <c r="B864" s="164"/>
      <c r="C864" s="110"/>
      <c r="D864" s="156"/>
      <c r="E864" s="111"/>
      <c r="F864" s="112"/>
      <c r="G864" s="113"/>
      <c r="H864" s="53">
        <f t="shared" si="1"/>
        <v>0</v>
      </c>
      <c r="I864" s="115"/>
      <c r="J864" s="115"/>
      <c r="K864" s="60">
        <f t="shared" si="2"/>
        <v>0</v>
      </c>
      <c r="L864" s="117"/>
    </row>
    <row r="865" ht="15.75" customHeight="1">
      <c r="A865" s="9"/>
      <c r="B865" s="164"/>
      <c r="C865" s="110"/>
      <c r="D865" s="156"/>
      <c r="E865" s="111"/>
      <c r="F865" s="112"/>
      <c r="G865" s="113"/>
      <c r="H865" s="53">
        <f t="shared" si="1"/>
        <v>0</v>
      </c>
      <c r="I865" s="115"/>
      <c r="J865" s="115"/>
      <c r="K865" s="60">
        <f t="shared" si="2"/>
        <v>0</v>
      </c>
      <c r="L865" s="117"/>
    </row>
    <row r="866" ht="15.75" customHeight="1">
      <c r="A866" s="9"/>
      <c r="B866" s="164"/>
      <c r="C866" s="110"/>
      <c r="D866" s="156"/>
      <c r="E866" s="111"/>
      <c r="F866" s="112"/>
      <c r="G866" s="113"/>
      <c r="H866" s="53">
        <f t="shared" si="1"/>
        <v>0</v>
      </c>
      <c r="I866" s="115"/>
      <c r="J866" s="115"/>
      <c r="K866" s="60">
        <f t="shared" si="2"/>
        <v>0</v>
      </c>
      <c r="L866" s="117"/>
    </row>
    <row r="867" ht="15.75" customHeight="1">
      <c r="A867" s="9"/>
      <c r="B867" s="164"/>
      <c r="C867" s="110"/>
      <c r="D867" s="156"/>
      <c r="E867" s="111"/>
      <c r="F867" s="112"/>
      <c r="G867" s="113"/>
      <c r="H867" s="53">
        <f t="shared" si="1"/>
        <v>0</v>
      </c>
      <c r="I867" s="115"/>
      <c r="J867" s="115"/>
      <c r="K867" s="60">
        <f t="shared" si="2"/>
        <v>0</v>
      </c>
      <c r="L867" s="117"/>
    </row>
    <row r="868" ht="15.75" customHeight="1">
      <c r="A868" s="9"/>
      <c r="B868" s="164"/>
      <c r="C868" s="110"/>
      <c r="D868" s="156"/>
      <c r="E868" s="111"/>
      <c r="F868" s="112"/>
      <c r="G868" s="113"/>
      <c r="H868" s="53">
        <f t="shared" si="1"/>
        <v>0</v>
      </c>
      <c r="I868" s="115"/>
      <c r="J868" s="115"/>
      <c r="K868" s="60">
        <f t="shared" si="2"/>
        <v>0</v>
      </c>
      <c r="L868" s="117"/>
    </row>
    <row r="869" ht="15.75" customHeight="1">
      <c r="A869" s="9"/>
      <c r="B869" s="164"/>
      <c r="C869" s="110"/>
      <c r="D869" s="156"/>
      <c r="E869" s="111"/>
      <c r="F869" s="112"/>
      <c r="G869" s="113"/>
      <c r="H869" s="53">
        <f t="shared" si="1"/>
        <v>0</v>
      </c>
      <c r="I869" s="115"/>
      <c r="J869" s="115"/>
      <c r="K869" s="60">
        <f t="shared" si="2"/>
        <v>0</v>
      </c>
      <c r="L869" s="117"/>
    </row>
    <row r="870" ht="15.75" customHeight="1">
      <c r="A870" s="9"/>
      <c r="B870" s="164"/>
      <c r="C870" s="110"/>
      <c r="D870" s="156"/>
      <c r="E870" s="111"/>
      <c r="F870" s="112"/>
      <c r="G870" s="113"/>
      <c r="H870" s="53">
        <f t="shared" si="1"/>
        <v>0</v>
      </c>
      <c r="I870" s="115"/>
      <c r="J870" s="115"/>
      <c r="K870" s="60">
        <f t="shared" si="2"/>
        <v>0</v>
      </c>
      <c r="L870" s="117"/>
    </row>
    <row r="871" ht="15.75" customHeight="1">
      <c r="A871" s="9"/>
      <c r="B871" s="164"/>
      <c r="C871" s="110"/>
      <c r="D871" s="156"/>
      <c r="E871" s="111"/>
      <c r="F871" s="112"/>
      <c r="G871" s="113"/>
      <c r="H871" s="53">
        <f t="shared" si="1"/>
        <v>0</v>
      </c>
      <c r="I871" s="115"/>
      <c r="J871" s="115"/>
      <c r="K871" s="60">
        <f t="shared" si="2"/>
        <v>0</v>
      </c>
      <c r="L871" s="117"/>
    </row>
    <row r="872" ht="15.75" customHeight="1">
      <c r="A872" s="9"/>
      <c r="B872" s="164"/>
      <c r="C872" s="110"/>
      <c r="D872" s="156"/>
      <c r="E872" s="111"/>
      <c r="F872" s="112"/>
      <c r="G872" s="113"/>
      <c r="H872" s="53">
        <f t="shared" si="1"/>
        <v>0</v>
      </c>
      <c r="I872" s="115"/>
      <c r="J872" s="115"/>
      <c r="K872" s="60">
        <f t="shared" si="2"/>
        <v>0</v>
      </c>
      <c r="L872" s="117"/>
    </row>
    <row r="873" ht="15.75" customHeight="1">
      <c r="A873" s="9"/>
      <c r="B873" s="164"/>
      <c r="C873" s="110"/>
      <c r="D873" s="156"/>
      <c r="E873" s="111"/>
      <c r="F873" s="112"/>
      <c r="G873" s="113"/>
      <c r="H873" s="53">
        <f t="shared" si="1"/>
        <v>0</v>
      </c>
      <c r="I873" s="115"/>
      <c r="J873" s="115"/>
      <c r="K873" s="60">
        <f t="shared" si="2"/>
        <v>0</v>
      </c>
      <c r="L873" s="117"/>
    </row>
    <row r="874" ht="15.75" customHeight="1">
      <c r="A874" s="9"/>
      <c r="B874" s="164"/>
      <c r="C874" s="110"/>
      <c r="D874" s="156"/>
      <c r="E874" s="111"/>
      <c r="F874" s="112"/>
      <c r="G874" s="113"/>
      <c r="H874" s="53">
        <f t="shared" si="1"/>
        <v>0</v>
      </c>
      <c r="I874" s="115"/>
      <c r="J874" s="115"/>
      <c r="K874" s="60">
        <f t="shared" si="2"/>
        <v>0</v>
      </c>
      <c r="L874" s="117"/>
    </row>
    <row r="875" ht="15.75" customHeight="1">
      <c r="A875" s="9"/>
      <c r="B875" s="164"/>
      <c r="C875" s="110"/>
      <c r="D875" s="156"/>
      <c r="E875" s="111"/>
      <c r="F875" s="112"/>
      <c r="G875" s="113"/>
      <c r="H875" s="53">
        <f t="shared" si="1"/>
        <v>0</v>
      </c>
      <c r="I875" s="115"/>
      <c r="J875" s="115"/>
      <c r="K875" s="60">
        <f t="shared" si="2"/>
        <v>0</v>
      </c>
      <c r="L875" s="117"/>
    </row>
    <row r="876" ht="15.75" customHeight="1">
      <c r="A876" s="9"/>
      <c r="B876" s="164"/>
      <c r="C876" s="110"/>
      <c r="D876" s="156"/>
      <c r="E876" s="111"/>
      <c r="F876" s="112"/>
      <c r="G876" s="113"/>
      <c r="H876" s="53">
        <f t="shared" si="1"/>
        <v>0</v>
      </c>
      <c r="I876" s="115"/>
      <c r="J876" s="115"/>
      <c r="K876" s="60">
        <f t="shared" si="2"/>
        <v>0</v>
      </c>
      <c r="L876" s="117"/>
    </row>
    <row r="877" ht="15.75" customHeight="1">
      <c r="A877" s="9"/>
      <c r="B877" s="164"/>
      <c r="C877" s="110"/>
      <c r="D877" s="156"/>
      <c r="E877" s="111"/>
      <c r="F877" s="112"/>
      <c r="G877" s="113"/>
      <c r="H877" s="53">
        <f t="shared" si="1"/>
        <v>0</v>
      </c>
      <c r="I877" s="115"/>
      <c r="J877" s="115"/>
      <c r="K877" s="60">
        <f t="shared" si="2"/>
        <v>0</v>
      </c>
      <c r="L877" s="117"/>
    </row>
    <row r="878" ht="15.75" customHeight="1">
      <c r="A878" s="9"/>
      <c r="B878" s="164"/>
      <c r="C878" s="110"/>
      <c r="D878" s="156"/>
      <c r="E878" s="111"/>
      <c r="F878" s="112"/>
      <c r="G878" s="113"/>
      <c r="H878" s="53">
        <f t="shared" si="1"/>
        <v>0</v>
      </c>
      <c r="I878" s="115"/>
      <c r="J878" s="115"/>
      <c r="K878" s="60">
        <f t="shared" si="2"/>
        <v>0</v>
      </c>
      <c r="L878" s="117"/>
    </row>
    <row r="879" ht="15.75" customHeight="1">
      <c r="A879" s="9"/>
      <c r="B879" s="164"/>
      <c r="C879" s="110"/>
      <c r="D879" s="156"/>
      <c r="E879" s="111"/>
      <c r="F879" s="112"/>
      <c r="G879" s="113"/>
      <c r="H879" s="53">
        <f t="shared" si="1"/>
        <v>0</v>
      </c>
      <c r="I879" s="115"/>
      <c r="J879" s="115"/>
      <c r="K879" s="60">
        <f t="shared" si="2"/>
        <v>0</v>
      </c>
      <c r="L879" s="117"/>
    </row>
    <row r="880" ht="15.75" customHeight="1">
      <c r="A880" s="9"/>
      <c r="B880" s="164"/>
      <c r="C880" s="110"/>
      <c r="D880" s="156"/>
      <c r="E880" s="111"/>
      <c r="F880" s="112"/>
      <c r="G880" s="113"/>
      <c r="H880" s="53">
        <f t="shared" si="1"/>
        <v>0</v>
      </c>
      <c r="I880" s="115"/>
      <c r="J880" s="115"/>
      <c r="K880" s="60">
        <f t="shared" si="2"/>
        <v>0</v>
      </c>
      <c r="L880" s="117"/>
    </row>
    <row r="881" ht="15.75" customHeight="1">
      <c r="A881" s="9"/>
      <c r="B881" s="164"/>
      <c r="C881" s="110"/>
      <c r="D881" s="156"/>
      <c r="E881" s="111"/>
      <c r="F881" s="112"/>
      <c r="G881" s="113"/>
      <c r="H881" s="53">
        <f t="shared" si="1"/>
        <v>0</v>
      </c>
      <c r="I881" s="115"/>
      <c r="J881" s="115"/>
      <c r="K881" s="60">
        <f t="shared" si="2"/>
        <v>0</v>
      </c>
      <c r="L881" s="117"/>
    </row>
    <row r="882" ht="15.75" customHeight="1">
      <c r="A882" s="9"/>
      <c r="B882" s="164"/>
      <c r="C882" s="110"/>
      <c r="D882" s="156"/>
      <c r="E882" s="111"/>
      <c r="F882" s="112"/>
      <c r="G882" s="113"/>
      <c r="H882" s="53">
        <f t="shared" si="1"/>
        <v>0</v>
      </c>
      <c r="I882" s="115"/>
      <c r="J882" s="115"/>
      <c r="K882" s="60">
        <f t="shared" si="2"/>
        <v>0</v>
      </c>
      <c r="L882" s="117"/>
    </row>
    <row r="883" ht="15.75" customHeight="1">
      <c r="A883" s="9"/>
      <c r="B883" s="164"/>
      <c r="C883" s="110"/>
      <c r="D883" s="156"/>
      <c r="E883" s="111"/>
      <c r="F883" s="112"/>
      <c r="G883" s="113"/>
      <c r="H883" s="53">
        <f t="shared" si="1"/>
        <v>0</v>
      </c>
      <c r="I883" s="115"/>
      <c r="J883" s="115"/>
      <c r="K883" s="60">
        <f t="shared" si="2"/>
        <v>0</v>
      </c>
      <c r="L883" s="117"/>
    </row>
    <row r="884" ht="15.75" customHeight="1">
      <c r="A884" s="9"/>
      <c r="B884" s="164"/>
      <c r="C884" s="110"/>
      <c r="D884" s="156"/>
      <c r="E884" s="111"/>
      <c r="F884" s="112"/>
      <c r="G884" s="113"/>
      <c r="H884" s="53">
        <f t="shared" si="1"/>
        <v>0</v>
      </c>
      <c r="I884" s="115"/>
      <c r="J884" s="115"/>
      <c r="K884" s="60">
        <f t="shared" si="2"/>
        <v>0</v>
      </c>
      <c r="L884" s="117"/>
    </row>
    <row r="885" ht="15.75" customHeight="1">
      <c r="A885" s="9"/>
      <c r="B885" s="164"/>
      <c r="C885" s="110"/>
      <c r="D885" s="156"/>
      <c r="E885" s="111"/>
      <c r="F885" s="112"/>
      <c r="G885" s="113"/>
      <c r="H885" s="53">
        <f t="shared" si="1"/>
        <v>0</v>
      </c>
      <c r="I885" s="115"/>
      <c r="J885" s="115"/>
      <c r="K885" s="60">
        <f t="shared" si="2"/>
        <v>0</v>
      </c>
      <c r="L885" s="117"/>
    </row>
    <row r="886" ht="15.75" customHeight="1">
      <c r="A886" s="9"/>
      <c r="B886" s="164"/>
      <c r="C886" s="110"/>
      <c r="D886" s="156"/>
      <c r="E886" s="111"/>
      <c r="F886" s="112"/>
      <c r="G886" s="113"/>
      <c r="H886" s="53">
        <f t="shared" si="1"/>
        <v>0</v>
      </c>
      <c r="I886" s="115"/>
      <c r="J886" s="115"/>
      <c r="K886" s="60">
        <f t="shared" si="2"/>
        <v>0</v>
      </c>
      <c r="L886" s="117"/>
    </row>
    <row r="887" ht="15.75" customHeight="1">
      <c r="A887" s="9"/>
      <c r="B887" s="164"/>
      <c r="C887" s="110"/>
      <c r="D887" s="156"/>
      <c r="E887" s="111"/>
      <c r="F887" s="112"/>
      <c r="G887" s="113"/>
      <c r="H887" s="53">
        <f t="shared" si="1"/>
        <v>0</v>
      </c>
      <c r="I887" s="115"/>
      <c r="J887" s="115"/>
      <c r="K887" s="60">
        <f t="shared" si="2"/>
        <v>0</v>
      </c>
      <c r="L887" s="117"/>
    </row>
    <row r="888" ht="15.75" customHeight="1">
      <c r="A888" s="9"/>
      <c r="B888" s="164"/>
      <c r="C888" s="110"/>
      <c r="D888" s="156"/>
      <c r="E888" s="111"/>
      <c r="F888" s="112"/>
      <c r="G888" s="113"/>
      <c r="H888" s="53">
        <f t="shared" si="1"/>
        <v>0</v>
      </c>
      <c r="I888" s="115"/>
      <c r="J888" s="115"/>
      <c r="K888" s="60">
        <f t="shared" si="2"/>
        <v>0</v>
      </c>
      <c r="L888" s="117"/>
    </row>
    <row r="889" ht="15.75" customHeight="1">
      <c r="A889" s="186"/>
      <c r="B889" s="164"/>
      <c r="C889" s="110"/>
      <c r="D889" s="156"/>
      <c r="E889" s="111"/>
      <c r="F889" s="110"/>
      <c r="G889" s="110"/>
      <c r="H889" s="53">
        <f t="shared" si="1"/>
        <v>0</v>
      </c>
      <c r="I889" s="110"/>
      <c r="J889" s="110"/>
      <c r="K889" s="60">
        <f t="shared" si="2"/>
        <v>0</v>
      </c>
      <c r="L889" s="117"/>
    </row>
    <row r="890" ht="15.75" customHeight="1">
      <c r="A890" s="186"/>
      <c r="B890" s="164"/>
      <c r="C890" s="110"/>
      <c r="D890" s="156"/>
      <c r="E890" s="111"/>
      <c r="F890" s="110"/>
      <c r="G890" s="110"/>
      <c r="H890" s="53">
        <f t="shared" si="1"/>
        <v>0</v>
      </c>
      <c r="I890" s="110"/>
      <c r="J890" s="110"/>
      <c r="K890" s="60">
        <f t="shared" si="2"/>
        <v>0</v>
      </c>
      <c r="L890" s="117"/>
    </row>
    <row r="891" ht="15.75" customHeight="1">
      <c r="A891" s="186"/>
      <c r="B891" s="164"/>
      <c r="C891" s="110"/>
      <c r="D891" s="156"/>
      <c r="E891" s="111"/>
      <c r="F891" s="110"/>
      <c r="G891" s="110"/>
      <c r="H891" s="53">
        <f t="shared" si="1"/>
        <v>0</v>
      </c>
      <c r="I891" s="110"/>
      <c r="J891" s="110"/>
      <c r="K891" s="60">
        <f t="shared" si="2"/>
        <v>0</v>
      </c>
      <c r="L891" s="117"/>
    </row>
    <row r="892" ht="15.75" customHeight="1">
      <c r="A892" s="186"/>
      <c r="B892" s="164"/>
      <c r="C892" s="110"/>
      <c r="D892" s="156"/>
      <c r="E892" s="111"/>
      <c r="F892" s="110"/>
      <c r="G892" s="110"/>
      <c r="H892" s="53">
        <f t="shared" si="1"/>
        <v>0</v>
      </c>
      <c r="I892" s="110"/>
      <c r="J892" s="110"/>
      <c r="K892" s="60">
        <f t="shared" si="2"/>
        <v>0</v>
      </c>
      <c r="L892" s="117"/>
    </row>
    <row r="893" ht="15.75" customHeight="1">
      <c r="A893" s="186"/>
      <c r="B893" s="164"/>
      <c r="C893" s="110"/>
      <c r="D893" s="156"/>
      <c r="E893" s="111"/>
      <c r="F893" s="110"/>
      <c r="G893" s="110"/>
      <c r="H893" s="53">
        <f t="shared" si="1"/>
        <v>0</v>
      </c>
      <c r="I893" s="110"/>
      <c r="J893" s="110"/>
      <c r="K893" s="60">
        <f t="shared" si="2"/>
        <v>0</v>
      </c>
      <c r="L893" s="117"/>
    </row>
    <row r="894" ht="15.75" customHeight="1">
      <c r="A894" s="186"/>
      <c r="B894" s="164"/>
      <c r="C894" s="110"/>
      <c r="D894" s="156"/>
      <c r="E894" s="111"/>
      <c r="F894" s="110"/>
      <c r="G894" s="110"/>
      <c r="H894" s="53">
        <f t="shared" si="1"/>
        <v>0</v>
      </c>
      <c r="I894" s="110"/>
      <c r="J894" s="110"/>
      <c r="K894" s="60">
        <f t="shared" si="2"/>
        <v>0</v>
      </c>
      <c r="L894" s="117"/>
    </row>
    <row r="895" ht="15.75" customHeight="1">
      <c r="A895" s="186"/>
      <c r="B895" s="164"/>
      <c r="C895" s="110"/>
      <c r="D895" s="156"/>
      <c r="E895" s="111"/>
      <c r="F895" s="110"/>
      <c r="G895" s="110"/>
      <c r="H895" s="53">
        <f t="shared" si="1"/>
        <v>0</v>
      </c>
      <c r="I895" s="110"/>
      <c r="J895" s="110"/>
      <c r="K895" s="60">
        <f t="shared" si="2"/>
        <v>0</v>
      </c>
      <c r="L895" s="117"/>
    </row>
    <row r="896" ht="15.75" customHeight="1">
      <c r="A896" s="186"/>
      <c r="B896" s="164"/>
      <c r="C896" s="110"/>
      <c r="D896" s="156"/>
      <c r="E896" s="111"/>
      <c r="F896" s="110"/>
      <c r="G896" s="110"/>
      <c r="H896" s="53">
        <f t="shared" si="1"/>
        <v>0</v>
      </c>
      <c r="I896" s="110"/>
      <c r="J896" s="110"/>
      <c r="K896" s="60">
        <f t="shared" si="2"/>
        <v>0</v>
      </c>
      <c r="L896" s="117"/>
    </row>
    <row r="897" ht="15.75" customHeight="1">
      <c r="A897" s="186"/>
      <c r="B897" s="164"/>
      <c r="C897" s="110"/>
      <c r="D897" s="156"/>
      <c r="E897" s="111"/>
      <c r="F897" s="110"/>
      <c r="G897" s="110"/>
      <c r="H897" s="53">
        <f t="shared" si="1"/>
        <v>0</v>
      </c>
      <c r="I897" s="110"/>
      <c r="J897" s="110"/>
      <c r="K897" s="60">
        <f t="shared" si="2"/>
        <v>0</v>
      </c>
      <c r="L897" s="117"/>
    </row>
    <row r="898" ht="15.75" customHeight="1">
      <c r="A898" s="186"/>
      <c r="B898" s="164"/>
      <c r="C898" s="110"/>
      <c r="D898" s="156"/>
      <c r="E898" s="111"/>
      <c r="F898" s="110"/>
      <c r="G898" s="110"/>
      <c r="H898" s="53">
        <f t="shared" si="1"/>
        <v>0</v>
      </c>
      <c r="I898" s="110"/>
      <c r="J898" s="110"/>
      <c r="K898" s="60">
        <f t="shared" si="2"/>
        <v>0</v>
      </c>
      <c r="L898" s="117"/>
    </row>
    <row r="899" ht="15.75" customHeight="1">
      <c r="A899" s="186"/>
      <c r="B899" s="164"/>
      <c r="C899" s="110"/>
      <c r="D899" s="156"/>
      <c r="E899" s="111"/>
      <c r="F899" s="110"/>
      <c r="G899" s="110"/>
      <c r="H899" s="53">
        <f t="shared" si="1"/>
        <v>0</v>
      </c>
      <c r="I899" s="110"/>
      <c r="J899" s="110"/>
      <c r="K899" s="60">
        <f t="shared" si="2"/>
        <v>0</v>
      </c>
      <c r="L899" s="117"/>
    </row>
    <row r="900" ht="15.75" customHeight="1">
      <c r="A900" s="186"/>
      <c r="B900" s="164"/>
      <c r="C900" s="110"/>
      <c r="D900" s="156"/>
      <c r="E900" s="111"/>
      <c r="F900" s="110"/>
      <c r="G900" s="110"/>
      <c r="H900" s="53">
        <f t="shared" si="1"/>
        <v>0</v>
      </c>
      <c r="I900" s="110"/>
      <c r="J900" s="110"/>
      <c r="K900" s="60">
        <f t="shared" si="2"/>
        <v>0</v>
      </c>
      <c r="L900" s="117"/>
    </row>
    <row r="901" ht="15.75" customHeight="1">
      <c r="A901" s="186"/>
      <c r="B901" s="164"/>
      <c r="C901" s="110"/>
      <c r="D901" s="156"/>
      <c r="E901" s="111"/>
      <c r="F901" s="110"/>
      <c r="G901" s="110"/>
      <c r="H901" s="53">
        <f t="shared" si="1"/>
        <v>0</v>
      </c>
      <c r="I901" s="110"/>
      <c r="J901" s="110"/>
      <c r="K901" s="60">
        <f t="shared" si="2"/>
        <v>0</v>
      </c>
      <c r="L901" s="117"/>
    </row>
    <row r="902" ht="15.75" customHeight="1">
      <c r="A902" s="186"/>
      <c r="B902" s="164"/>
      <c r="C902" s="110"/>
      <c r="D902" s="156"/>
      <c r="E902" s="111"/>
      <c r="F902" s="110"/>
      <c r="G902" s="110"/>
      <c r="H902" s="53">
        <f t="shared" si="1"/>
        <v>0</v>
      </c>
      <c r="I902" s="110"/>
      <c r="J902" s="110"/>
      <c r="K902" s="60">
        <f t="shared" si="2"/>
        <v>0</v>
      </c>
      <c r="L902" s="117"/>
    </row>
  </sheetData>
  <autoFilter ref="$B$1:$L$902"/>
  <dataValidations>
    <dataValidation type="list" allowBlank="1" showErrorMessage="1" sqref="I2:I902">
      <formula1>"Pago,Aguardando Pagamento"</formula1>
    </dataValidation>
    <dataValidation type="list" allowBlank="1" showErrorMessage="1" sqref="L2:L902">
      <formula1>"Janeiro,Fevereiro,Março,Abril,Maio,Junho,Julho,Agosto,Setembro,Outubro,Novembro,Dezembro"</formula1>
    </dataValidation>
    <dataValidation type="list" allowBlank="1" showErrorMessage="1" sqref="J2:J902">
      <formula1>"2,00%,1,50%,1,00%"</formula1>
    </dataValidation>
    <dataValidation type="list" allowBlank="1" showErrorMessage="1" sqref="E2:E902">
      <formula1>"Romantic,Poliamida,Canelado Poliamida,Suplex Zero"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41B47"/>
    <outlinePr summaryBelow="0" summaryRight="0"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17.5"/>
    <col customWidth="1" hidden="1" min="3" max="3" width="15.63"/>
    <col customWidth="1" min="4" max="4" width="23.75"/>
    <col customWidth="1" min="5" max="5" width="24.88"/>
    <col customWidth="1" min="6" max="6" width="16.13"/>
    <col customWidth="1" min="7" max="7" width="16.38"/>
    <col customWidth="1" min="8" max="8" width="15.38"/>
    <col customWidth="1" min="9" max="9" width="21.63"/>
    <col customWidth="1" min="10" max="10" width="19.63"/>
    <col customWidth="1" min="11" max="11" width="18.63"/>
    <col customWidth="1" min="12" max="12" width="19.13"/>
  </cols>
  <sheetData>
    <row r="1" ht="24.0" customHeight="1">
      <c r="A1" s="180" t="s">
        <v>82</v>
      </c>
      <c r="B1" s="14" t="s">
        <v>21</v>
      </c>
      <c r="C1" s="17" t="s">
        <v>22</v>
      </c>
      <c r="D1" s="17" t="s">
        <v>3</v>
      </c>
      <c r="E1" s="17" t="s">
        <v>8</v>
      </c>
      <c r="F1" s="17" t="s">
        <v>24</v>
      </c>
      <c r="G1" s="17" t="s">
        <v>7</v>
      </c>
      <c r="H1" s="17" t="s">
        <v>10</v>
      </c>
      <c r="I1" s="25" t="s">
        <v>25</v>
      </c>
      <c r="J1" s="25" t="s">
        <v>11</v>
      </c>
      <c r="K1" s="17" t="s">
        <v>16</v>
      </c>
      <c r="L1" s="29" t="s">
        <v>13</v>
      </c>
    </row>
    <row r="2" ht="15.75" hidden="1" customHeight="1">
      <c r="A2" s="9"/>
      <c r="B2" s="81">
        <v>46383.0</v>
      </c>
      <c r="C2" s="35"/>
      <c r="D2" s="39" t="s">
        <v>66</v>
      </c>
      <c r="E2" s="35" t="s">
        <v>83</v>
      </c>
      <c r="F2" s="43">
        <v>16.0</v>
      </c>
      <c r="G2" s="44">
        <v>426.0</v>
      </c>
      <c r="H2" s="53">
        <f t="shared" ref="H2:H904" si="1">F2*G2</f>
        <v>6816</v>
      </c>
      <c r="I2" s="56" t="s">
        <v>36</v>
      </c>
      <c r="J2" s="57">
        <v>0.01</v>
      </c>
      <c r="K2" s="60">
        <f t="shared" ref="K2:K904" si="2">H2*J2</f>
        <v>68.16</v>
      </c>
      <c r="L2" s="64" t="s">
        <v>26</v>
      </c>
    </row>
    <row r="3" ht="15.75" hidden="1" customHeight="1">
      <c r="A3" s="9"/>
      <c r="B3" s="81">
        <v>46383.0</v>
      </c>
      <c r="C3" s="39"/>
      <c r="D3" s="39" t="s">
        <v>66</v>
      </c>
      <c r="E3" s="35" t="s">
        <v>84</v>
      </c>
      <c r="F3" s="43">
        <v>14.5</v>
      </c>
      <c r="G3" s="44">
        <v>220.0</v>
      </c>
      <c r="H3" s="53">
        <f t="shared" si="1"/>
        <v>3190</v>
      </c>
      <c r="I3" s="56" t="s">
        <v>36</v>
      </c>
      <c r="J3" s="57">
        <v>0.01</v>
      </c>
      <c r="K3" s="60">
        <f t="shared" si="2"/>
        <v>31.9</v>
      </c>
      <c r="L3" s="64" t="s">
        <v>26</v>
      </c>
    </row>
    <row r="4" ht="15.75" hidden="1" customHeight="1">
      <c r="A4" s="9"/>
      <c r="B4" s="67">
        <v>46027.0</v>
      </c>
      <c r="C4" s="39" t="s">
        <v>85</v>
      </c>
      <c r="D4" s="39" t="s">
        <v>27</v>
      </c>
      <c r="E4" s="35" t="s">
        <v>32</v>
      </c>
      <c r="F4" s="43">
        <v>27.9</v>
      </c>
      <c r="G4" s="44">
        <v>84.46</v>
      </c>
      <c r="H4" s="53">
        <f t="shared" si="1"/>
        <v>2356.434</v>
      </c>
      <c r="I4" s="56" t="s">
        <v>36</v>
      </c>
      <c r="J4" s="57">
        <v>0.01</v>
      </c>
      <c r="K4" s="60">
        <f t="shared" si="2"/>
        <v>23.56434</v>
      </c>
      <c r="L4" s="64" t="s">
        <v>46</v>
      </c>
    </row>
    <row r="5" ht="15.75" hidden="1" customHeight="1">
      <c r="A5" s="9"/>
      <c r="B5" s="67">
        <v>46035.0</v>
      </c>
      <c r="C5" s="39" t="s">
        <v>85</v>
      </c>
      <c r="D5" s="39" t="s">
        <v>86</v>
      </c>
      <c r="E5" s="35" t="s">
        <v>32</v>
      </c>
      <c r="F5" s="43">
        <v>27.9</v>
      </c>
      <c r="G5" s="44">
        <v>340.0</v>
      </c>
      <c r="H5" s="53">
        <f t="shared" si="1"/>
        <v>9486</v>
      </c>
      <c r="I5" s="56" t="s">
        <v>36</v>
      </c>
      <c r="J5" s="57">
        <v>0.01</v>
      </c>
      <c r="K5" s="60">
        <f t="shared" si="2"/>
        <v>94.86</v>
      </c>
      <c r="L5" s="64" t="s">
        <v>46</v>
      </c>
    </row>
    <row r="6" ht="15.75" hidden="1" customHeight="1">
      <c r="A6" s="9"/>
      <c r="B6" s="67">
        <v>46029.0</v>
      </c>
      <c r="C6" s="39">
        <v>2006.0</v>
      </c>
      <c r="D6" s="39" t="s">
        <v>54</v>
      </c>
      <c r="E6" s="35" t="s">
        <v>83</v>
      </c>
      <c r="F6" s="43">
        <v>16.0</v>
      </c>
      <c r="G6" s="44">
        <v>240.0</v>
      </c>
      <c r="H6" s="53">
        <f t="shared" si="1"/>
        <v>3840</v>
      </c>
      <c r="I6" s="56" t="s">
        <v>36</v>
      </c>
      <c r="J6" s="57">
        <v>0.02</v>
      </c>
      <c r="K6" s="60">
        <f t="shared" si="2"/>
        <v>76.8</v>
      </c>
      <c r="L6" s="64" t="s">
        <v>46</v>
      </c>
    </row>
    <row r="7" ht="15.75" hidden="1" customHeight="1">
      <c r="A7" s="9"/>
      <c r="B7" s="67">
        <v>46044.0</v>
      </c>
      <c r="C7" s="181"/>
      <c r="D7" s="39" t="s">
        <v>86</v>
      </c>
      <c r="E7" s="35" t="s">
        <v>32</v>
      </c>
      <c r="F7" s="43">
        <v>27.9</v>
      </c>
      <c r="G7" s="44">
        <v>1087.1</v>
      </c>
      <c r="H7" s="53">
        <f t="shared" si="1"/>
        <v>30330.09</v>
      </c>
      <c r="I7" s="56" t="s">
        <v>36</v>
      </c>
      <c r="J7" s="57">
        <v>0.01</v>
      </c>
      <c r="K7" s="60">
        <f t="shared" si="2"/>
        <v>303.3009</v>
      </c>
      <c r="L7" s="64" t="s">
        <v>26</v>
      </c>
    </row>
    <row r="8" ht="15.75" hidden="1" customHeight="1">
      <c r="A8" s="9"/>
      <c r="B8" s="67">
        <v>46113.0</v>
      </c>
      <c r="C8" s="39">
        <v>5.0</v>
      </c>
      <c r="D8" s="39" t="s">
        <v>30</v>
      </c>
      <c r="E8" s="35" t="s">
        <v>32</v>
      </c>
      <c r="F8" s="43">
        <v>27.9</v>
      </c>
      <c r="G8" s="44">
        <v>364.49</v>
      </c>
      <c r="H8" s="53">
        <f t="shared" si="1"/>
        <v>10169.271</v>
      </c>
      <c r="I8" s="56" t="s">
        <v>36</v>
      </c>
      <c r="J8" s="57">
        <v>0.02</v>
      </c>
      <c r="K8" s="60">
        <f t="shared" si="2"/>
        <v>203.38542</v>
      </c>
      <c r="L8" s="64" t="s">
        <v>64</v>
      </c>
    </row>
    <row r="9" ht="15.75" hidden="1" customHeight="1">
      <c r="A9" s="9"/>
      <c r="B9" s="182">
        <v>46120.0</v>
      </c>
      <c r="C9" s="181"/>
      <c r="D9" s="39" t="s">
        <v>30</v>
      </c>
      <c r="E9" s="35" t="s">
        <v>32</v>
      </c>
      <c r="F9" s="43">
        <v>28.9</v>
      </c>
      <c r="G9" s="44">
        <v>215.43</v>
      </c>
      <c r="H9" s="53">
        <f t="shared" si="1"/>
        <v>6225.927</v>
      </c>
      <c r="I9" s="56" t="s">
        <v>36</v>
      </c>
      <c r="J9" s="57">
        <v>0.02</v>
      </c>
      <c r="K9" s="60">
        <f t="shared" si="2"/>
        <v>124.51854</v>
      </c>
      <c r="L9" s="64" t="s">
        <v>64</v>
      </c>
    </row>
    <row r="10" ht="15.75" hidden="1" customHeight="1">
      <c r="A10" s="9"/>
      <c r="B10" s="67">
        <v>46121.0</v>
      </c>
      <c r="C10" s="181"/>
      <c r="D10" s="39" t="s">
        <v>59</v>
      </c>
      <c r="E10" s="35" t="s">
        <v>32</v>
      </c>
      <c r="F10" s="43">
        <v>29.9</v>
      </c>
      <c r="G10" s="44">
        <v>116.87</v>
      </c>
      <c r="H10" s="53">
        <f t="shared" si="1"/>
        <v>3494.413</v>
      </c>
      <c r="I10" s="56" t="s">
        <v>36</v>
      </c>
      <c r="J10" s="57">
        <v>0.02</v>
      </c>
      <c r="K10" s="60">
        <f t="shared" si="2"/>
        <v>69.88826</v>
      </c>
      <c r="L10" s="64" t="s">
        <v>67</v>
      </c>
    </row>
    <row r="11" ht="15.75" hidden="1" customHeight="1">
      <c r="A11" s="9"/>
      <c r="B11" s="105">
        <v>46125.0</v>
      </c>
      <c r="C11" s="110"/>
      <c r="D11" s="39" t="s">
        <v>59</v>
      </c>
      <c r="E11" s="35" t="s">
        <v>32</v>
      </c>
      <c r="F11" s="43">
        <v>29.9</v>
      </c>
      <c r="G11" s="106">
        <v>170.0</v>
      </c>
      <c r="H11" s="53">
        <f t="shared" si="1"/>
        <v>5083</v>
      </c>
      <c r="I11" s="56" t="s">
        <v>36</v>
      </c>
      <c r="J11" s="57">
        <v>0.02</v>
      </c>
      <c r="K11" s="60">
        <f t="shared" si="2"/>
        <v>101.66</v>
      </c>
      <c r="L11" s="64" t="s">
        <v>67</v>
      </c>
    </row>
    <row r="12" ht="15.75" hidden="1" customHeight="1">
      <c r="A12" s="9"/>
      <c r="B12" s="105">
        <v>46139.0</v>
      </c>
      <c r="C12" s="110"/>
      <c r="D12" s="56" t="s">
        <v>30</v>
      </c>
      <c r="E12" s="35" t="s">
        <v>32</v>
      </c>
      <c r="F12" s="108">
        <v>29.8</v>
      </c>
      <c r="G12" s="106">
        <v>53.24</v>
      </c>
      <c r="H12" s="53">
        <f t="shared" si="1"/>
        <v>1586.552</v>
      </c>
      <c r="I12" s="56" t="s">
        <v>36</v>
      </c>
      <c r="J12" s="57">
        <v>0.02</v>
      </c>
      <c r="K12" s="60">
        <f t="shared" si="2"/>
        <v>31.73104</v>
      </c>
      <c r="L12" s="64" t="s">
        <v>64</v>
      </c>
    </row>
    <row r="13" ht="15.75" customHeight="1">
      <c r="A13" s="9"/>
      <c r="B13" s="105">
        <v>46161.0</v>
      </c>
      <c r="C13" s="110"/>
      <c r="D13" s="56" t="s">
        <v>59</v>
      </c>
      <c r="E13" s="35" t="s">
        <v>32</v>
      </c>
      <c r="F13" s="108">
        <v>29.9</v>
      </c>
      <c r="G13" s="106">
        <v>437.35</v>
      </c>
      <c r="H13" s="53">
        <f t="shared" si="1"/>
        <v>13076.765</v>
      </c>
      <c r="I13" s="56" t="s">
        <v>68</v>
      </c>
      <c r="J13" s="57">
        <v>0.02</v>
      </c>
      <c r="K13" s="60">
        <f t="shared" si="2"/>
        <v>261.5353</v>
      </c>
      <c r="L13" s="64"/>
    </row>
    <row r="14" ht="15.75" hidden="1" customHeight="1">
      <c r="A14" s="9"/>
      <c r="B14" s="105">
        <v>46168.0</v>
      </c>
      <c r="C14" s="110"/>
      <c r="D14" s="56" t="s">
        <v>30</v>
      </c>
      <c r="E14" s="35" t="s">
        <v>32</v>
      </c>
      <c r="F14" s="108">
        <v>29.9</v>
      </c>
      <c r="G14" s="106">
        <v>327.79</v>
      </c>
      <c r="H14" s="53">
        <f t="shared" si="1"/>
        <v>9800.921</v>
      </c>
      <c r="I14" s="56" t="s">
        <v>36</v>
      </c>
      <c r="J14" s="57">
        <v>0.02</v>
      </c>
      <c r="K14" s="60">
        <f t="shared" si="2"/>
        <v>196.01842</v>
      </c>
      <c r="L14" s="64" t="s">
        <v>67</v>
      </c>
    </row>
    <row r="15" ht="15.75" hidden="1" customHeight="1">
      <c r="A15" s="9"/>
      <c r="B15" s="105">
        <v>46181.0</v>
      </c>
      <c r="C15" s="110"/>
      <c r="D15" s="56" t="s">
        <v>29</v>
      </c>
      <c r="E15" s="35" t="s">
        <v>32</v>
      </c>
      <c r="F15" s="108">
        <v>29.8</v>
      </c>
      <c r="G15" s="106">
        <v>525.81</v>
      </c>
      <c r="H15" s="53">
        <f t="shared" si="1"/>
        <v>15669.138</v>
      </c>
      <c r="I15" s="56" t="s">
        <v>36</v>
      </c>
      <c r="J15" s="57">
        <v>0.02</v>
      </c>
      <c r="K15" s="60">
        <f t="shared" si="2"/>
        <v>313.38276</v>
      </c>
      <c r="L15" s="64" t="s">
        <v>31</v>
      </c>
    </row>
    <row r="16" ht="15.75" hidden="1" customHeight="1">
      <c r="A16" s="9"/>
      <c r="B16" s="105">
        <v>46181.0</v>
      </c>
      <c r="C16" s="110"/>
      <c r="D16" s="56" t="s">
        <v>30</v>
      </c>
      <c r="E16" s="35" t="s">
        <v>32</v>
      </c>
      <c r="F16" s="108">
        <v>29.8</v>
      </c>
      <c r="G16" s="106">
        <v>380.53</v>
      </c>
      <c r="H16" s="53">
        <f t="shared" si="1"/>
        <v>11339.794</v>
      </c>
      <c r="I16" s="56" t="s">
        <v>36</v>
      </c>
      <c r="J16" s="57">
        <v>0.02</v>
      </c>
      <c r="K16" s="60">
        <f t="shared" si="2"/>
        <v>226.79588</v>
      </c>
      <c r="L16" s="64" t="s">
        <v>31</v>
      </c>
    </row>
    <row r="17" ht="15.75" hidden="1" customHeight="1">
      <c r="A17" s="9"/>
      <c r="B17" s="105">
        <v>46185.0</v>
      </c>
      <c r="C17" s="110"/>
      <c r="D17" s="56" t="s">
        <v>29</v>
      </c>
      <c r="E17" s="35" t="s">
        <v>32</v>
      </c>
      <c r="F17" s="108">
        <v>29.8</v>
      </c>
      <c r="G17" s="106">
        <v>526.59</v>
      </c>
      <c r="H17" s="53">
        <f t="shared" si="1"/>
        <v>15692.382</v>
      </c>
      <c r="I17" s="56" t="s">
        <v>36</v>
      </c>
      <c r="J17" s="57">
        <v>0.02</v>
      </c>
      <c r="K17" s="60">
        <f t="shared" si="2"/>
        <v>313.84764</v>
      </c>
      <c r="L17" s="64" t="s">
        <v>67</v>
      </c>
    </row>
    <row r="18" ht="15.75" hidden="1" customHeight="1">
      <c r="A18" s="9"/>
      <c r="B18" s="105">
        <v>46189.0</v>
      </c>
      <c r="C18" s="110"/>
      <c r="D18" s="56" t="s">
        <v>66</v>
      </c>
      <c r="E18" s="35" t="s">
        <v>32</v>
      </c>
      <c r="F18" s="108">
        <v>29.9</v>
      </c>
      <c r="G18" s="106">
        <v>630.69</v>
      </c>
      <c r="H18" s="53">
        <f t="shared" si="1"/>
        <v>18857.631</v>
      </c>
      <c r="I18" s="56" t="s">
        <v>36</v>
      </c>
      <c r="J18" s="57">
        <v>0.02</v>
      </c>
      <c r="K18" s="60">
        <f t="shared" si="2"/>
        <v>377.15262</v>
      </c>
      <c r="L18" s="64" t="s">
        <v>70</v>
      </c>
    </row>
    <row r="19" ht="15.75" customHeight="1">
      <c r="A19" s="9"/>
      <c r="B19" s="105">
        <v>46190.0</v>
      </c>
      <c r="C19" s="110"/>
      <c r="D19" s="56" t="s">
        <v>59</v>
      </c>
      <c r="E19" s="35" t="s">
        <v>32</v>
      </c>
      <c r="F19" s="108">
        <v>29.9</v>
      </c>
      <c r="G19" s="106">
        <v>379.5</v>
      </c>
      <c r="H19" s="53">
        <f t="shared" si="1"/>
        <v>11347.05</v>
      </c>
      <c r="I19" s="56" t="s">
        <v>68</v>
      </c>
      <c r="J19" s="57">
        <v>0.02</v>
      </c>
      <c r="K19" s="60">
        <f t="shared" si="2"/>
        <v>226.941</v>
      </c>
      <c r="L19" s="64"/>
    </row>
    <row r="20" ht="15.75" hidden="1" customHeight="1">
      <c r="A20" s="9"/>
      <c r="B20" s="105">
        <v>46191.0</v>
      </c>
      <c r="C20" s="110"/>
      <c r="D20" s="56" t="s">
        <v>29</v>
      </c>
      <c r="E20" s="35" t="s">
        <v>32</v>
      </c>
      <c r="F20" s="108">
        <v>29.8</v>
      </c>
      <c r="G20" s="106">
        <v>526.56</v>
      </c>
      <c r="H20" s="53">
        <f t="shared" si="1"/>
        <v>15691.488</v>
      </c>
      <c r="I20" s="56" t="s">
        <v>36</v>
      </c>
      <c r="J20" s="57">
        <v>0.02</v>
      </c>
      <c r="K20" s="60">
        <f t="shared" si="2"/>
        <v>313.82976</v>
      </c>
      <c r="L20" s="64" t="s">
        <v>31</v>
      </c>
    </row>
    <row r="21" ht="15.75" hidden="1" customHeight="1">
      <c r="A21" s="9"/>
      <c r="B21" s="105">
        <v>46210.0</v>
      </c>
      <c r="C21" s="110"/>
      <c r="D21" s="56" t="s">
        <v>30</v>
      </c>
      <c r="E21" s="35" t="s">
        <v>32</v>
      </c>
      <c r="F21" s="108">
        <v>29.9</v>
      </c>
      <c r="G21" s="106">
        <v>310.33</v>
      </c>
      <c r="H21" s="53">
        <f t="shared" si="1"/>
        <v>9278.867</v>
      </c>
      <c r="I21" s="56" t="s">
        <v>36</v>
      </c>
      <c r="J21" s="57">
        <v>0.02</v>
      </c>
      <c r="K21" s="60">
        <f t="shared" si="2"/>
        <v>185.57734</v>
      </c>
      <c r="L21" s="64" t="s">
        <v>70</v>
      </c>
    </row>
    <row r="22" ht="15.75" hidden="1" customHeight="1">
      <c r="A22" s="9"/>
      <c r="B22" s="67">
        <v>46211.0</v>
      </c>
      <c r="C22" s="111"/>
      <c r="D22" s="56" t="s">
        <v>30</v>
      </c>
      <c r="E22" s="35" t="s">
        <v>32</v>
      </c>
      <c r="F22" s="183">
        <v>29.9</v>
      </c>
      <c r="G22" s="184">
        <v>35.66</v>
      </c>
      <c r="H22" s="53">
        <f t="shared" si="1"/>
        <v>1066.234</v>
      </c>
      <c r="I22" s="56" t="s">
        <v>36</v>
      </c>
      <c r="J22" s="185">
        <v>0.02</v>
      </c>
      <c r="K22" s="60">
        <f t="shared" si="2"/>
        <v>21.32468</v>
      </c>
      <c r="L22" s="64" t="s">
        <v>70</v>
      </c>
    </row>
    <row r="23" ht="15.75" customHeight="1">
      <c r="A23" s="9"/>
      <c r="B23" s="67">
        <v>46216.0</v>
      </c>
      <c r="C23" s="111"/>
      <c r="D23" s="35" t="s">
        <v>59</v>
      </c>
      <c r="E23" s="35" t="s">
        <v>32</v>
      </c>
      <c r="F23" s="183">
        <v>29.9</v>
      </c>
      <c r="G23" s="184">
        <v>368.16</v>
      </c>
      <c r="H23" s="53">
        <f t="shared" si="1"/>
        <v>11007.984</v>
      </c>
      <c r="I23" s="56" t="s">
        <v>68</v>
      </c>
      <c r="J23" s="185">
        <v>0.02</v>
      </c>
      <c r="K23" s="60">
        <f t="shared" si="2"/>
        <v>220.15968</v>
      </c>
      <c r="L23" s="117"/>
    </row>
    <row r="24" ht="15.75" hidden="1" customHeight="1">
      <c r="A24" s="9"/>
      <c r="B24" s="67">
        <v>6693637.0</v>
      </c>
      <c r="C24" s="111"/>
      <c r="D24" s="35" t="s">
        <v>30</v>
      </c>
      <c r="E24" s="35" t="s">
        <v>32</v>
      </c>
      <c r="F24" s="183">
        <v>29.9</v>
      </c>
      <c r="G24" s="184">
        <v>375.19</v>
      </c>
      <c r="H24" s="53">
        <f t="shared" si="1"/>
        <v>11218.181</v>
      </c>
      <c r="I24" s="56" t="s">
        <v>36</v>
      </c>
      <c r="J24" s="185">
        <v>0.02</v>
      </c>
      <c r="K24" s="60">
        <f t="shared" si="2"/>
        <v>224.36362</v>
      </c>
      <c r="L24" s="64" t="s">
        <v>70</v>
      </c>
    </row>
    <row r="25" ht="15.75" customHeight="1">
      <c r="A25" s="9"/>
      <c r="B25" s="81">
        <v>46213.0</v>
      </c>
      <c r="C25" s="111"/>
      <c r="D25" s="35" t="s">
        <v>87</v>
      </c>
      <c r="E25" s="35" t="s">
        <v>87</v>
      </c>
      <c r="F25" s="183">
        <v>41.9</v>
      </c>
      <c r="G25" s="184">
        <v>300.0</v>
      </c>
      <c r="H25" s="53">
        <f t="shared" si="1"/>
        <v>12570</v>
      </c>
      <c r="I25" s="56" t="s">
        <v>68</v>
      </c>
      <c r="J25" s="185">
        <v>0.01</v>
      </c>
      <c r="K25" s="60">
        <f t="shared" si="2"/>
        <v>125.7</v>
      </c>
      <c r="L25" s="117"/>
    </row>
    <row r="26" ht="15.75" hidden="1" customHeight="1">
      <c r="A26" s="9"/>
      <c r="B26" s="67">
        <v>46233.0</v>
      </c>
      <c r="C26" s="111"/>
      <c r="D26" s="35" t="s">
        <v>29</v>
      </c>
      <c r="E26" s="35" t="s">
        <v>32</v>
      </c>
      <c r="F26" s="183">
        <v>29.9</v>
      </c>
      <c r="G26" s="184">
        <v>105.82</v>
      </c>
      <c r="H26" s="53">
        <f t="shared" si="1"/>
        <v>3164.018</v>
      </c>
      <c r="I26" s="56" t="s">
        <v>36</v>
      </c>
      <c r="J26" s="185">
        <v>0.02</v>
      </c>
      <c r="K26" s="60">
        <f t="shared" si="2"/>
        <v>63.28036</v>
      </c>
      <c r="L26" s="64" t="s">
        <v>70</v>
      </c>
    </row>
    <row r="27" ht="15.75" customHeight="1">
      <c r="A27" s="9"/>
      <c r="B27" s="67">
        <v>46233.0</v>
      </c>
      <c r="C27" s="111"/>
      <c r="D27" s="35" t="s">
        <v>88</v>
      </c>
      <c r="E27" s="35" t="s">
        <v>32</v>
      </c>
      <c r="F27" s="183">
        <v>29.9</v>
      </c>
      <c r="G27" s="184">
        <v>35.7</v>
      </c>
      <c r="H27" s="53">
        <f t="shared" si="1"/>
        <v>1067.43</v>
      </c>
      <c r="I27" s="56" t="s">
        <v>68</v>
      </c>
      <c r="J27" s="185">
        <v>0.02</v>
      </c>
      <c r="K27" s="60">
        <f t="shared" si="2"/>
        <v>21.3486</v>
      </c>
      <c r="L27" s="64" t="s">
        <v>40</v>
      </c>
    </row>
    <row r="28" ht="15.75" customHeight="1">
      <c r="A28" s="9"/>
      <c r="B28" s="67">
        <v>46233.0</v>
      </c>
      <c r="C28" s="111"/>
      <c r="D28" s="35" t="s">
        <v>88</v>
      </c>
      <c r="E28" s="35" t="s">
        <v>32</v>
      </c>
      <c r="F28" s="183">
        <v>54.9</v>
      </c>
      <c r="G28" s="184">
        <v>14.09</v>
      </c>
      <c r="H28" s="53">
        <f t="shared" si="1"/>
        <v>773.541</v>
      </c>
      <c r="I28" s="56" t="s">
        <v>68</v>
      </c>
      <c r="J28" s="185">
        <v>0.02</v>
      </c>
      <c r="K28" s="60">
        <f t="shared" si="2"/>
        <v>15.47082</v>
      </c>
      <c r="L28" s="64" t="s">
        <v>40</v>
      </c>
    </row>
    <row r="29" ht="15.75" customHeight="1">
      <c r="A29" s="9"/>
      <c r="B29" s="67">
        <v>46235.0</v>
      </c>
      <c r="C29" s="111"/>
      <c r="D29" s="35" t="s">
        <v>59</v>
      </c>
      <c r="E29" s="35" t="s">
        <v>32</v>
      </c>
      <c r="F29" s="183">
        <v>29.9</v>
      </c>
      <c r="G29" s="184">
        <v>348.38</v>
      </c>
      <c r="H29" s="53">
        <f t="shared" si="1"/>
        <v>10416.562</v>
      </c>
      <c r="I29" s="56" t="s">
        <v>68</v>
      </c>
      <c r="J29" s="185">
        <v>0.02</v>
      </c>
      <c r="K29" s="60">
        <f t="shared" si="2"/>
        <v>208.33124</v>
      </c>
      <c r="L29" s="117"/>
    </row>
    <row r="30" ht="15.75" customHeight="1">
      <c r="A30" s="9"/>
      <c r="B30" s="67">
        <v>46238.0</v>
      </c>
      <c r="C30" s="111"/>
      <c r="D30" s="35" t="s">
        <v>30</v>
      </c>
      <c r="E30" s="35" t="s">
        <v>32</v>
      </c>
      <c r="F30" s="183">
        <v>29.9</v>
      </c>
      <c r="G30" s="184">
        <v>54.63</v>
      </c>
      <c r="H30" s="53">
        <f t="shared" si="1"/>
        <v>1633.437</v>
      </c>
      <c r="I30" s="56" t="s">
        <v>68</v>
      </c>
      <c r="J30" s="185">
        <v>0.02</v>
      </c>
      <c r="K30" s="60">
        <f t="shared" si="2"/>
        <v>32.66874</v>
      </c>
      <c r="L30" s="64" t="s">
        <v>40</v>
      </c>
    </row>
    <row r="31" ht="15.75" customHeight="1">
      <c r="A31" s="9"/>
      <c r="B31" s="130"/>
      <c r="C31" s="111"/>
      <c r="D31" s="111"/>
      <c r="E31" s="111"/>
      <c r="F31" s="53"/>
      <c r="G31" s="134"/>
      <c r="H31" s="53">
        <f t="shared" si="1"/>
        <v>0</v>
      </c>
      <c r="I31" s="115"/>
      <c r="J31" s="136"/>
      <c r="K31" s="60">
        <f t="shared" si="2"/>
        <v>0</v>
      </c>
      <c r="L31" s="117"/>
    </row>
    <row r="32" ht="15.75" customHeight="1">
      <c r="A32" s="9"/>
      <c r="B32" s="130"/>
      <c r="C32" s="111"/>
      <c r="D32" s="111"/>
      <c r="E32" s="111"/>
      <c r="F32" s="53"/>
      <c r="G32" s="134"/>
      <c r="H32" s="53">
        <f t="shared" si="1"/>
        <v>0</v>
      </c>
      <c r="I32" s="115"/>
      <c r="J32" s="136"/>
      <c r="K32" s="60">
        <f t="shared" si="2"/>
        <v>0</v>
      </c>
      <c r="L32" s="117"/>
    </row>
    <row r="33" ht="15.75" customHeight="1">
      <c r="A33" s="9"/>
      <c r="B33" s="130"/>
      <c r="C33" s="111"/>
      <c r="D33" s="111"/>
      <c r="E33" s="111"/>
      <c r="F33" s="53"/>
      <c r="G33" s="134"/>
      <c r="H33" s="53">
        <f t="shared" si="1"/>
        <v>0</v>
      </c>
      <c r="I33" s="115"/>
      <c r="J33" s="136"/>
      <c r="K33" s="60">
        <f t="shared" si="2"/>
        <v>0</v>
      </c>
      <c r="L33" s="117"/>
    </row>
    <row r="34" ht="15.75" customHeight="1">
      <c r="A34" s="9"/>
      <c r="B34" s="130"/>
      <c r="C34" s="111"/>
      <c r="D34" s="111"/>
      <c r="E34" s="111"/>
      <c r="F34" s="53"/>
      <c r="G34" s="134"/>
      <c r="H34" s="53">
        <f t="shared" si="1"/>
        <v>0</v>
      </c>
      <c r="I34" s="115"/>
      <c r="J34" s="136"/>
      <c r="K34" s="60">
        <f t="shared" si="2"/>
        <v>0</v>
      </c>
      <c r="L34" s="117"/>
    </row>
    <row r="35" ht="15.75" customHeight="1">
      <c r="A35" s="9"/>
      <c r="B35" s="130"/>
      <c r="C35" s="111"/>
      <c r="D35" s="111"/>
      <c r="E35" s="111"/>
      <c r="F35" s="53"/>
      <c r="G35" s="134"/>
      <c r="H35" s="53">
        <f t="shared" si="1"/>
        <v>0</v>
      </c>
      <c r="I35" s="115"/>
      <c r="J35" s="136"/>
      <c r="K35" s="60">
        <f t="shared" si="2"/>
        <v>0</v>
      </c>
      <c r="L35" s="117"/>
    </row>
    <row r="36" ht="15.75" customHeight="1">
      <c r="A36" s="9"/>
      <c r="B36" s="130"/>
      <c r="C36" s="111"/>
      <c r="D36" s="111"/>
      <c r="E36" s="111"/>
      <c r="F36" s="53"/>
      <c r="G36" s="134"/>
      <c r="H36" s="53">
        <f t="shared" si="1"/>
        <v>0</v>
      </c>
      <c r="I36" s="115"/>
      <c r="J36" s="136"/>
      <c r="K36" s="60">
        <f t="shared" si="2"/>
        <v>0</v>
      </c>
      <c r="L36" s="117"/>
    </row>
    <row r="37" ht="15.75" customHeight="1">
      <c r="A37" s="9"/>
      <c r="B37" s="130"/>
      <c r="C37" s="111"/>
      <c r="D37" s="111"/>
      <c r="E37" s="111"/>
      <c r="F37" s="53"/>
      <c r="G37" s="134"/>
      <c r="H37" s="53">
        <f t="shared" si="1"/>
        <v>0</v>
      </c>
      <c r="I37" s="115"/>
      <c r="J37" s="136"/>
      <c r="K37" s="60">
        <f t="shared" si="2"/>
        <v>0</v>
      </c>
      <c r="L37" s="117"/>
    </row>
    <row r="38" ht="15.75" customHeight="1">
      <c r="A38" s="9"/>
      <c r="B38" s="155"/>
      <c r="C38" s="111"/>
      <c r="D38" s="111"/>
      <c r="E38" s="111"/>
      <c r="F38" s="53"/>
      <c r="G38" s="134"/>
      <c r="H38" s="53">
        <f t="shared" si="1"/>
        <v>0</v>
      </c>
      <c r="I38" s="115"/>
      <c r="J38" s="136"/>
      <c r="K38" s="60">
        <f t="shared" si="2"/>
        <v>0</v>
      </c>
      <c r="L38" s="117"/>
    </row>
    <row r="39" ht="15.75" customHeight="1">
      <c r="A39" s="9" t="s">
        <v>37</v>
      </c>
      <c r="B39" s="109"/>
      <c r="C39" s="110"/>
      <c r="D39" s="110"/>
      <c r="E39" s="111"/>
      <c r="F39" s="112"/>
      <c r="G39" s="113"/>
      <c r="H39" s="53">
        <f t="shared" si="1"/>
        <v>0</v>
      </c>
      <c r="I39" s="115"/>
      <c r="J39" s="115"/>
      <c r="K39" s="60">
        <f t="shared" si="2"/>
        <v>0</v>
      </c>
      <c r="L39" s="117"/>
    </row>
    <row r="40" ht="15.75" customHeight="1">
      <c r="A40" s="9"/>
      <c r="B40" s="109"/>
      <c r="C40" s="110"/>
      <c r="D40" s="110"/>
      <c r="E40" s="111"/>
      <c r="F40" s="112"/>
      <c r="G40" s="113"/>
      <c r="H40" s="53">
        <f t="shared" si="1"/>
        <v>0</v>
      </c>
      <c r="I40" s="115"/>
      <c r="J40" s="115"/>
      <c r="K40" s="60">
        <f t="shared" si="2"/>
        <v>0</v>
      </c>
      <c r="L40" s="117"/>
    </row>
    <row r="41" ht="15.75" customHeight="1">
      <c r="A41" s="9"/>
      <c r="B41" s="109"/>
      <c r="C41" s="110"/>
      <c r="D41" s="110"/>
      <c r="E41" s="111"/>
      <c r="F41" s="112"/>
      <c r="G41" s="113"/>
      <c r="H41" s="53">
        <f t="shared" si="1"/>
        <v>0</v>
      </c>
      <c r="I41" s="115"/>
      <c r="J41" s="115"/>
      <c r="K41" s="60">
        <f t="shared" si="2"/>
        <v>0</v>
      </c>
      <c r="L41" s="117"/>
    </row>
    <row r="42" ht="15.75" customHeight="1">
      <c r="A42" s="9">
        <v>2025.0</v>
      </c>
      <c r="B42" s="109"/>
      <c r="C42" s="110"/>
      <c r="D42" s="110"/>
      <c r="E42" s="111"/>
      <c r="F42" s="112"/>
      <c r="G42" s="113"/>
      <c r="H42" s="53">
        <f t="shared" si="1"/>
        <v>0</v>
      </c>
      <c r="I42" s="115"/>
      <c r="J42" s="115"/>
      <c r="K42" s="60">
        <f t="shared" si="2"/>
        <v>0</v>
      </c>
      <c r="L42" s="117"/>
    </row>
    <row r="43" ht="15.75" customHeight="1">
      <c r="A43" s="9"/>
      <c r="B43" s="109"/>
      <c r="C43" s="110"/>
      <c r="D43" s="110"/>
      <c r="E43" s="111"/>
      <c r="F43" s="112"/>
      <c r="G43" s="113"/>
      <c r="H43" s="53">
        <f t="shared" si="1"/>
        <v>0</v>
      </c>
      <c r="I43" s="115"/>
      <c r="J43" s="115"/>
      <c r="K43" s="60">
        <f t="shared" si="2"/>
        <v>0</v>
      </c>
      <c r="L43" s="117"/>
    </row>
    <row r="44" ht="15.75" customHeight="1">
      <c r="A44" s="9"/>
      <c r="B44" s="163"/>
      <c r="C44" s="110"/>
      <c r="D44" s="110"/>
      <c r="E44" s="111"/>
      <c r="F44" s="112"/>
      <c r="G44" s="113"/>
      <c r="H44" s="53">
        <f t="shared" si="1"/>
        <v>0</v>
      </c>
      <c r="I44" s="115"/>
      <c r="J44" s="115"/>
      <c r="K44" s="60">
        <f t="shared" si="2"/>
        <v>0</v>
      </c>
      <c r="L44" s="117"/>
    </row>
    <row r="45" ht="15.75" customHeight="1">
      <c r="A45" s="9"/>
      <c r="B45" s="164"/>
      <c r="C45" s="110"/>
      <c r="D45" s="110"/>
      <c r="E45" s="111"/>
      <c r="F45" s="112"/>
      <c r="G45" s="113"/>
      <c r="H45" s="53">
        <f t="shared" si="1"/>
        <v>0</v>
      </c>
      <c r="I45" s="115"/>
      <c r="J45" s="115"/>
      <c r="K45" s="60">
        <f t="shared" si="2"/>
        <v>0</v>
      </c>
      <c r="L45" s="117"/>
    </row>
    <row r="46" ht="15.75" customHeight="1">
      <c r="A46" s="9"/>
      <c r="B46" s="164"/>
      <c r="C46" s="110"/>
      <c r="D46" s="110"/>
      <c r="E46" s="111"/>
      <c r="F46" s="112"/>
      <c r="G46" s="113"/>
      <c r="H46" s="53">
        <f t="shared" si="1"/>
        <v>0</v>
      </c>
      <c r="I46" s="115"/>
      <c r="J46" s="115"/>
      <c r="K46" s="60">
        <f t="shared" si="2"/>
        <v>0</v>
      </c>
      <c r="L46" s="117"/>
    </row>
    <row r="47" ht="15.75" customHeight="1">
      <c r="A47" s="9"/>
      <c r="B47" s="164"/>
      <c r="C47" s="110"/>
      <c r="D47" s="110"/>
      <c r="E47" s="111"/>
      <c r="F47" s="112"/>
      <c r="G47" s="113"/>
      <c r="H47" s="53">
        <f t="shared" si="1"/>
        <v>0</v>
      </c>
      <c r="I47" s="115"/>
      <c r="J47" s="115"/>
      <c r="K47" s="60">
        <f t="shared" si="2"/>
        <v>0</v>
      </c>
      <c r="L47" s="117"/>
    </row>
    <row r="48" ht="15.75" customHeight="1">
      <c r="A48" s="9"/>
      <c r="B48" s="164"/>
      <c r="C48" s="110"/>
      <c r="D48" s="110"/>
      <c r="E48" s="111"/>
      <c r="F48" s="112"/>
      <c r="G48" s="113"/>
      <c r="H48" s="53">
        <f t="shared" si="1"/>
        <v>0</v>
      </c>
      <c r="I48" s="115"/>
      <c r="J48" s="115"/>
      <c r="K48" s="60">
        <f t="shared" si="2"/>
        <v>0</v>
      </c>
      <c r="L48" s="117"/>
    </row>
    <row r="49" ht="15.75" customHeight="1">
      <c r="A49" s="9"/>
      <c r="B49" s="164"/>
      <c r="C49" s="110"/>
      <c r="D49" s="110"/>
      <c r="E49" s="111"/>
      <c r="F49" s="112"/>
      <c r="G49" s="113"/>
      <c r="H49" s="53">
        <f t="shared" si="1"/>
        <v>0</v>
      </c>
      <c r="I49" s="115"/>
      <c r="J49" s="115"/>
      <c r="K49" s="60">
        <f t="shared" si="2"/>
        <v>0</v>
      </c>
      <c r="L49" s="117"/>
    </row>
    <row r="50" ht="15.75" customHeight="1">
      <c r="A50" s="9"/>
      <c r="B50" s="164"/>
      <c r="C50" s="110"/>
      <c r="D50" s="110"/>
      <c r="E50" s="111"/>
      <c r="F50" s="112"/>
      <c r="G50" s="113"/>
      <c r="H50" s="53">
        <f t="shared" si="1"/>
        <v>0</v>
      </c>
      <c r="I50" s="115"/>
      <c r="J50" s="115"/>
      <c r="K50" s="60">
        <f t="shared" si="2"/>
        <v>0</v>
      </c>
      <c r="L50" s="117"/>
    </row>
    <row r="51" ht="15.75" customHeight="1">
      <c r="A51" s="9"/>
      <c r="B51" s="164"/>
      <c r="C51" s="110"/>
      <c r="D51" s="110"/>
      <c r="E51" s="111"/>
      <c r="F51" s="112"/>
      <c r="G51" s="113"/>
      <c r="H51" s="53">
        <f t="shared" si="1"/>
        <v>0</v>
      </c>
      <c r="I51" s="115"/>
      <c r="J51" s="115"/>
      <c r="K51" s="60">
        <f t="shared" si="2"/>
        <v>0</v>
      </c>
      <c r="L51" s="117"/>
    </row>
    <row r="52" ht="15.75" customHeight="1">
      <c r="A52" s="9"/>
      <c r="B52" s="164"/>
      <c r="C52" s="110"/>
      <c r="D52" s="110"/>
      <c r="E52" s="111"/>
      <c r="F52" s="112"/>
      <c r="G52" s="113"/>
      <c r="H52" s="53">
        <f t="shared" si="1"/>
        <v>0</v>
      </c>
      <c r="I52" s="115"/>
      <c r="J52" s="115"/>
      <c r="K52" s="60">
        <f t="shared" si="2"/>
        <v>0</v>
      </c>
      <c r="L52" s="117"/>
    </row>
    <row r="53" ht="15.75" customHeight="1">
      <c r="A53" s="9"/>
      <c r="B53" s="164"/>
      <c r="C53" s="110"/>
      <c r="D53" s="110"/>
      <c r="E53" s="111"/>
      <c r="F53" s="112"/>
      <c r="G53" s="113"/>
      <c r="H53" s="53">
        <f t="shared" si="1"/>
        <v>0</v>
      </c>
      <c r="I53" s="115"/>
      <c r="J53" s="115"/>
      <c r="K53" s="60">
        <f t="shared" si="2"/>
        <v>0</v>
      </c>
      <c r="L53" s="117"/>
    </row>
    <row r="54" ht="15.75" customHeight="1">
      <c r="A54" s="9"/>
      <c r="B54" s="164"/>
      <c r="C54" s="110"/>
      <c r="D54" s="110"/>
      <c r="E54" s="111"/>
      <c r="F54" s="112"/>
      <c r="G54" s="113"/>
      <c r="H54" s="53">
        <f t="shared" si="1"/>
        <v>0</v>
      </c>
      <c r="I54" s="115"/>
      <c r="J54" s="115"/>
      <c r="K54" s="60">
        <f t="shared" si="2"/>
        <v>0</v>
      </c>
      <c r="L54" s="117"/>
    </row>
    <row r="55" ht="15.75" customHeight="1">
      <c r="A55" s="9"/>
      <c r="B55" s="164"/>
      <c r="C55" s="110"/>
      <c r="D55" s="110"/>
      <c r="E55" s="111"/>
      <c r="F55" s="112"/>
      <c r="G55" s="113"/>
      <c r="H55" s="53">
        <f t="shared" si="1"/>
        <v>0</v>
      </c>
      <c r="I55" s="115"/>
      <c r="J55" s="115"/>
      <c r="K55" s="60">
        <f t="shared" si="2"/>
        <v>0</v>
      </c>
      <c r="L55" s="117"/>
    </row>
    <row r="56" ht="15.75" customHeight="1">
      <c r="A56" s="9"/>
      <c r="B56" s="164"/>
      <c r="C56" s="110"/>
      <c r="D56" s="110"/>
      <c r="E56" s="111"/>
      <c r="F56" s="112"/>
      <c r="G56" s="113"/>
      <c r="H56" s="53">
        <f t="shared" si="1"/>
        <v>0</v>
      </c>
      <c r="I56" s="115"/>
      <c r="J56" s="115"/>
      <c r="K56" s="60">
        <f t="shared" si="2"/>
        <v>0</v>
      </c>
      <c r="L56" s="117"/>
    </row>
    <row r="57" ht="15.75" customHeight="1">
      <c r="A57" s="9"/>
      <c r="B57" s="164"/>
      <c r="C57" s="110"/>
      <c r="D57" s="110"/>
      <c r="E57" s="111"/>
      <c r="F57" s="112"/>
      <c r="G57" s="113"/>
      <c r="H57" s="53">
        <f t="shared" si="1"/>
        <v>0</v>
      </c>
      <c r="I57" s="115"/>
      <c r="J57" s="115"/>
      <c r="K57" s="60">
        <f t="shared" si="2"/>
        <v>0</v>
      </c>
      <c r="L57" s="117"/>
    </row>
    <row r="58" ht="15.75" customHeight="1">
      <c r="A58" s="9"/>
      <c r="B58" s="164"/>
      <c r="C58" s="110"/>
      <c r="D58" s="110"/>
      <c r="E58" s="111"/>
      <c r="F58" s="112"/>
      <c r="G58" s="113"/>
      <c r="H58" s="53">
        <f t="shared" si="1"/>
        <v>0</v>
      </c>
      <c r="I58" s="115"/>
      <c r="J58" s="115"/>
      <c r="K58" s="60">
        <f t="shared" si="2"/>
        <v>0</v>
      </c>
      <c r="L58" s="117"/>
    </row>
    <row r="59" ht="15.75" customHeight="1">
      <c r="A59" s="9"/>
      <c r="B59" s="164"/>
      <c r="C59" s="110"/>
      <c r="D59" s="110"/>
      <c r="E59" s="111"/>
      <c r="F59" s="112"/>
      <c r="G59" s="113"/>
      <c r="H59" s="53">
        <f t="shared" si="1"/>
        <v>0</v>
      </c>
      <c r="I59" s="115"/>
      <c r="J59" s="115"/>
      <c r="K59" s="60">
        <f t="shared" si="2"/>
        <v>0</v>
      </c>
      <c r="L59" s="117"/>
    </row>
    <row r="60" ht="15.75" customHeight="1">
      <c r="A60" s="9"/>
      <c r="B60" s="164"/>
      <c r="C60" s="110"/>
      <c r="D60" s="110"/>
      <c r="E60" s="111"/>
      <c r="F60" s="112"/>
      <c r="G60" s="113"/>
      <c r="H60" s="53">
        <f t="shared" si="1"/>
        <v>0</v>
      </c>
      <c r="I60" s="115"/>
      <c r="J60" s="115"/>
      <c r="K60" s="60">
        <f t="shared" si="2"/>
        <v>0</v>
      </c>
      <c r="L60" s="117"/>
    </row>
    <row r="61" ht="15.75" customHeight="1">
      <c r="A61" s="9"/>
      <c r="B61" s="164"/>
      <c r="C61" s="110"/>
      <c r="D61" s="110"/>
      <c r="E61" s="111"/>
      <c r="F61" s="112"/>
      <c r="G61" s="113"/>
      <c r="H61" s="53">
        <f t="shared" si="1"/>
        <v>0</v>
      </c>
      <c r="I61" s="115"/>
      <c r="J61" s="115"/>
      <c r="K61" s="60">
        <f t="shared" si="2"/>
        <v>0</v>
      </c>
      <c r="L61" s="117"/>
    </row>
    <row r="62" ht="15.75" customHeight="1">
      <c r="A62" s="9"/>
      <c r="B62" s="164"/>
      <c r="C62" s="110"/>
      <c r="D62" s="110"/>
      <c r="E62" s="111"/>
      <c r="F62" s="112"/>
      <c r="G62" s="113"/>
      <c r="H62" s="53">
        <f t="shared" si="1"/>
        <v>0</v>
      </c>
      <c r="I62" s="115"/>
      <c r="J62" s="115"/>
      <c r="K62" s="60">
        <f t="shared" si="2"/>
        <v>0</v>
      </c>
      <c r="L62" s="117"/>
    </row>
    <row r="63" ht="15.75" customHeight="1">
      <c r="A63" s="9"/>
      <c r="B63" s="164"/>
      <c r="C63" s="110"/>
      <c r="D63" s="110"/>
      <c r="E63" s="111"/>
      <c r="F63" s="112"/>
      <c r="G63" s="113"/>
      <c r="H63" s="53">
        <f t="shared" si="1"/>
        <v>0</v>
      </c>
      <c r="I63" s="115"/>
      <c r="J63" s="115"/>
      <c r="K63" s="60">
        <f t="shared" si="2"/>
        <v>0</v>
      </c>
      <c r="L63" s="117"/>
    </row>
    <row r="64" ht="15.75" customHeight="1">
      <c r="A64" s="9"/>
      <c r="B64" s="164"/>
      <c r="C64" s="110"/>
      <c r="D64" s="110"/>
      <c r="E64" s="111"/>
      <c r="F64" s="112"/>
      <c r="G64" s="113"/>
      <c r="H64" s="53">
        <f t="shared" si="1"/>
        <v>0</v>
      </c>
      <c r="I64" s="115"/>
      <c r="J64" s="115"/>
      <c r="K64" s="60">
        <f t="shared" si="2"/>
        <v>0</v>
      </c>
      <c r="L64" s="117"/>
    </row>
    <row r="65" ht="15.75" customHeight="1">
      <c r="A65" s="9"/>
      <c r="B65" s="164"/>
      <c r="C65" s="110"/>
      <c r="D65" s="110"/>
      <c r="E65" s="111"/>
      <c r="F65" s="112"/>
      <c r="G65" s="113"/>
      <c r="H65" s="53">
        <f t="shared" si="1"/>
        <v>0</v>
      </c>
      <c r="I65" s="115"/>
      <c r="J65" s="115"/>
      <c r="K65" s="60">
        <f t="shared" si="2"/>
        <v>0</v>
      </c>
      <c r="L65" s="117"/>
    </row>
    <row r="66" ht="15.75" customHeight="1">
      <c r="A66" s="9"/>
      <c r="B66" s="164"/>
      <c r="C66" s="110"/>
      <c r="D66" s="110"/>
      <c r="E66" s="111"/>
      <c r="F66" s="112"/>
      <c r="G66" s="113"/>
      <c r="H66" s="53">
        <f t="shared" si="1"/>
        <v>0</v>
      </c>
      <c r="I66" s="115"/>
      <c r="J66" s="115"/>
      <c r="K66" s="60">
        <f t="shared" si="2"/>
        <v>0</v>
      </c>
      <c r="L66" s="117"/>
    </row>
    <row r="67" ht="15.75" customHeight="1">
      <c r="A67" s="9"/>
      <c r="B67" s="164"/>
      <c r="C67" s="110"/>
      <c r="D67" s="110"/>
      <c r="E67" s="111"/>
      <c r="F67" s="112"/>
      <c r="G67" s="113"/>
      <c r="H67" s="53">
        <f t="shared" si="1"/>
        <v>0</v>
      </c>
      <c r="I67" s="115"/>
      <c r="J67" s="115"/>
      <c r="K67" s="60">
        <f t="shared" si="2"/>
        <v>0</v>
      </c>
      <c r="L67" s="117"/>
    </row>
    <row r="68" ht="15.75" customHeight="1">
      <c r="A68" s="9"/>
      <c r="B68" s="164"/>
      <c r="C68" s="110"/>
      <c r="D68" s="110"/>
      <c r="E68" s="111"/>
      <c r="F68" s="112"/>
      <c r="G68" s="113"/>
      <c r="H68" s="53">
        <f t="shared" si="1"/>
        <v>0</v>
      </c>
      <c r="I68" s="115"/>
      <c r="J68" s="115"/>
      <c r="K68" s="60">
        <f t="shared" si="2"/>
        <v>0</v>
      </c>
      <c r="L68" s="117"/>
    </row>
    <row r="69" ht="15.75" customHeight="1">
      <c r="A69" s="9"/>
      <c r="B69" s="164"/>
      <c r="C69" s="110"/>
      <c r="D69" s="110"/>
      <c r="E69" s="111"/>
      <c r="F69" s="112"/>
      <c r="G69" s="113"/>
      <c r="H69" s="53">
        <f t="shared" si="1"/>
        <v>0</v>
      </c>
      <c r="I69" s="115"/>
      <c r="J69" s="115"/>
      <c r="K69" s="60">
        <f t="shared" si="2"/>
        <v>0</v>
      </c>
      <c r="L69" s="117"/>
    </row>
    <row r="70" ht="15.75" customHeight="1">
      <c r="A70" s="9"/>
      <c r="B70" s="164"/>
      <c r="C70" s="110"/>
      <c r="D70" s="110"/>
      <c r="E70" s="111"/>
      <c r="F70" s="112"/>
      <c r="G70" s="113"/>
      <c r="H70" s="53">
        <f t="shared" si="1"/>
        <v>0</v>
      </c>
      <c r="I70" s="115"/>
      <c r="J70" s="115"/>
      <c r="K70" s="60">
        <f t="shared" si="2"/>
        <v>0</v>
      </c>
      <c r="L70" s="117"/>
    </row>
    <row r="71" ht="15.75" customHeight="1">
      <c r="A71" s="9"/>
      <c r="B71" s="164"/>
      <c r="C71" s="110"/>
      <c r="D71" s="110"/>
      <c r="E71" s="111"/>
      <c r="F71" s="112"/>
      <c r="G71" s="113"/>
      <c r="H71" s="53">
        <f t="shared" si="1"/>
        <v>0</v>
      </c>
      <c r="I71" s="115"/>
      <c r="J71" s="115"/>
      <c r="K71" s="60">
        <f t="shared" si="2"/>
        <v>0</v>
      </c>
      <c r="L71" s="117"/>
    </row>
    <row r="72" ht="15.75" customHeight="1">
      <c r="A72" s="9"/>
      <c r="B72" s="164"/>
      <c r="C72" s="110"/>
      <c r="D72" s="110"/>
      <c r="E72" s="111"/>
      <c r="F72" s="112"/>
      <c r="G72" s="113"/>
      <c r="H72" s="53">
        <f t="shared" si="1"/>
        <v>0</v>
      </c>
      <c r="I72" s="115"/>
      <c r="J72" s="115"/>
      <c r="K72" s="60">
        <f t="shared" si="2"/>
        <v>0</v>
      </c>
      <c r="L72" s="117"/>
    </row>
    <row r="73" ht="15.75" customHeight="1">
      <c r="A73" s="9"/>
      <c r="B73" s="164"/>
      <c r="C73" s="110"/>
      <c r="D73" s="110"/>
      <c r="E73" s="111"/>
      <c r="F73" s="112"/>
      <c r="G73" s="113"/>
      <c r="H73" s="53">
        <f t="shared" si="1"/>
        <v>0</v>
      </c>
      <c r="I73" s="115"/>
      <c r="J73" s="115"/>
      <c r="K73" s="60">
        <f t="shared" si="2"/>
        <v>0</v>
      </c>
      <c r="L73" s="117"/>
    </row>
    <row r="74" ht="15.75" customHeight="1">
      <c r="A74" s="9"/>
      <c r="B74" s="164"/>
      <c r="C74" s="110"/>
      <c r="D74" s="110"/>
      <c r="E74" s="111"/>
      <c r="F74" s="112"/>
      <c r="G74" s="113"/>
      <c r="H74" s="53">
        <f t="shared" si="1"/>
        <v>0</v>
      </c>
      <c r="I74" s="115"/>
      <c r="J74" s="115"/>
      <c r="K74" s="60">
        <f t="shared" si="2"/>
        <v>0</v>
      </c>
      <c r="L74" s="117"/>
    </row>
    <row r="75" ht="15.75" customHeight="1">
      <c r="A75" s="9"/>
      <c r="B75" s="164"/>
      <c r="C75" s="110"/>
      <c r="D75" s="110"/>
      <c r="E75" s="111"/>
      <c r="F75" s="112"/>
      <c r="G75" s="113"/>
      <c r="H75" s="53">
        <f t="shared" si="1"/>
        <v>0</v>
      </c>
      <c r="I75" s="115"/>
      <c r="J75" s="115"/>
      <c r="K75" s="60">
        <f t="shared" si="2"/>
        <v>0</v>
      </c>
      <c r="L75" s="117"/>
    </row>
    <row r="76" ht="15.75" customHeight="1">
      <c r="A76" s="9"/>
      <c r="B76" s="164"/>
      <c r="C76" s="110"/>
      <c r="D76" s="110"/>
      <c r="E76" s="111"/>
      <c r="F76" s="112"/>
      <c r="G76" s="113"/>
      <c r="H76" s="53">
        <f t="shared" si="1"/>
        <v>0</v>
      </c>
      <c r="I76" s="115"/>
      <c r="J76" s="115"/>
      <c r="K76" s="60">
        <f t="shared" si="2"/>
        <v>0</v>
      </c>
      <c r="L76" s="117"/>
    </row>
    <row r="77" ht="15.75" customHeight="1">
      <c r="A77" s="9"/>
      <c r="B77" s="164"/>
      <c r="C77" s="110"/>
      <c r="D77" s="110"/>
      <c r="E77" s="111"/>
      <c r="F77" s="112"/>
      <c r="G77" s="113"/>
      <c r="H77" s="53">
        <f t="shared" si="1"/>
        <v>0</v>
      </c>
      <c r="I77" s="115"/>
      <c r="J77" s="115"/>
      <c r="K77" s="60">
        <f t="shared" si="2"/>
        <v>0</v>
      </c>
      <c r="L77" s="117"/>
    </row>
    <row r="78" ht="15.75" customHeight="1">
      <c r="A78" s="9"/>
      <c r="B78" s="164"/>
      <c r="C78" s="110"/>
      <c r="D78" s="110"/>
      <c r="E78" s="111"/>
      <c r="F78" s="112"/>
      <c r="G78" s="113"/>
      <c r="H78" s="53">
        <f t="shared" si="1"/>
        <v>0</v>
      </c>
      <c r="I78" s="115"/>
      <c r="J78" s="115"/>
      <c r="K78" s="60">
        <f t="shared" si="2"/>
        <v>0</v>
      </c>
      <c r="L78" s="117"/>
    </row>
    <row r="79" ht="15.75" customHeight="1">
      <c r="A79" s="9"/>
      <c r="B79" s="164"/>
      <c r="C79" s="110"/>
      <c r="D79" s="110"/>
      <c r="E79" s="111"/>
      <c r="F79" s="112"/>
      <c r="G79" s="113"/>
      <c r="H79" s="53">
        <f t="shared" si="1"/>
        <v>0</v>
      </c>
      <c r="I79" s="115"/>
      <c r="J79" s="115"/>
      <c r="K79" s="60">
        <f t="shared" si="2"/>
        <v>0</v>
      </c>
      <c r="L79" s="117"/>
    </row>
    <row r="80" ht="15.75" customHeight="1">
      <c r="A80" s="9"/>
      <c r="B80" s="164"/>
      <c r="C80" s="110"/>
      <c r="D80" s="110"/>
      <c r="E80" s="111"/>
      <c r="F80" s="112"/>
      <c r="G80" s="113"/>
      <c r="H80" s="53">
        <f t="shared" si="1"/>
        <v>0</v>
      </c>
      <c r="I80" s="115"/>
      <c r="J80" s="115"/>
      <c r="K80" s="60">
        <f t="shared" si="2"/>
        <v>0</v>
      </c>
      <c r="L80" s="117"/>
    </row>
    <row r="81" ht="15.75" customHeight="1">
      <c r="A81" s="9"/>
      <c r="B81" s="164"/>
      <c r="C81" s="110"/>
      <c r="D81" s="110"/>
      <c r="E81" s="111"/>
      <c r="F81" s="112"/>
      <c r="G81" s="113"/>
      <c r="H81" s="53">
        <f t="shared" si="1"/>
        <v>0</v>
      </c>
      <c r="I81" s="115"/>
      <c r="J81" s="115"/>
      <c r="K81" s="60">
        <f t="shared" si="2"/>
        <v>0</v>
      </c>
      <c r="L81" s="117"/>
    </row>
    <row r="82" ht="15.75" customHeight="1">
      <c r="A82" s="9"/>
      <c r="B82" s="164"/>
      <c r="C82" s="110"/>
      <c r="D82" s="110"/>
      <c r="E82" s="111"/>
      <c r="F82" s="112"/>
      <c r="G82" s="113"/>
      <c r="H82" s="53">
        <f t="shared" si="1"/>
        <v>0</v>
      </c>
      <c r="I82" s="115"/>
      <c r="J82" s="115"/>
      <c r="K82" s="60">
        <f t="shared" si="2"/>
        <v>0</v>
      </c>
      <c r="L82" s="117"/>
    </row>
    <row r="83" ht="15.75" customHeight="1">
      <c r="A83" s="9"/>
      <c r="B83" s="164"/>
      <c r="C83" s="110"/>
      <c r="D83" s="110"/>
      <c r="E83" s="111"/>
      <c r="F83" s="112"/>
      <c r="G83" s="113"/>
      <c r="H83" s="53">
        <f t="shared" si="1"/>
        <v>0</v>
      </c>
      <c r="I83" s="115"/>
      <c r="J83" s="115"/>
      <c r="K83" s="60">
        <f t="shared" si="2"/>
        <v>0</v>
      </c>
      <c r="L83" s="117"/>
    </row>
    <row r="84" ht="15.75" customHeight="1">
      <c r="A84" s="9"/>
      <c r="B84" s="164"/>
      <c r="C84" s="110"/>
      <c r="D84" s="110"/>
      <c r="E84" s="111"/>
      <c r="F84" s="112"/>
      <c r="G84" s="113"/>
      <c r="H84" s="53">
        <f t="shared" si="1"/>
        <v>0</v>
      </c>
      <c r="I84" s="115"/>
      <c r="J84" s="115"/>
      <c r="K84" s="60">
        <f t="shared" si="2"/>
        <v>0</v>
      </c>
      <c r="L84" s="117"/>
    </row>
    <row r="85" ht="15.75" customHeight="1">
      <c r="A85" s="9"/>
      <c r="B85" s="164"/>
      <c r="C85" s="110"/>
      <c r="D85" s="110"/>
      <c r="E85" s="111"/>
      <c r="F85" s="112"/>
      <c r="G85" s="113"/>
      <c r="H85" s="53">
        <f t="shared" si="1"/>
        <v>0</v>
      </c>
      <c r="I85" s="115"/>
      <c r="J85" s="115"/>
      <c r="K85" s="60">
        <f t="shared" si="2"/>
        <v>0</v>
      </c>
      <c r="L85" s="117"/>
    </row>
    <row r="86" ht="15.75" customHeight="1">
      <c r="A86" s="9"/>
      <c r="B86" s="164"/>
      <c r="C86" s="110"/>
      <c r="D86" s="110"/>
      <c r="E86" s="111"/>
      <c r="F86" s="112"/>
      <c r="G86" s="113"/>
      <c r="H86" s="53">
        <f t="shared" si="1"/>
        <v>0</v>
      </c>
      <c r="I86" s="115"/>
      <c r="J86" s="115"/>
      <c r="K86" s="60">
        <f t="shared" si="2"/>
        <v>0</v>
      </c>
      <c r="L86" s="117"/>
    </row>
    <row r="87" ht="15.75" customHeight="1">
      <c r="A87" s="9"/>
      <c r="B87" s="164"/>
      <c r="C87" s="110"/>
      <c r="D87" s="110"/>
      <c r="E87" s="111"/>
      <c r="F87" s="112"/>
      <c r="G87" s="113"/>
      <c r="H87" s="53">
        <f t="shared" si="1"/>
        <v>0</v>
      </c>
      <c r="I87" s="115"/>
      <c r="J87" s="115"/>
      <c r="K87" s="60">
        <f t="shared" si="2"/>
        <v>0</v>
      </c>
      <c r="L87" s="117"/>
    </row>
    <row r="88" ht="15.75" customHeight="1">
      <c r="A88" s="9"/>
      <c r="B88" s="164"/>
      <c r="C88" s="110"/>
      <c r="D88" s="110"/>
      <c r="E88" s="111"/>
      <c r="F88" s="112"/>
      <c r="G88" s="113"/>
      <c r="H88" s="53">
        <f t="shared" si="1"/>
        <v>0</v>
      </c>
      <c r="I88" s="115"/>
      <c r="J88" s="115"/>
      <c r="K88" s="60">
        <f t="shared" si="2"/>
        <v>0</v>
      </c>
      <c r="L88" s="117"/>
    </row>
    <row r="89" ht="15.75" customHeight="1">
      <c r="A89" s="9"/>
      <c r="B89" s="164"/>
      <c r="C89" s="110"/>
      <c r="D89" s="110"/>
      <c r="E89" s="111"/>
      <c r="F89" s="112"/>
      <c r="G89" s="113"/>
      <c r="H89" s="53">
        <f t="shared" si="1"/>
        <v>0</v>
      </c>
      <c r="I89" s="115"/>
      <c r="J89" s="115"/>
      <c r="K89" s="60">
        <f t="shared" si="2"/>
        <v>0</v>
      </c>
      <c r="L89" s="117"/>
    </row>
    <row r="90" ht="15.75" customHeight="1">
      <c r="A90" s="9"/>
      <c r="B90" s="164"/>
      <c r="C90" s="110"/>
      <c r="D90" s="110"/>
      <c r="E90" s="111"/>
      <c r="F90" s="112"/>
      <c r="G90" s="113"/>
      <c r="H90" s="53">
        <f t="shared" si="1"/>
        <v>0</v>
      </c>
      <c r="I90" s="115"/>
      <c r="J90" s="115"/>
      <c r="K90" s="60">
        <f t="shared" si="2"/>
        <v>0</v>
      </c>
      <c r="L90" s="117"/>
    </row>
    <row r="91" ht="15.75" customHeight="1">
      <c r="A91" s="9"/>
      <c r="B91" s="164"/>
      <c r="C91" s="110"/>
      <c r="D91" s="110"/>
      <c r="E91" s="111"/>
      <c r="F91" s="112"/>
      <c r="G91" s="113"/>
      <c r="H91" s="53">
        <f t="shared" si="1"/>
        <v>0</v>
      </c>
      <c r="I91" s="115"/>
      <c r="J91" s="115"/>
      <c r="K91" s="60">
        <f t="shared" si="2"/>
        <v>0</v>
      </c>
      <c r="L91" s="117"/>
    </row>
    <row r="92" ht="15.75" customHeight="1">
      <c r="A92" s="9"/>
      <c r="B92" s="164"/>
      <c r="C92" s="110"/>
      <c r="D92" s="110"/>
      <c r="E92" s="111"/>
      <c r="F92" s="112"/>
      <c r="G92" s="113"/>
      <c r="H92" s="53">
        <f t="shared" si="1"/>
        <v>0</v>
      </c>
      <c r="I92" s="115"/>
      <c r="J92" s="115"/>
      <c r="K92" s="60">
        <f t="shared" si="2"/>
        <v>0</v>
      </c>
      <c r="L92" s="117"/>
    </row>
    <row r="93" ht="15.75" customHeight="1">
      <c r="A93" s="9"/>
      <c r="B93" s="164"/>
      <c r="C93" s="110"/>
      <c r="D93" s="110"/>
      <c r="E93" s="111"/>
      <c r="F93" s="112"/>
      <c r="G93" s="113"/>
      <c r="H93" s="53">
        <f t="shared" si="1"/>
        <v>0</v>
      </c>
      <c r="I93" s="115"/>
      <c r="J93" s="115"/>
      <c r="K93" s="60">
        <f t="shared" si="2"/>
        <v>0</v>
      </c>
      <c r="L93" s="117"/>
    </row>
    <row r="94" ht="15.75" customHeight="1">
      <c r="A94" s="9"/>
      <c r="B94" s="164"/>
      <c r="C94" s="110"/>
      <c r="D94" s="110"/>
      <c r="E94" s="111"/>
      <c r="F94" s="112"/>
      <c r="G94" s="113"/>
      <c r="H94" s="53">
        <f t="shared" si="1"/>
        <v>0</v>
      </c>
      <c r="I94" s="115"/>
      <c r="J94" s="115"/>
      <c r="K94" s="60">
        <f t="shared" si="2"/>
        <v>0</v>
      </c>
      <c r="L94" s="117"/>
    </row>
    <row r="95" ht="15.75" customHeight="1">
      <c r="A95" s="9"/>
      <c r="B95" s="164"/>
      <c r="C95" s="110"/>
      <c r="D95" s="110"/>
      <c r="E95" s="111"/>
      <c r="F95" s="112"/>
      <c r="G95" s="113"/>
      <c r="H95" s="53">
        <f t="shared" si="1"/>
        <v>0</v>
      </c>
      <c r="I95" s="115"/>
      <c r="J95" s="115"/>
      <c r="K95" s="60">
        <f t="shared" si="2"/>
        <v>0</v>
      </c>
      <c r="L95" s="117"/>
    </row>
    <row r="96" ht="15.75" customHeight="1">
      <c r="A96" s="9"/>
      <c r="B96" s="164"/>
      <c r="C96" s="110"/>
      <c r="D96" s="110"/>
      <c r="E96" s="111"/>
      <c r="F96" s="112"/>
      <c r="G96" s="113"/>
      <c r="H96" s="53">
        <f t="shared" si="1"/>
        <v>0</v>
      </c>
      <c r="I96" s="115"/>
      <c r="J96" s="115"/>
      <c r="K96" s="60">
        <f t="shared" si="2"/>
        <v>0</v>
      </c>
      <c r="L96" s="117"/>
    </row>
    <row r="97" ht="15.75" customHeight="1">
      <c r="A97" s="9"/>
      <c r="B97" s="164"/>
      <c r="C97" s="110"/>
      <c r="D97" s="110"/>
      <c r="E97" s="111"/>
      <c r="F97" s="112"/>
      <c r="G97" s="113"/>
      <c r="H97" s="53">
        <f t="shared" si="1"/>
        <v>0</v>
      </c>
      <c r="I97" s="115"/>
      <c r="J97" s="115"/>
      <c r="K97" s="60">
        <f t="shared" si="2"/>
        <v>0</v>
      </c>
      <c r="L97" s="117"/>
    </row>
    <row r="98" ht="15.75" customHeight="1">
      <c r="A98" s="9"/>
      <c r="B98" s="164"/>
      <c r="C98" s="110"/>
      <c r="D98" s="110"/>
      <c r="E98" s="111"/>
      <c r="F98" s="112"/>
      <c r="G98" s="113"/>
      <c r="H98" s="53">
        <f t="shared" si="1"/>
        <v>0</v>
      </c>
      <c r="I98" s="115"/>
      <c r="J98" s="115"/>
      <c r="K98" s="60">
        <f t="shared" si="2"/>
        <v>0</v>
      </c>
      <c r="L98" s="117"/>
    </row>
    <row r="99" ht="15.75" customHeight="1">
      <c r="A99" s="9"/>
      <c r="B99" s="164"/>
      <c r="C99" s="110"/>
      <c r="D99" s="110"/>
      <c r="E99" s="111"/>
      <c r="F99" s="112"/>
      <c r="G99" s="113"/>
      <c r="H99" s="53">
        <f t="shared" si="1"/>
        <v>0</v>
      </c>
      <c r="I99" s="115"/>
      <c r="J99" s="115"/>
      <c r="K99" s="60">
        <f t="shared" si="2"/>
        <v>0</v>
      </c>
      <c r="L99" s="117"/>
    </row>
    <row r="100" ht="15.75" customHeight="1">
      <c r="A100" s="9"/>
      <c r="B100" s="164"/>
      <c r="C100" s="110"/>
      <c r="D100" s="110"/>
      <c r="E100" s="111"/>
      <c r="F100" s="112"/>
      <c r="G100" s="113"/>
      <c r="H100" s="53">
        <f t="shared" si="1"/>
        <v>0</v>
      </c>
      <c r="I100" s="115"/>
      <c r="J100" s="115"/>
      <c r="K100" s="60">
        <f t="shared" si="2"/>
        <v>0</v>
      </c>
      <c r="L100" s="117"/>
    </row>
    <row r="101" ht="15.75" customHeight="1">
      <c r="A101" s="9"/>
      <c r="B101" s="164"/>
      <c r="C101" s="110"/>
      <c r="D101" s="110"/>
      <c r="E101" s="111"/>
      <c r="F101" s="112"/>
      <c r="G101" s="113"/>
      <c r="H101" s="53">
        <f t="shared" si="1"/>
        <v>0</v>
      </c>
      <c r="I101" s="115"/>
      <c r="J101" s="115"/>
      <c r="K101" s="60">
        <f t="shared" si="2"/>
        <v>0</v>
      </c>
      <c r="L101" s="117"/>
    </row>
    <row r="102" ht="15.75" customHeight="1">
      <c r="A102" s="9"/>
      <c r="B102" s="164"/>
      <c r="C102" s="110"/>
      <c r="D102" s="110"/>
      <c r="E102" s="111"/>
      <c r="F102" s="112"/>
      <c r="G102" s="113"/>
      <c r="H102" s="53">
        <f t="shared" si="1"/>
        <v>0</v>
      </c>
      <c r="I102" s="115"/>
      <c r="J102" s="115"/>
      <c r="K102" s="60">
        <f t="shared" si="2"/>
        <v>0</v>
      </c>
      <c r="L102" s="117"/>
    </row>
    <row r="103" ht="15.75" customHeight="1">
      <c r="A103" s="9"/>
      <c r="B103" s="164"/>
      <c r="C103" s="110"/>
      <c r="D103" s="110"/>
      <c r="E103" s="111"/>
      <c r="F103" s="112"/>
      <c r="G103" s="113"/>
      <c r="H103" s="53">
        <f t="shared" si="1"/>
        <v>0</v>
      </c>
      <c r="I103" s="115"/>
      <c r="J103" s="115"/>
      <c r="K103" s="60">
        <f t="shared" si="2"/>
        <v>0</v>
      </c>
      <c r="L103" s="117"/>
    </row>
    <row r="104" ht="15.75" customHeight="1">
      <c r="A104" s="9"/>
      <c r="B104" s="164"/>
      <c r="C104" s="110"/>
      <c r="D104" s="110"/>
      <c r="E104" s="111"/>
      <c r="F104" s="112"/>
      <c r="G104" s="113"/>
      <c r="H104" s="53">
        <f t="shared" si="1"/>
        <v>0</v>
      </c>
      <c r="I104" s="115"/>
      <c r="J104" s="115"/>
      <c r="K104" s="60">
        <f t="shared" si="2"/>
        <v>0</v>
      </c>
      <c r="L104" s="117"/>
    </row>
    <row r="105" ht="15.75" customHeight="1">
      <c r="A105" s="9"/>
      <c r="B105" s="164"/>
      <c r="C105" s="110"/>
      <c r="D105" s="110"/>
      <c r="E105" s="111"/>
      <c r="F105" s="112"/>
      <c r="G105" s="113"/>
      <c r="H105" s="53">
        <f t="shared" si="1"/>
        <v>0</v>
      </c>
      <c r="I105" s="115"/>
      <c r="J105" s="115"/>
      <c r="K105" s="60">
        <f t="shared" si="2"/>
        <v>0</v>
      </c>
      <c r="L105" s="117"/>
    </row>
    <row r="106" ht="15.75" customHeight="1">
      <c r="A106" s="9"/>
      <c r="B106" s="164"/>
      <c r="C106" s="110"/>
      <c r="D106" s="110"/>
      <c r="E106" s="111"/>
      <c r="F106" s="112"/>
      <c r="G106" s="113"/>
      <c r="H106" s="53">
        <f t="shared" si="1"/>
        <v>0</v>
      </c>
      <c r="I106" s="115"/>
      <c r="J106" s="115"/>
      <c r="K106" s="60">
        <f t="shared" si="2"/>
        <v>0</v>
      </c>
      <c r="L106" s="117"/>
    </row>
    <row r="107" ht="15.75" customHeight="1">
      <c r="A107" s="9"/>
      <c r="B107" s="164"/>
      <c r="C107" s="110"/>
      <c r="D107" s="110"/>
      <c r="E107" s="111"/>
      <c r="F107" s="112"/>
      <c r="G107" s="113"/>
      <c r="H107" s="53">
        <f t="shared" si="1"/>
        <v>0</v>
      </c>
      <c r="I107" s="115"/>
      <c r="J107" s="115"/>
      <c r="K107" s="60">
        <f t="shared" si="2"/>
        <v>0</v>
      </c>
      <c r="L107" s="117"/>
    </row>
    <row r="108" ht="15.75" customHeight="1">
      <c r="A108" s="9"/>
      <c r="B108" s="164"/>
      <c r="C108" s="110"/>
      <c r="D108" s="110"/>
      <c r="E108" s="111"/>
      <c r="F108" s="112"/>
      <c r="G108" s="113"/>
      <c r="H108" s="53">
        <f t="shared" si="1"/>
        <v>0</v>
      </c>
      <c r="I108" s="115"/>
      <c r="J108" s="115"/>
      <c r="K108" s="60">
        <f t="shared" si="2"/>
        <v>0</v>
      </c>
      <c r="L108" s="117"/>
    </row>
    <row r="109" ht="15.75" customHeight="1">
      <c r="A109" s="9"/>
      <c r="B109" s="164"/>
      <c r="C109" s="110"/>
      <c r="D109" s="110"/>
      <c r="E109" s="111"/>
      <c r="F109" s="112"/>
      <c r="G109" s="113"/>
      <c r="H109" s="53">
        <f t="shared" si="1"/>
        <v>0</v>
      </c>
      <c r="I109" s="115"/>
      <c r="J109" s="115"/>
      <c r="K109" s="60">
        <f t="shared" si="2"/>
        <v>0</v>
      </c>
      <c r="L109" s="117"/>
    </row>
    <row r="110" ht="15.75" customHeight="1">
      <c r="A110" s="9"/>
      <c r="B110" s="164"/>
      <c r="C110" s="110"/>
      <c r="D110" s="110"/>
      <c r="E110" s="111"/>
      <c r="F110" s="112"/>
      <c r="G110" s="113"/>
      <c r="H110" s="53">
        <f t="shared" si="1"/>
        <v>0</v>
      </c>
      <c r="I110" s="115"/>
      <c r="J110" s="115"/>
      <c r="K110" s="60">
        <f t="shared" si="2"/>
        <v>0</v>
      </c>
      <c r="L110" s="117"/>
    </row>
    <row r="111" ht="15.75" customHeight="1">
      <c r="A111" s="9"/>
      <c r="B111" s="164"/>
      <c r="C111" s="110"/>
      <c r="D111" s="110"/>
      <c r="E111" s="111"/>
      <c r="F111" s="112"/>
      <c r="G111" s="113"/>
      <c r="H111" s="53">
        <f t="shared" si="1"/>
        <v>0</v>
      </c>
      <c r="I111" s="115"/>
      <c r="J111" s="115"/>
      <c r="K111" s="60">
        <f t="shared" si="2"/>
        <v>0</v>
      </c>
      <c r="L111" s="117"/>
    </row>
    <row r="112" ht="15.75" customHeight="1">
      <c r="A112" s="9"/>
      <c r="B112" s="164"/>
      <c r="C112" s="110"/>
      <c r="D112" s="110"/>
      <c r="E112" s="111"/>
      <c r="F112" s="112"/>
      <c r="G112" s="113"/>
      <c r="H112" s="53">
        <f t="shared" si="1"/>
        <v>0</v>
      </c>
      <c r="I112" s="115"/>
      <c r="J112" s="115"/>
      <c r="K112" s="60">
        <f t="shared" si="2"/>
        <v>0</v>
      </c>
      <c r="L112" s="117"/>
    </row>
    <row r="113" ht="15.75" customHeight="1">
      <c r="A113" s="9"/>
      <c r="B113" s="164"/>
      <c r="C113" s="110"/>
      <c r="D113" s="110"/>
      <c r="E113" s="111"/>
      <c r="F113" s="112"/>
      <c r="G113" s="113"/>
      <c r="H113" s="53">
        <f t="shared" si="1"/>
        <v>0</v>
      </c>
      <c r="I113" s="115"/>
      <c r="J113" s="115"/>
      <c r="K113" s="60">
        <f t="shared" si="2"/>
        <v>0</v>
      </c>
      <c r="L113" s="117"/>
    </row>
    <row r="114" ht="15.75" customHeight="1">
      <c r="A114" s="9"/>
      <c r="B114" s="164"/>
      <c r="C114" s="110"/>
      <c r="D114" s="110"/>
      <c r="E114" s="111"/>
      <c r="F114" s="112"/>
      <c r="G114" s="113"/>
      <c r="H114" s="53">
        <f t="shared" si="1"/>
        <v>0</v>
      </c>
      <c r="I114" s="115"/>
      <c r="J114" s="115"/>
      <c r="K114" s="60">
        <f t="shared" si="2"/>
        <v>0</v>
      </c>
      <c r="L114" s="117"/>
    </row>
    <row r="115" ht="15.75" customHeight="1">
      <c r="A115" s="9"/>
      <c r="B115" s="164"/>
      <c r="C115" s="110"/>
      <c r="D115" s="110"/>
      <c r="E115" s="111"/>
      <c r="F115" s="112"/>
      <c r="G115" s="113"/>
      <c r="H115" s="53">
        <f t="shared" si="1"/>
        <v>0</v>
      </c>
      <c r="I115" s="115"/>
      <c r="J115" s="115"/>
      <c r="K115" s="60">
        <f t="shared" si="2"/>
        <v>0</v>
      </c>
      <c r="L115" s="117"/>
    </row>
    <row r="116" ht="15.75" customHeight="1">
      <c r="A116" s="9"/>
      <c r="B116" s="164"/>
      <c r="C116" s="110"/>
      <c r="D116" s="110"/>
      <c r="E116" s="111"/>
      <c r="F116" s="112"/>
      <c r="G116" s="113"/>
      <c r="H116" s="53">
        <f t="shared" si="1"/>
        <v>0</v>
      </c>
      <c r="I116" s="115"/>
      <c r="J116" s="115"/>
      <c r="K116" s="60">
        <f t="shared" si="2"/>
        <v>0</v>
      </c>
      <c r="L116" s="117"/>
    </row>
    <row r="117" ht="15.75" customHeight="1">
      <c r="A117" s="9"/>
      <c r="B117" s="164"/>
      <c r="C117" s="110"/>
      <c r="D117" s="110"/>
      <c r="E117" s="111"/>
      <c r="F117" s="112"/>
      <c r="G117" s="113"/>
      <c r="H117" s="53">
        <f t="shared" si="1"/>
        <v>0</v>
      </c>
      <c r="I117" s="115"/>
      <c r="J117" s="115"/>
      <c r="K117" s="60">
        <f t="shared" si="2"/>
        <v>0</v>
      </c>
      <c r="L117" s="117"/>
    </row>
    <row r="118" ht="15.75" customHeight="1">
      <c r="A118" s="9"/>
      <c r="B118" s="164"/>
      <c r="C118" s="110"/>
      <c r="D118" s="110"/>
      <c r="E118" s="111"/>
      <c r="F118" s="112"/>
      <c r="G118" s="113"/>
      <c r="H118" s="53">
        <f t="shared" si="1"/>
        <v>0</v>
      </c>
      <c r="I118" s="115"/>
      <c r="J118" s="115"/>
      <c r="K118" s="60">
        <f t="shared" si="2"/>
        <v>0</v>
      </c>
      <c r="L118" s="117"/>
    </row>
    <row r="119" ht="15.75" customHeight="1">
      <c r="A119" s="9"/>
      <c r="B119" s="164"/>
      <c r="C119" s="110"/>
      <c r="D119" s="110"/>
      <c r="E119" s="111"/>
      <c r="F119" s="112"/>
      <c r="G119" s="113"/>
      <c r="H119" s="53">
        <f t="shared" si="1"/>
        <v>0</v>
      </c>
      <c r="I119" s="115"/>
      <c r="J119" s="115"/>
      <c r="K119" s="60">
        <f t="shared" si="2"/>
        <v>0</v>
      </c>
      <c r="L119" s="117"/>
    </row>
    <row r="120" ht="15.75" customHeight="1">
      <c r="A120" s="9"/>
      <c r="B120" s="164"/>
      <c r="C120" s="110"/>
      <c r="D120" s="110"/>
      <c r="E120" s="111"/>
      <c r="F120" s="112"/>
      <c r="G120" s="113"/>
      <c r="H120" s="53">
        <f t="shared" si="1"/>
        <v>0</v>
      </c>
      <c r="I120" s="115"/>
      <c r="J120" s="115"/>
      <c r="K120" s="60">
        <f t="shared" si="2"/>
        <v>0</v>
      </c>
      <c r="L120" s="117"/>
    </row>
    <row r="121" ht="15.75" customHeight="1">
      <c r="A121" s="9"/>
      <c r="B121" s="164"/>
      <c r="C121" s="110"/>
      <c r="D121" s="110"/>
      <c r="E121" s="111"/>
      <c r="F121" s="112"/>
      <c r="G121" s="113"/>
      <c r="H121" s="53">
        <f t="shared" si="1"/>
        <v>0</v>
      </c>
      <c r="I121" s="115"/>
      <c r="J121" s="115"/>
      <c r="K121" s="60">
        <f t="shared" si="2"/>
        <v>0</v>
      </c>
      <c r="L121" s="117"/>
    </row>
    <row r="122" ht="15.75" customHeight="1">
      <c r="A122" s="9"/>
      <c r="B122" s="164"/>
      <c r="C122" s="110"/>
      <c r="D122" s="110"/>
      <c r="E122" s="111"/>
      <c r="F122" s="112"/>
      <c r="G122" s="113"/>
      <c r="H122" s="53">
        <f t="shared" si="1"/>
        <v>0</v>
      </c>
      <c r="I122" s="115"/>
      <c r="J122" s="115"/>
      <c r="K122" s="60">
        <f t="shared" si="2"/>
        <v>0</v>
      </c>
      <c r="L122" s="117"/>
    </row>
    <row r="123" ht="15.75" customHeight="1">
      <c r="A123" s="9"/>
      <c r="B123" s="164"/>
      <c r="C123" s="110"/>
      <c r="D123" s="110"/>
      <c r="E123" s="111"/>
      <c r="F123" s="112"/>
      <c r="G123" s="113"/>
      <c r="H123" s="53">
        <f t="shared" si="1"/>
        <v>0</v>
      </c>
      <c r="I123" s="115"/>
      <c r="J123" s="115"/>
      <c r="K123" s="60">
        <f t="shared" si="2"/>
        <v>0</v>
      </c>
      <c r="L123" s="117"/>
    </row>
    <row r="124" ht="15.75" customHeight="1">
      <c r="A124" s="9"/>
      <c r="B124" s="164"/>
      <c r="C124" s="110"/>
      <c r="D124" s="110"/>
      <c r="E124" s="111"/>
      <c r="F124" s="112"/>
      <c r="G124" s="113"/>
      <c r="H124" s="53">
        <f t="shared" si="1"/>
        <v>0</v>
      </c>
      <c r="I124" s="115"/>
      <c r="J124" s="115"/>
      <c r="K124" s="60">
        <f t="shared" si="2"/>
        <v>0</v>
      </c>
      <c r="L124" s="117"/>
    </row>
    <row r="125" ht="15.75" customHeight="1">
      <c r="A125" s="9"/>
      <c r="B125" s="164"/>
      <c r="C125" s="110"/>
      <c r="D125" s="110"/>
      <c r="E125" s="111"/>
      <c r="F125" s="112"/>
      <c r="G125" s="113"/>
      <c r="H125" s="53">
        <f t="shared" si="1"/>
        <v>0</v>
      </c>
      <c r="I125" s="115"/>
      <c r="J125" s="115"/>
      <c r="K125" s="60">
        <f t="shared" si="2"/>
        <v>0</v>
      </c>
      <c r="L125" s="117"/>
    </row>
    <row r="126" ht="15.75" customHeight="1">
      <c r="A126" s="9"/>
      <c r="B126" s="164"/>
      <c r="C126" s="110"/>
      <c r="D126" s="110"/>
      <c r="E126" s="111"/>
      <c r="F126" s="112"/>
      <c r="G126" s="113"/>
      <c r="H126" s="53">
        <f t="shared" si="1"/>
        <v>0</v>
      </c>
      <c r="I126" s="115"/>
      <c r="J126" s="115"/>
      <c r="K126" s="60">
        <f t="shared" si="2"/>
        <v>0</v>
      </c>
      <c r="L126" s="117"/>
    </row>
    <row r="127" ht="15.75" customHeight="1">
      <c r="A127" s="9"/>
      <c r="B127" s="164"/>
      <c r="C127" s="110"/>
      <c r="D127" s="110"/>
      <c r="E127" s="111"/>
      <c r="F127" s="112"/>
      <c r="G127" s="113"/>
      <c r="H127" s="53">
        <f t="shared" si="1"/>
        <v>0</v>
      </c>
      <c r="I127" s="115"/>
      <c r="J127" s="115"/>
      <c r="K127" s="60">
        <f t="shared" si="2"/>
        <v>0</v>
      </c>
      <c r="L127" s="117"/>
    </row>
    <row r="128" ht="15.75" customHeight="1">
      <c r="A128" s="9"/>
      <c r="B128" s="164"/>
      <c r="C128" s="110"/>
      <c r="D128" s="110"/>
      <c r="E128" s="111"/>
      <c r="F128" s="112"/>
      <c r="G128" s="113"/>
      <c r="H128" s="53">
        <f t="shared" si="1"/>
        <v>0</v>
      </c>
      <c r="I128" s="115"/>
      <c r="J128" s="115"/>
      <c r="K128" s="60">
        <f t="shared" si="2"/>
        <v>0</v>
      </c>
      <c r="L128" s="117"/>
    </row>
    <row r="129" ht="15.75" customHeight="1">
      <c r="A129" s="9"/>
      <c r="B129" s="164"/>
      <c r="C129" s="110"/>
      <c r="D129" s="110"/>
      <c r="E129" s="111"/>
      <c r="F129" s="112"/>
      <c r="G129" s="113"/>
      <c r="H129" s="53">
        <f t="shared" si="1"/>
        <v>0</v>
      </c>
      <c r="I129" s="115"/>
      <c r="J129" s="115"/>
      <c r="K129" s="60">
        <f t="shared" si="2"/>
        <v>0</v>
      </c>
      <c r="L129" s="117"/>
    </row>
    <row r="130" ht="15.75" customHeight="1">
      <c r="A130" s="9"/>
      <c r="B130" s="164"/>
      <c r="C130" s="110"/>
      <c r="D130" s="110"/>
      <c r="E130" s="111"/>
      <c r="F130" s="112"/>
      <c r="G130" s="113"/>
      <c r="H130" s="53">
        <f t="shared" si="1"/>
        <v>0</v>
      </c>
      <c r="I130" s="115"/>
      <c r="J130" s="115"/>
      <c r="K130" s="60">
        <f t="shared" si="2"/>
        <v>0</v>
      </c>
      <c r="L130" s="117"/>
    </row>
    <row r="131" ht="15.75" customHeight="1">
      <c r="A131" s="9"/>
      <c r="B131" s="164"/>
      <c r="C131" s="110"/>
      <c r="D131" s="110"/>
      <c r="E131" s="111"/>
      <c r="F131" s="112"/>
      <c r="G131" s="113"/>
      <c r="H131" s="53">
        <f t="shared" si="1"/>
        <v>0</v>
      </c>
      <c r="I131" s="115"/>
      <c r="J131" s="115"/>
      <c r="K131" s="60">
        <f t="shared" si="2"/>
        <v>0</v>
      </c>
      <c r="L131" s="117"/>
    </row>
    <row r="132" ht="15.75" customHeight="1">
      <c r="A132" s="9"/>
      <c r="B132" s="164"/>
      <c r="C132" s="110"/>
      <c r="D132" s="110"/>
      <c r="E132" s="111"/>
      <c r="F132" s="112"/>
      <c r="G132" s="113"/>
      <c r="H132" s="53">
        <f t="shared" si="1"/>
        <v>0</v>
      </c>
      <c r="I132" s="115"/>
      <c r="J132" s="115"/>
      <c r="K132" s="60">
        <f t="shared" si="2"/>
        <v>0</v>
      </c>
      <c r="L132" s="117"/>
    </row>
    <row r="133" ht="15.75" customHeight="1">
      <c r="A133" s="9"/>
      <c r="B133" s="164"/>
      <c r="C133" s="110"/>
      <c r="D133" s="110"/>
      <c r="E133" s="111"/>
      <c r="F133" s="112"/>
      <c r="G133" s="113"/>
      <c r="H133" s="53">
        <f t="shared" si="1"/>
        <v>0</v>
      </c>
      <c r="I133" s="115"/>
      <c r="J133" s="115"/>
      <c r="K133" s="60">
        <f t="shared" si="2"/>
        <v>0</v>
      </c>
      <c r="L133" s="117"/>
    </row>
    <row r="134" ht="15.75" customHeight="1">
      <c r="A134" s="9"/>
      <c r="B134" s="164"/>
      <c r="C134" s="110"/>
      <c r="D134" s="110"/>
      <c r="E134" s="111"/>
      <c r="F134" s="112"/>
      <c r="G134" s="113"/>
      <c r="H134" s="53">
        <f t="shared" si="1"/>
        <v>0</v>
      </c>
      <c r="I134" s="115"/>
      <c r="J134" s="115"/>
      <c r="K134" s="60">
        <f t="shared" si="2"/>
        <v>0</v>
      </c>
      <c r="L134" s="117"/>
    </row>
    <row r="135" ht="15.75" customHeight="1">
      <c r="A135" s="9"/>
      <c r="B135" s="164"/>
      <c r="C135" s="110"/>
      <c r="D135" s="110"/>
      <c r="E135" s="111"/>
      <c r="F135" s="112"/>
      <c r="G135" s="113"/>
      <c r="H135" s="53">
        <f t="shared" si="1"/>
        <v>0</v>
      </c>
      <c r="I135" s="115"/>
      <c r="J135" s="115"/>
      <c r="K135" s="60">
        <f t="shared" si="2"/>
        <v>0</v>
      </c>
      <c r="L135" s="117"/>
    </row>
    <row r="136" ht="15.75" customHeight="1">
      <c r="A136" s="9"/>
      <c r="B136" s="164"/>
      <c r="C136" s="110"/>
      <c r="D136" s="110"/>
      <c r="E136" s="111"/>
      <c r="F136" s="112"/>
      <c r="G136" s="113"/>
      <c r="H136" s="53">
        <f t="shared" si="1"/>
        <v>0</v>
      </c>
      <c r="I136" s="115"/>
      <c r="J136" s="115"/>
      <c r="K136" s="60">
        <f t="shared" si="2"/>
        <v>0</v>
      </c>
      <c r="L136" s="117"/>
    </row>
    <row r="137" ht="15.75" customHeight="1">
      <c r="A137" s="9"/>
      <c r="B137" s="164"/>
      <c r="C137" s="110"/>
      <c r="D137" s="110"/>
      <c r="E137" s="111"/>
      <c r="F137" s="112"/>
      <c r="G137" s="113"/>
      <c r="H137" s="53">
        <f t="shared" si="1"/>
        <v>0</v>
      </c>
      <c r="I137" s="115"/>
      <c r="J137" s="115"/>
      <c r="K137" s="60">
        <f t="shared" si="2"/>
        <v>0</v>
      </c>
      <c r="L137" s="117"/>
    </row>
    <row r="138" ht="15.75" customHeight="1">
      <c r="A138" s="9"/>
      <c r="B138" s="164"/>
      <c r="C138" s="110"/>
      <c r="D138" s="110"/>
      <c r="E138" s="111"/>
      <c r="F138" s="112"/>
      <c r="G138" s="113"/>
      <c r="H138" s="53">
        <f t="shared" si="1"/>
        <v>0</v>
      </c>
      <c r="I138" s="115"/>
      <c r="J138" s="115"/>
      <c r="K138" s="60">
        <f t="shared" si="2"/>
        <v>0</v>
      </c>
      <c r="L138" s="117"/>
    </row>
    <row r="139" ht="15.75" customHeight="1">
      <c r="A139" s="9"/>
      <c r="B139" s="164"/>
      <c r="C139" s="110"/>
      <c r="D139" s="110"/>
      <c r="E139" s="111"/>
      <c r="F139" s="112"/>
      <c r="G139" s="113"/>
      <c r="H139" s="53">
        <f t="shared" si="1"/>
        <v>0</v>
      </c>
      <c r="I139" s="115"/>
      <c r="J139" s="115"/>
      <c r="K139" s="60">
        <f t="shared" si="2"/>
        <v>0</v>
      </c>
      <c r="L139" s="117"/>
    </row>
    <row r="140" ht="15.75" customHeight="1">
      <c r="A140" s="9"/>
      <c r="B140" s="164"/>
      <c r="C140" s="110"/>
      <c r="D140" s="110"/>
      <c r="E140" s="111"/>
      <c r="F140" s="112"/>
      <c r="G140" s="113"/>
      <c r="H140" s="53">
        <f t="shared" si="1"/>
        <v>0</v>
      </c>
      <c r="I140" s="115"/>
      <c r="J140" s="115"/>
      <c r="K140" s="60">
        <f t="shared" si="2"/>
        <v>0</v>
      </c>
      <c r="L140" s="117"/>
    </row>
    <row r="141" ht="15.75" customHeight="1">
      <c r="A141" s="9"/>
      <c r="B141" s="164"/>
      <c r="C141" s="110"/>
      <c r="D141" s="110"/>
      <c r="E141" s="111"/>
      <c r="F141" s="112"/>
      <c r="G141" s="113"/>
      <c r="H141" s="53">
        <f t="shared" si="1"/>
        <v>0</v>
      </c>
      <c r="I141" s="115"/>
      <c r="J141" s="115"/>
      <c r="K141" s="60">
        <f t="shared" si="2"/>
        <v>0</v>
      </c>
      <c r="L141" s="117"/>
    </row>
    <row r="142" ht="15.75" customHeight="1">
      <c r="A142" s="9"/>
      <c r="B142" s="164"/>
      <c r="C142" s="110"/>
      <c r="D142" s="110"/>
      <c r="E142" s="111"/>
      <c r="F142" s="112"/>
      <c r="G142" s="113"/>
      <c r="H142" s="53">
        <f t="shared" si="1"/>
        <v>0</v>
      </c>
      <c r="I142" s="115"/>
      <c r="J142" s="115"/>
      <c r="K142" s="60">
        <f t="shared" si="2"/>
        <v>0</v>
      </c>
      <c r="L142" s="117"/>
    </row>
    <row r="143" ht="15.75" customHeight="1">
      <c r="A143" s="9"/>
      <c r="B143" s="164"/>
      <c r="C143" s="110"/>
      <c r="D143" s="110"/>
      <c r="E143" s="111"/>
      <c r="F143" s="112"/>
      <c r="G143" s="113"/>
      <c r="H143" s="53">
        <f t="shared" si="1"/>
        <v>0</v>
      </c>
      <c r="I143" s="115"/>
      <c r="J143" s="115"/>
      <c r="K143" s="60">
        <f t="shared" si="2"/>
        <v>0</v>
      </c>
      <c r="L143" s="117"/>
    </row>
    <row r="144" ht="15.75" customHeight="1">
      <c r="A144" s="9"/>
      <c r="B144" s="164"/>
      <c r="C144" s="110"/>
      <c r="D144" s="110"/>
      <c r="E144" s="111"/>
      <c r="F144" s="112"/>
      <c r="G144" s="113"/>
      <c r="H144" s="53">
        <f t="shared" si="1"/>
        <v>0</v>
      </c>
      <c r="I144" s="115"/>
      <c r="J144" s="115"/>
      <c r="K144" s="60">
        <f t="shared" si="2"/>
        <v>0</v>
      </c>
      <c r="L144" s="117"/>
    </row>
    <row r="145" ht="15.75" customHeight="1">
      <c r="A145" s="9"/>
      <c r="B145" s="164"/>
      <c r="C145" s="110"/>
      <c r="D145" s="110"/>
      <c r="E145" s="111"/>
      <c r="F145" s="112"/>
      <c r="G145" s="113"/>
      <c r="H145" s="53">
        <f t="shared" si="1"/>
        <v>0</v>
      </c>
      <c r="I145" s="115"/>
      <c r="J145" s="115"/>
      <c r="K145" s="60">
        <f t="shared" si="2"/>
        <v>0</v>
      </c>
      <c r="L145" s="117"/>
    </row>
    <row r="146" ht="15.75" customHeight="1">
      <c r="A146" s="9"/>
      <c r="B146" s="164"/>
      <c r="C146" s="110"/>
      <c r="D146" s="110"/>
      <c r="E146" s="111"/>
      <c r="F146" s="112"/>
      <c r="G146" s="113"/>
      <c r="H146" s="53">
        <f t="shared" si="1"/>
        <v>0</v>
      </c>
      <c r="I146" s="115"/>
      <c r="J146" s="115"/>
      <c r="K146" s="60">
        <f t="shared" si="2"/>
        <v>0</v>
      </c>
      <c r="L146" s="117"/>
    </row>
    <row r="147" ht="15.75" customHeight="1">
      <c r="A147" s="9"/>
      <c r="B147" s="164"/>
      <c r="C147" s="110"/>
      <c r="D147" s="110"/>
      <c r="E147" s="111"/>
      <c r="F147" s="112"/>
      <c r="G147" s="113"/>
      <c r="H147" s="53">
        <f t="shared" si="1"/>
        <v>0</v>
      </c>
      <c r="I147" s="115"/>
      <c r="J147" s="115"/>
      <c r="K147" s="60">
        <f t="shared" si="2"/>
        <v>0</v>
      </c>
      <c r="L147" s="117"/>
    </row>
    <row r="148" ht="15.75" customHeight="1">
      <c r="A148" s="9"/>
      <c r="B148" s="164"/>
      <c r="C148" s="110"/>
      <c r="D148" s="110"/>
      <c r="E148" s="111"/>
      <c r="F148" s="112"/>
      <c r="G148" s="113"/>
      <c r="H148" s="53">
        <f t="shared" si="1"/>
        <v>0</v>
      </c>
      <c r="I148" s="115"/>
      <c r="J148" s="115"/>
      <c r="K148" s="60">
        <f t="shared" si="2"/>
        <v>0</v>
      </c>
      <c r="L148" s="117"/>
    </row>
    <row r="149" ht="15.75" customHeight="1">
      <c r="A149" s="9"/>
      <c r="B149" s="164"/>
      <c r="C149" s="110"/>
      <c r="D149" s="110"/>
      <c r="E149" s="111"/>
      <c r="F149" s="112"/>
      <c r="G149" s="113"/>
      <c r="H149" s="53">
        <f t="shared" si="1"/>
        <v>0</v>
      </c>
      <c r="I149" s="115"/>
      <c r="J149" s="115"/>
      <c r="K149" s="60">
        <f t="shared" si="2"/>
        <v>0</v>
      </c>
      <c r="L149" s="117"/>
    </row>
    <row r="150" ht="15.75" customHeight="1">
      <c r="A150" s="9"/>
      <c r="B150" s="164"/>
      <c r="C150" s="110"/>
      <c r="D150" s="110"/>
      <c r="E150" s="111"/>
      <c r="F150" s="112"/>
      <c r="G150" s="113"/>
      <c r="H150" s="53">
        <f t="shared" si="1"/>
        <v>0</v>
      </c>
      <c r="I150" s="115"/>
      <c r="J150" s="115"/>
      <c r="K150" s="60">
        <f t="shared" si="2"/>
        <v>0</v>
      </c>
      <c r="L150" s="117"/>
    </row>
    <row r="151" ht="15.75" customHeight="1">
      <c r="A151" s="9"/>
      <c r="B151" s="164"/>
      <c r="C151" s="110"/>
      <c r="D151" s="110"/>
      <c r="E151" s="111"/>
      <c r="F151" s="112"/>
      <c r="G151" s="113"/>
      <c r="H151" s="53">
        <f t="shared" si="1"/>
        <v>0</v>
      </c>
      <c r="I151" s="115"/>
      <c r="J151" s="115"/>
      <c r="K151" s="60">
        <f t="shared" si="2"/>
        <v>0</v>
      </c>
      <c r="L151" s="117"/>
    </row>
    <row r="152" ht="15.75" customHeight="1">
      <c r="A152" s="9"/>
      <c r="B152" s="164"/>
      <c r="C152" s="110"/>
      <c r="D152" s="110"/>
      <c r="E152" s="111"/>
      <c r="F152" s="112"/>
      <c r="G152" s="113"/>
      <c r="H152" s="53">
        <f t="shared" si="1"/>
        <v>0</v>
      </c>
      <c r="I152" s="115"/>
      <c r="J152" s="115"/>
      <c r="K152" s="60">
        <f t="shared" si="2"/>
        <v>0</v>
      </c>
      <c r="L152" s="117"/>
    </row>
    <row r="153" ht="15.75" customHeight="1">
      <c r="A153" s="9"/>
      <c r="B153" s="164"/>
      <c r="C153" s="110"/>
      <c r="D153" s="110"/>
      <c r="E153" s="111"/>
      <c r="F153" s="112"/>
      <c r="G153" s="113"/>
      <c r="H153" s="53">
        <f t="shared" si="1"/>
        <v>0</v>
      </c>
      <c r="I153" s="115"/>
      <c r="J153" s="115"/>
      <c r="K153" s="60">
        <f t="shared" si="2"/>
        <v>0</v>
      </c>
      <c r="L153" s="117"/>
    </row>
    <row r="154" ht="15.75" customHeight="1">
      <c r="A154" s="9"/>
      <c r="B154" s="164"/>
      <c r="C154" s="110"/>
      <c r="D154" s="110"/>
      <c r="E154" s="111"/>
      <c r="F154" s="112"/>
      <c r="G154" s="113"/>
      <c r="H154" s="53">
        <f t="shared" si="1"/>
        <v>0</v>
      </c>
      <c r="I154" s="115"/>
      <c r="J154" s="115"/>
      <c r="K154" s="60">
        <f t="shared" si="2"/>
        <v>0</v>
      </c>
      <c r="L154" s="117"/>
    </row>
    <row r="155" ht="15.75" customHeight="1">
      <c r="A155" s="9"/>
      <c r="B155" s="164"/>
      <c r="C155" s="110"/>
      <c r="D155" s="110"/>
      <c r="E155" s="111"/>
      <c r="F155" s="112"/>
      <c r="G155" s="113"/>
      <c r="H155" s="53">
        <f t="shared" si="1"/>
        <v>0</v>
      </c>
      <c r="I155" s="115"/>
      <c r="J155" s="115"/>
      <c r="K155" s="60">
        <f t="shared" si="2"/>
        <v>0</v>
      </c>
      <c r="L155" s="117"/>
    </row>
    <row r="156" ht="15.75" customHeight="1">
      <c r="A156" s="9"/>
      <c r="B156" s="164"/>
      <c r="C156" s="110"/>
      <c r="D156" s="110"/>
      <c r="E156" s="111"/>
      <c r="F156" s="112"/>
      <c r="G156" s="113"/>
      <c r="H156" s="53">
        <f t="shared" si="1"/>
        <v>0</v>
      </c>
      <c r="I156" s="115"/>
      <c r="J156" s="115"/>
      <c r="K156" s="60">
        <f t="shared" si="2"/>
        <v>0</v>
      </c>
      <c r="L156" s="117"/>
    </row>
    <row r="157" ht="15.75" customHeight="1">
      <c r="A157" s="9"/>
      <c r="B157" s="164"/>
      <c r="C157" s="110"/>
      <c r="D157" s="110"/>
      <c r="E157" s="111"/>
      <c r="F157" s="112"/>
      <c r="G157" s="113"/>
      <c r="H157" s="53">
        <f t="shared" si="1"/>
        <v>0</v>
      </c>
      <c r="I157" s="115"/>
      <c r="J157" s="115"/>
      <c r="K157" s="60">
        <f t="shared" si="2"/>
        <v>0</v>
      </c>
      <c r="L157" s="117"/>
    </row>
    <row r="158" ht="15.75" customHeight="1">
      <c r="A158" s="9"/>
      <c r="B158" s="164"/>
      <c r="C158" s="110"/>
      <c r="D158" s="110"/>
      <c r="E158" s="111"/>
      <c r="F158" s="112"/>
      <c r="G158" s="113"/>
      <c r="H158" s="53">
        <f t="shared" si="1"/>
        <v>0</v>
      </c>
      <c r="I158" s="115"/>
      <c r="J158" s="115"/>
      <c r="K158" s="60">
        <f t="shared" si="2"/>
        <v>0</v>
      </c>
      <c r="L158" s="117"/>
    </row>
    <row r="159" ht="15.75" customHeight="1">
      <c r="A159" s="9"/>
      <c r="B159" s="164"/>
      <c r="C159" s="110"/>
      <c r="D159" s="110"/>
      <c r="E159" s="111"/>
      <c r="F159" s="112"/>
      <c r="G159" s="113"/>
      <c r="H159" s="53">
        <f t="shared" si="1"/>
        <v>0</v>
      </c>
      <c r="I159" s="115"/>
      <c r="J159" s="115"/>
      <c r="K159" s="60">
        <f t="shared" si="2"/>
        <v>0</v>
      </c>
      <c r="L159" s="117"/>
    </row>
    <row r="160" ht="15.75" customHeight="1">
      <c r="A160" s="9"/>
      <c r="B160" s="164"/>
      <c r="C160" s="110"/>
      <c r="D160" s="110"/>
      <c r="E160" s="111"/>
      <c r="F160" s="112"/>
      <c r="G160" s="113"/>
      <c r="H160" s="53">
        <f t="shared" si="1"/>
        <v>0</v>
      </c>
      <c r="I160" s="115"/>
      <c r="J160" s="115"/>
      <c r="K160" s="60">
        <f t="shared" si="2"/>
        <v>0</v>
      </c>
      <c r="L160" s="117"/>
    </row>
    <row r="161" ht="15.75" customHeight="1">
      <c r="A161" s="9"/>
      <c r="B161" s="164"/>
      <c r="C161" s="110"/>
      <c r="D161" s="110"/>
      <c r="E161" s="111"/>
      <c r="F161" s="112"/>
      <c r="G161" s="113"/>
      <c r="H161" s="53">
        <f t="shared" si="1"/>
        <v>0</v>
      </c>
      <c r="I161" s="115"/>
      <c r="J161" s="115"/>
      <c r="K161" s="60">
        <f t="shared" si="2"/>
        <v>0</v>
      </c>
      <c r="L161" s="117"/>
    </row>
    <row r="162" ht="15.75" customHeight="1">
      <c r="A162" s="9"/>
      <c r="B162" s="164"/>
      <c r="C162" s="110"/>
      <c r="D162" s="110"/>
      <c r="E162" s="111"/>
      <c r="F162" s="112"/>
      <c r="G162" s="113"/>
      <c r="H162" s="53">
        <f t="shared" si="1"/>
        <v>0</v>
      </c>
      <c r="I162" s="115"/>
      <c r="J162" s="115"/>
      <c r="K162" s="60">
        <f t="shared" si="2"/>
        <v>0</v>
      </c>
      <c r="L162" s="117"/>
    </row>
    <row r="163" ht="15.75" customHeight="1">
      <c r="A163" s="9"/>
      <c r="B163" s="164"/>
      <c r="C163" s="110"/>
      <c r="D163" s="110"/>
      <c r="E163" s="111"/>
      <c r="F163" s="112"/>
      <c r="G163" s="113"/>
      <c r="H163" s="53">
        <f t="shared" si="1"/>
        <v>0</v>
      </c>
      <c r="I163" s="115"/>
      <c r="J163" s="115"/>
      <c r="K163" s="60">
        <f t="shared" si="2"/>
        <v>0</v>
      </c>
      <c r="L163" s="117"/>
    </row>
    <row r="164" ht="15.75" customHeight="1">
      <c r="A164" s="9"/>
      <c r="B164" s="164"/>
      <c r="C164" s="110"/>
      <c r="D164" s="110"/>
      <c r="E164" s="111"/>
      <c r="F164" s="112"/>
      <c r="G164" s="113"/>
      <c r="H164" s="53">
        <f t="shared" si="1"/>
        <v>0</v>
      </c>
      <c r="I164" s="115"/>
      <c r="J164" s="115"/>
      <c r="K164" s="60">
        <f t="shared" si="2"/>
        <v>0</v>
      </c>
      <c r="L164" s="117"/>
    </row>
    <row r="165" ht="15.75" customHeight="1">
      <c r="A165" s="9"/>
      <c r="B165" s="164"/>
      <c r="C165" s="110"/>
      <c r="D165" s="110"/>
      <c r="E165" s="111"/>
      <c r="F165" s="112"/>
      <c r="G165" s="113"/>
      <c r="H165" s="53">
        <f t="shared" si="1"/>
        <v>0</v>
      </c>
      <c r="I165" s="115"/>
      <c r="J165" s="115"/>
      <c r="K165" s="60">
        <f t="shared" si="2"/>
        <v>0</v>
      </c>
      <c r="L165" s="117"/>
    </row>
    <row r="166" ht="15.75" customHeight="1">
      <c r="A166" s="9"/>
      <c r="B166" s="164"/>
      <c r="C166" s="110"/>
      <c r="D166" s="110"/>
      <c r="E166" s="111"/>
      <c r="F166" s="112"/>
      <c r="G166" s="113"/>
      <c r="H166" s="53">
        <f t="shared" si="1"/>
        <v>0</v>
      </c>
      <c r="I166" s="115"/>
      <c r="J166" s="115"/>
      <c r="K166" s="60">
        <f t="shared" si="2"/>
        <v>0</v>
      </c>
      <c r="L166" s="117"/>
    </row>
    <row r="167" ht="15.75" customHeight="1">
      <c r="A167" s="9"/>
      <c r="B167" s="164"/>
      <c r="C167" s="110"/>
      <c r="D167" s="110"/>
      <c r="E167" s="111"/>
      <c r="F167" s="112"/>
      <c r="G167" s="113"/>
      <c r="H167" s="53">
        <f t="shared" si="1"/>
        <v>0</v>
      </c>
      <c r="I167" s="115"/>
      <c r="J167" s="115"/>
      <c r="K167" s="60">
        <f t="shared" si="2"/>
        <v>0</v>
      </c>
      <c r="L167" s="117"/>
    </row>
    <row r="168" ht="15.75" customHeight="1">
      <c r="A168" s="9"/>
      <c r="B168" s="164"/>
      <c r="C168" s="110"/>
      <c r="D168" s="110"/>
      <c r="E168" s="111"/>
      <c r="F168" s="112"/>
      <c r="G168" s="113"/>
      <c r="H168" s="53">
        <f t="shared" si="1"/>
        <v>0</v>
      </c>
      <c r="I168" s="115"/>
      <c r="J168" s="115"/>
      <c r="K168" s="60">
        <f t="shared" si="2"/>
        <v>0</v>
      </c>
      <c r="L168" s="117"/>
    </row>
    <row r="169" ht="15.75" customHeight="1">
      <c r="A169" s="9"/>
      <c r="B169" s="164"/>
      <c r="C169" s="110"/>
      <c r="D169" s="110"/>
      <c r="E169" s="111"/>
      <c r="F169" s="112"/>
      <c r="G169" s="113"/>
      <c r="H169" s="53">
        <f t="shared" si="1"/>
        <v>0</v>
      </c>
      <c r="I169" s="115"/>
      <c r="J169" s="115"/>
      <c r="K169" s="60">
        <f t="shared" si="2"/>
        <v>0</v>
      </c>
      <c r="L169" s="117"/>
    </row>
    <row r="170" ht="15.75" customHeight="1">
      <c r="A170" s="9"/>
      <c r="B170" s="164"/>
      <c r="C170" s="110"/>
      <c r="D170" s="110"/>
      <c r="E170" s="111"/>
      <c r="F170" s="112"/>
      <c r="G170" s="113"/>
      <c r="H170" s="53">
        <f t="shared" si="1"/>
        <v>0</v>
      </c>
      <c r="I170" s="115"/>
      <c r="J170" s="115"/>
      <c r="K170" s="60">
        <f t="shared" si="2"/>
        <v>0</v>
      </c>
      <c r="L170" s="117"/>
    </row>
    <row r="171" ht="15.75" customHeight="1">
      <c r="A171" s="9"/>
      <c r="B171" s="164"/>
      <c r="C171" s="110"/>
      <c r="D171" s="110"/>
      <c r="E171" s="111"/>
      <c r="F171" s="112"/>
      <c r="G171" s="113"/>
      <c r="H171" s="53">
        <f t="shared" si="1"/>
        <v>0</v>
      </c>
      <c r="I171" s="115"/>
      <c r="J171" s="115"/>
      <c r="K171" s="60">
        <f t="shared" si="2"/>
        <v>0</v>
      </c>
      <c r="L171" s="117"/>
    </row>
    <row r="172" ht="15.75" customHeight="1">
      <c r="A172" s="9"/>
      <c r="B172" s="164"/>
      <c r="C172" s="110"/>
      <c r="D172" s="110"/>
      <c r="E172" s="111"/>
      <c r="F172" s="112"/>
      <c r="G172" s="113"/>
      <c r="H172" s="53">
        <f t="shared" si="1"/>
        <v>0</v>
      </c>
      <c r="I172" s="115"/>
      <c r="J172" s="115"/>
      <c r="K172" s="60">
        <f t="shared" si="2"/>
        <v>0</v>
      </c>
      <c r="L172" s="117"/>
    </row>
    <row r="173" ht="15.75" customHeight="1">
      <c r="A173" s="9"/>
      <c r="B173" s="164"/>
      <c r="C173" s="110"/>
      <c r="D173" s="110"/>
      <c r="E173" s="111"/>
      <c r="F173" s="112"/>
      <c r="G173" s="113"/>
      <c r="H173" s="53">
        <f t="shared" si="1"/>
        <v>0</v>
      </c>
      <c r="I173" s="115"/>
      <c r="J173" s="115"/>
      <c r="K173" s="60">
        <f t="shared" si="2"/>
        <v>0</v>
      </c>
      <c r="L173" s="117"/>
    </row>
    <row r="174" ht="15.75" customHeight="1">
      <c r="A174" s="9"/>
      <c r="B174" s="164"/>
      <c r="C174" s="110"/>
      <c r="D174" s="110"/>
      <c r="E174" s="111"/>
      <c r="F174" s="112"/>
      <c r="G174" s="113"/>
      <c r="H174" s="53">
        <f t="shared" si="1"/>
        <v>0</v>
      </c>
      <c r="I174" s="115"/>
      <c r="J174" s="115"/>
      <c r="K174" s="60">
        <f t="shared" si="2"/>
        <v>0</v>
      </c>
      <c r="L174" s="117"/>
    </row>
    <row r="175" ht="15.75" customHeight="1">
      <c r="A175" s="9"/>
      <c r="B175" s="164"/>
      <c r="C175" s="110"/>
      <c r="D175" s="110"/>
      <c r="E175" s="111"/>
      <c r="F175" s="112"/>
      <c r="G175" s="113"/>
      <c r="H175" s="53">
        <f t="shared" si="1"/>
        <v>0</v>
      </c>
      <c r="I175" s="115"/>
      <c r="J175" s="115"/>
      <c r="K175" s="60">
        <f t="shared" si="2"/>
        <v>0</v>
      </c>
      <c r="L175" s="117"/>
    </row>
    <row r="176" ht="15.75" customHeight="1">
      <c r="A176" s="9"/>
      <c r="B176" s="164"/>
      <c r="C176" s="110"/>
      <c r="D176" s="110"/>
      <c r="E176" s="111"/>
      <c r="F176" s="112"/>
      <c r="G176" s="113"/>
      <c r="H176" s="53">
        <f t="shared" si="1"/>
        <v>0</v>
      </c>
      <c r="I176" s="115"/>
      <c r="J176" s="115"/>
      <c r="K176" s="60">
        <f t="shared" si="2"/>
        <v>0</v>
      </c>
      <c r="L176" s="117"/>
    </row>
    <row r="177" ht="15.75" customHeight="1">
      <c r="A177" s="9"/>
      <c r="B177" s="164"/>
      <c r="C177" s="110"/>
      <c r="D177" s="110"/>
      <c r="E177" s="111"/>
      <c r="F177" s="112"/>
      <c r="G177" s="113"/>
      <c r="H177" s="53">
        <f t="shared" si="1"/>
        <v>0</v>
      </c>
      <c r="I177" s="115"/>
      <c r="J177" s="115"/>
      <c r="K177" s="60">
        <f t="shared" si="2"/>
        <v>0</v>
      </c>
      <c r="L177" s="117"/>
    </row>
    <row r="178" ht="15.75" customHeight="1">
      <c r="A178" s="9"/>
      <c r="B178" s="164"/>
      <c r="C178" s="110"/>
      <c r="D178" s="110"/>
      <c r="E178" s="111"/>
      <c r="F178" s="112"/>
      <c r="G178" s="113"/>
      <c r="H178" s="53">
        <f t="shared" si="1"/>
        <v>0</v>
      </c>
      <c r="I178" s="115"/>
      <c r="J178" s="115"/>
      <c r="K178" s="60">
        <f t="shared" si="2"/>
        <v>0</v>
      </c>
      <c r="L178" s="117"/>
    </row>
    <row r="179" ht="15.75" customHeight="1">
      <c r="A179" s="9"/>
      <c r="B179" s="164"/>
      <c r="C179" s="110"/>
      <c r="D179" s="110"/>
      <c r="E179" s="111"/>
      <c r="F179" s="112"/>
      <c r="G179" s="113"/>
      <c r="H179" s="53">
        <f t="shared" si="1"/>
        <v>0</v>
      </c>
      <c r="I179" s="115"/>
      <c r="J179" s="115"/>
      <c r="K179" s="60">
        <f t="shared" si="2"/>
        <v>0</v>
      </c>
      <c r="L179" s="117"/>
    </row>
    <row r="180" ht="15.75" customHeight="1">
      <c r="A180" s="9"/>
      <c r="B180" s="164"/>
      <c r="C180" s="110"/>
      <c r="D180" s="110"/>
      <c r="E180" s="111"/>
      <c r="F180" s="112"/>
      <c r="G180" s="113"/>
      <c r="H180" s="53">
        <f t="shared" si="1"/>
        <v>0</v>
      </c>
      <c r="I180" s="115"/>
      <c r="J180" s="115"/>
      <c r="K180" s="60">
        <f t="shared" si="2"/>
        <v>0</v>
      </c>
      <c r="L180" s="117"/>
    </row>
    <row r="181" ht="15.75" customHeight="1">
      <c r="A181" s="9"/>
      <c r="B181" s="164"/>
      <c r="C181" s="110"/>
      <c r="D181" s="110"/>
      <c r="E181" s="111"/>
      <c r="F181" s="112"/>
      <c r="G181" s="113"/>
      <c r="H181" s="53">
        <f t="shared" si="1"/>
        <v>0</v>
      </c>
      <c r="I181" s="115"/>
      <c r="J181" s="115"/>
      <c r="K181" s="60">
        <f t="shared" si="2"/>
        <v>0</v>
      </c>
      <c r="L181" s="117"/>
    </row>
    <row r="182" ht="15.75" customHeight="1">
      <c r="A182" s="9"/>
      <c r="B182" s="164"/>
      <c r="C182" s="110"/>
      <c r="D182" s="110"/>
      <c r="E182" s="111"/>
      <c r="F182" s="112"/>
      <c r="G182" s="113"/>
      <c r="H182" s="53">
        <f t="shared" si="1"/>
        <v>0</v>
      </c>
      <c r="I182" s="115"/>
      <c r="J182" s="115"/>
      <c r="K182" s="60">
        <f t="shared" si="2"/>
        <v>0</v>
      </c>
      <c r="L182" s="117"/>
    </row>
    <row r="183" ht="15.75" customHeight="1">
      <c r="A183" s="9"/>
      <c r="B183" s="164"/>
      <c r="C183" s="110"/>
      <c r="D183" s="110"/>
      <c r="E183" s="111"/>
      <c r="F183" s="112"/>
      <c r="G183" s="113"/>
      <c r="H183" s="53">
        <f t="shared" si="1"/>
        <v>0</v>
      </c>
      <c r="I183" s="115"/>
      <c r="J183" s="115"/>
      <c r="K183" s="60">
        <f t="shared" si="2"/>
        <v>0</v>
      </c>
      <c r="L183" s="117"/>
    </row>
    <row r="184" ht="15.75" customHeight="1">
      <c r="A184" s="9"/>
      <c r="B184" s="164"/>
      <c r="C184" s="110"/>
      <c r="D184" s="110"/>
      <c r="E184" s="111"/>
      <c r="F184" s="112"/>
      <c r="G184" s="113"/>
      <c r="H184" s="53">
        <f t="shared" si="1"/>
        <v>0</v>
      </c>
      <c r="I184" s="115"/>
      <c r="J184" s="115"/>
      <c r="K184" s="60">
        <f t="shared" si="2"/>
        <v>0</v>
      </c>
      <c r="L184" s="117"/>
    </row>
    <row r="185" ht="15.75" customHeight="1">
      <c r="A185" s="9"/>
      <c r="B185" s="164"/>
      <c r="C185" s="110"/>
      <c r="D185" s="110"/>
      <c r="E185" s="111"/>
      <c r="F185" s="112"/>
      <c r="G185" s="113"/>
      <c r="H185" s="53">
        <f t="shared" si="1"/>
        <v>0</v>
      </c>
      <c r="I185" s="115"/>
      <c r="J185" s="115"/>
      <c r="K185" s="60">
        <f t="shared" si="2"/>
        <v>0</v>
      </c>
      <c r="L185" s="117"/>
    </row>
    <row r="186" ht="15.75" customHeight="1">
      <c r="A186" s="9"/>
      <c r="B186" s="164"/>
      <c r="C186" s="110"/>
      <c r="D186" s="110"/>
      <c r="E186" s="111"/>
      <c r="F186" s="112"/>
      <c r="G186" s="113"/>
      <c r="H186" s="53">
        <f t="shared" si="1"/>
        <v>0</v>
      </c>
      <c r="I186" s="115"/>
      <c r="J186" s="115"/>
      <c r="K186" s="60">
        <f t="shared" si="2"/>
        <v>0</v>
      </c>
      <c r="L186" s="117"/>
    </row>
    <row r="187" ht="15.75" customHeight="1">
      <c r="A187" s="9"/>
      <c r="B187" s="164"/>
      <c r="C187" s="110"/>
      <c r="D187" s="110"/>
      <c r="E187" s="111"/>
      <c r="F187" s="112"/>
      <c r="G187" s="113"/>
      <c r="H187" s="53">
        <f t="shared" si="1"/>
        <v>0</v>
      </c>
      <c r="I187" s="115"/>
      <c r="J187" s="115"/>
      <c r="K187" s="60">
        <f t="shared" si="2"/>
        <v>0</v>
      </c>
      <c r="L187" s="117"/>
    </row>
    <row r="188" ht="15.75" customHeight="1">
      <c r="A188" s="9"/>
      <c r="B188" s="164"/>
      <c r="C188" s="110"/>
      <c r="D188" s="110"/>
      <c r="E188" s="111"/>
      <c r="F188" s="112"/>
      <c r="G188" s="113"/>
      <c r="H188" s="53">
        <f t="shared" si="1"/>
        <v>0</v>
      </c>
      <c r="I188" s="115"/>
      <c r="J188" s="115"/>
      <c r="K188" s="60">
        <f t="shared" si="2"/>
        <v>0</v>
      </c>
      <c r="L188" s="117"/>
    </row>
    <row r="189" ht="15.75" customHeight="1">
      <c r="A189" s="9"/>
      <c r="B189" s="164"/>
      <c r="C189" s="110"/>
      <c r="D189" s="110"/>
      <c r="E189" s="111"/>
      <c r="F189" s="112"/>
      <c r="G189" s="113"/>
      <c r="H189" s="53">
        <f t="shared" si="1"/>
        <v>0</v>
      </c>
      <c r="I189" s="115"/>
      <c r="J189" s="115"/>
      <c r="K189" s="60">
        <f t="shared" si="2"/>
        <v>0</v>
      </c>
      <c r="L189" s="117"/>
    </row>
    <row r="190" ht="15.75" customHeight="1">
      <c r="A190" s="9"/>
      <c r="B190" s="164"/>
      <c r="C190" s="110"/>
      <c r="D190" s="110"/>
      <c r="E190" s="111"/>
      <c r="F190" s="112"/>
      <c r="G190" s="113"/>
      <c r="H190" s="53">
        <f t="shared" si="1"/>
        <v>0</v>
      </c>
      <c r="I190" s="115"/>
      <c r="J190" s="115"/>
      <c r="K190" s="60">
        <f t="shared" si="2"/>
        <v>0</v>
      </c>
      <c r="L190" s="117"/>
    </row>
    <row r="191" ht="15.75" customHeight="1">
      <c r="A191" s="9"/>
      <c r="B191" s="164"/>
      <c r="C191" s="110"/>
      <c r="D191" s="110"/>
      <c r="E191" s="111"/>
      <c r="F191" s="112"/>
      <c r="G191" s="113"/>
      <c r="H191" s="53">
        <f t="shared" si="1"/>
        <v>0</v>
      </c>
      <c r="I191" s="115"/>
      <c r="J191" s="115"/>
      <c r="K191" s="60">
        <f t="shared" si="2"/>
        <v>0</v>
      </c>
      <c r="L191" s="117"/>
    </row>
    <row r="192" ht="15.75" customHeight="1">
      <c r="A192" s="9"/>
      <c r="B192" s="164"/>
      <c r="C192" s="110"/>
      <c r="D192" s="110"/>
      <c r="E192" s="111"/>
      <c r="F192" s="112"/>
      <c r="G192" s="113"/>
      <c r="H192" s="53">
        <f t="shared" si="1"/>
        <v>0</v>
      </c>
      <c r="I192" s="115"/>
      <c r="J192" s="115"/>
      <c r="K192" s="60">
        <f t="shared" si="2"/>
        <v>0</v>
      </c>
      <c r="L192" s="117"/>
    </row>
    <row r="193" ht="15.75" customHeight="1">
      <c r="A193" s="9"/>
      <c r="B193" s="164"/>
      <c r="C193" s="110"/>
      <c r="D193" s="110"/>
      <c r="E193" s="111"/>
      <c r="F193" s="112"/>
      <c r="G193" s="113"/>
      <c r="H193" s="53">
        <f t="shared" si="1"/>
        <v>0</v>
      </c>
      <c r="I193" s="115"/>
      <c r="J193" s="115"/>
      <c r="K193" s="60">
        <f t="shared" si="2"/>
        <v>0</v>
      </c>
      <c r="L193" s="117"/>
    </row>
    <row r="194" ht="15.75" customHeight="1">
      <c r="A194" s="9"/>
      <c r="B194" s="164"/>
      <c r="C194" s="110"/>
      <c r="D194" s="110"/>
      <c r="E194" s="111"/>
      <c r="F194" s="112"/>
      <c r="G194" s="113"/>
      <c r="H194" s="53">
        <f t="shared" si="1"/>
        <v>0</v>
      </c>
      <c r="I194" s="115"/>
      <c r="J194" s="115"/>
      <c r="K194" s="60">
        <f t="shared" si="2"/>
        <v>0</v>
      </c>
      <c r="L194" s="117"/>
    </row>
    <row r="195" ht="15.75" customHeight="1">
      <c r="A195" s="9"/>
      <c r="B195" s="164"/>
      <c r="C195" s="110"/>
      <c r="D195" s="110"/>
      <c r="E195" s="111"/>
      <c r="F195" s="112"/>
      <c r="G195" s="113"/>
      <c r="H195" s="53">
        <f t="shared" si="1"/>
        <v>0</v>
      </c>
      <c r="I195" s="115"/>
      <c r="J195" s="115"/>
      <c r="K195" s="60">
        <f t="shared" si="2"/>
        <v>0</v>
      </c>
      <c r="L195" s="117"/>
    </row>
    <row r="196" ht="15.75" customHeight="1">
      <c r="A196" s="9"/>
      <c r="B196" s="164"/>
      <c r="C196" s="110"/>
      <c r="D196" s="110"/>
      <c r="E196" s="111"/>
      <c r="F196" s="112"/>
      <c r="G196" s="113"/>
      <c r="H196" s="53">
        <f t="shared" si="1"/>
        <v>0</v>
      </c>
      <c r="I196" s="115"/>
      <c r="J196" s="115"/>
      <c r="K196" s="60">
        <f t="shared" si="2"/>
        <v>0</v>
      </c>
      <c r="L196" s="117"/>
    </row>
    <row r="197" ht="15.75" customHeight="1">
      <c r="A197" s="9"/>
      <c r="B197" s="164"/>
      <c r="C197" s="110"/>
      <c r="D197" s="110"/>
      <c r="E197" s="111"/>
      <c r="F197" s="112"/>
      <c r="G197" s="113"/>
      <c r="H197" s="53">
        <f t="shared" si="1"/>
        <v>0</v>
      </c>
      <c r="I197" s="115"/>
      <c r="J197" s="115"/>
      <c r="K197" s="60">
        <f t="shared" si="2"/>
        <v>0</v>
      </c>
      <c r="L197" s="117"/>
    </row>
    <row r="198" ht="15.75" customHeight="1">
      <c r="A198" s="9"/>
      <c r="B198" s="164"/>
      <c r="C198" s="110"/>
      <c r="D198" s="110"/>
      <c r="E198" s="111"/>
      <c r="F198" s="112"/>
      <c r="G198" s="113"/>
      <c r="H198" s="53">
        <f t="shared" si="1"/>
        <v>0</v>
      </c>
      <c r="I198" s="115"/>
      <c r="J198" s="115"/>
      <c r="K198" s="60">
        <f t="shared" si="2"/>
        <v>0</v>
      </c>
      <c r="L198" s="117"/>
    </row>
    <row r="199" ht="15.75" customHeight="1">
      <c r="A199" s="9"/>
      <c r="B199" s="164"/>
      <c r="C199" s="110"/>
      <c r="D199" s="110"/>
      <c r="E199" s="111"/>
      <c r="F199" s="112"/>
      <c r="G199" s="113"/>
      <c r="H199" s="53">
        <f t="shared" si="1"/>
        <v>0</v>
      </c>
      <c r="I199" s="115"/>
      <c r="J199" s="115"/>
      <c r="K199" s="60">
        <f t="shared" si="2"/>
        <v>0</v>
      </c>
      <c r="L199" s="117"/>
    </row>
    <row r="200" ht="15.75" customHeight="1">
      <c r="A200" s="9"/>
      <c r="B200" s="164"/>
      <c r="C200" s="110"/>
      <c r="D200" s="110"/>
      <c r="E200" s="111"/>
      <c r="F200" s="112"/>
      <c r="G200" s="113"/>
      <c r="H200" s="53">
        <f t="shared" si="1"/>
        <v>0</v>
      </c>
      <c r="I200" s="115"/>
      <c r="J200" s="115"/>
      <c r="K200" s="60">
        <f t="shared" si="2"/>
        <v>0</v>
      </c>
      <c r="L200" s="117"/>
    </row>
    <row r="201" ht="15.75" customHeight="1">
      <c r="A201" s="9"/>
      <c r="B201" s="164"/>
      <c r="C201" s="110"/>
      <c r="D201" s="110"/>
      <c r="E201" s="111"/>
      <c r="F201" s="112"/>
      <c r="G201" s="113"/>
      <c r="H201" s="53">
        <f t="shared" si="1"/>
        <v>0</v>
      </c>
      <c r="I201" s="115"/>
      <c r="J201" s="115"/>
      <c r="K201" s="60">
        <f t="shared" si="2"/>
        <v>0</v>
      </c>
      <c r="L201" s="117"/>
    </row>
    <row r="202" ht="15.75" customHeight="1">
      <c r="A202" s="9"/>
      <c r="B202" s="164"/>
      <c r="C202" s="110"/>
      <c r="D202" s="110"/>
      <c r="E202" s="111"/>
      <c r="F202" s="112"/>
      <c r="G202" s="113"/>
      <c r="H202" s="53">
        <f t="shared" si="1"/>
        <v>0</v>
      </c>
      <c r="I202" s="115"/>
      <c r="J202" s="115"/>
      <c r="K202" s="60">
        <f t="shared" si="2"/>
        <v>0</v>
      </c>
      <c r="L202" s="117"/>
    </row>
    <row r="203" ht="15.75" customHeight="1">
      <c r="A203" s="9"/>
      <c r="B203" s="164"/>
      <c r="C203" s="110"/>
      <c r="D203" s="110"/>
      <c r="E203" s="111"/>
      <c r="F203" s="112"/>
      <c r="G203" s="113"/>
      <c r="H203" s="53">
        <f t="shared" si="1"/>
        <v>0</v>
      </c>
      <c r="I203" s="115"/>
      <c r="J203" s="115"/>
      <c r="K203" s="60">
        <f t="shared" si="2"/>
        <v>0</v>
      </c>
      <c r="L203" s="117"/>
    </row>
    <row r="204" ht="15.75" customHeight="1">
      <c r="A204" s="9"/>
      <c r="B204" s="164"/>
      <c r="C204" s="110"/>
      <c r="D204" s="110"/>
      <c r="E204" s="111"/>
      <c r="F204" s="112"/>
      <c r="G204" s="113"/>
      <c r="H204" s="53">
        <f t="shared" si="1"/>
        <v>0</v>
      </c>
      <c r="I204" s="115"/>
      <c r="J204" s="115"/>
      <c r="K204" s="60">
        <f t="shared" si="2"/>
        <v>0</v>
      </c>
      <c r="L204" s="117"/>
    </row>
    <row r="205" ht="15.75" customHeight="1">
      <c r="A205" s="9"/>
      <c r="B205" s="164"/>
      <c r="C205" s="110"/>
      <c r="D205" s="110"/>
      <c r="E205" s="111"/>
      <c r="F205" s="112"/>
      <c r="G205" s="113"/>
      <c r="H205" s="53">
        <f t="shared" si="1"/>
        <v>0</v>
      </c>
      <c r="I205" s="115"/>
      <c r="J205" s="115"/>
      <c r="K205" s="60">
        <f t="shared" si="2"/>
        <v>0</v>
      </c>
      <c r="L205" s="117"/>
    </row>
    <row r="206" ht="15.75" customHeight="1">
      <c r="A206" s="9"/>
      <c r="B206" s="164"/>
      <c r="C206" s="110"/>
      <c r="D206" s="110"/>
      <c r="E206" s="111"/>
      <c r="F206" s="112"/>
      <c r="G206" s="113"/>
      <c r="H206" s="53">
        <f t="shared" si="1"/>
        <v>0</v>
      </c>
      <c r="I206" s="115"/>
      <c r="J206" s="115"/>
      <c r="K206" s="60">
        <f t="shared" si="2"/>
        <v>0</v>
      </c>
      <c r="L206" s="117"/>
    </row>
    <row r="207" ht="15.75" customHeight="1">
      <c r="A207" s="9"/>
      <c r="B207" s="164"/>
      <c r="C207" s="110"/>
      <c r="D207" s="110"/>
      <c r="E207" s="111"/>
      <c r="F207" s="112"/>
      <c r="G207" s="113"/>
      <c r="H207" s="53">
        <f t="shared" si="1"/>
        <v>0</v>
      </c>
      <c r="I207" s="115"/>
      <c r="J207" s="115"/>
      <c r="K207" s="60">
        <f t="shared" si="2"/>
        <v>0</v>
      </c>
      <c r="L207" s="117"/>
    </row>
    <row r="208" ht="15.75" customHeight="1">
      <c r="A208" s="9"/>
      <c r="B208" s="164"/>
      <c r="C208" s="110"/>
      <c r="D208" s="110"/>
      <c r="E208" s="111"/>
      <c r="F208" s="112"/>
      <c r="G208" s="113"/>
      <c r="H208" s="53">
        <f t="shared" si="1"/>
        <v>0</v>
      </c>
      <c r="I208" s="115"/>
      <c r="J208" s="115"/>
      <c r="K208" s="60">
        <f t="shared" si="2"/>
        <v>0</v>
      </c>
      <c r="L208" s="117"/>
    </row>
    <row r="209" ht="15.75" customHeight="1">
      <c r="A209" s="9"/>
      <c r="B209" s="164"/>
      <c r="C209" s="110"/>
      <c r="D209" s="110"/>
      <c r="E209" s="111"/>
      <c r="F209" s="112"/>
      <c r="G209" s="113"/>
      <c r="H209" s="53">
        <f t="shared" si="1"/>
        <v>0</v>
      </c>
      <c r="I209" s="115"/>
      <c r="J209" s="115"/>
      <c r="K209" s="60">
        <f t="shared" si="2"/>
        <v>0</v>
      </c>
      <c r="L209" s="117"/>
    </row>
    <row r="210" ht="15.75" customHeight="1">
      <c r="A210" s="9"/>
      <c r="B210" s="164"/>
      <c r="C210" s="110"/>
      <c r="D210" s="110"/>
      <c r="E210" s="111"/>
      <c r="F210" s="112"/>
      <c r="G210" s="113"/>
      <c r="H210" s="53">
        <f t="shared" si="1"/>
        <v>0</v>
      </c>
      <c r="I210" s="115"/>
      <c r="J210" s="115"/>
      <c r="K210" s="60">
        <f t="shared" si="2"/>
        <v>0</v>
      </c>
      <c r="L210" s="117"/>
    </row>
    <row r="211" ht="15.75" customHeight="1">
      <c r="A211" s="9"/>
      <c r="B211" s="164"/>
      <c r="C211" s="110"/>
      <c r="D211" s="110"/>
      <c r="E211" s="111"/>
      <c r="F211" s="112"/>
      <c r="G211" s="113"/>
      <c r="H211" s="53">
        <f t="shared" si="1"/>
        <v>0</v>
      </c>
      <c r="I211" s="115"/>
      <c r="J211" s="115"/>
      <c r="K211" s="60">
        <f t="shared" si="2"/>
        <v>0</v>
      </c>
      <c r="L211" s="117"/>
    </row>
    <row r="212" ht="15.75" customHeight="1">
      <c r="A212" s="9"/>
      <c r="B212" s="164"/>
      <c r="C212" s="110"/>
      <c r="D212" s="110"/>
      <c r="E212" s="111"/>
      <c r="F212" s="112"/>
      <c r="G212" s="113"/>
      <c r="H212" s="53">
        <f t="shared" si="1"/>
        <v>0</v>
      </c>
      <c r="I212" s="115"/>
      <c r="J212" s="115"/>
      <c r="K212" s="60">
        <f t="shared" si="2"/>
        <v>0</v>
      </c>
      <c r="L212" s="117"/>
    </row>
    <row r="213" ht="15.75" customHeight="1">
      <c r="A213" s="9"/>
      <c r="B213" s="164"/>
      <c r="C213" s="110"/>
      <c r="D213" s="110"/>
      <c r="E213" s="111"/>
      <c r="F213" s="112"/>
      <c r="G213" s="113"/>
      <c r="H213" s="53">
        <f t="shared" si="1"/>
        <v>0</v>
      </c>
      <c r="I213" s="115"/>
      <c r="J213" s="115"/>
      <c r="K213" s="60">
        <f t="shared" si="2"/>
        <v>0</v>
      </c>
      <c r="L213" s="117"/>
    </row>
    <row r="214" ht="15.75" customHeight="1">
      <c r="A214" s="9"/>
      <c r="B214" s="164"/>
      <c r="C214" s="110"/>
      <c r="D214" s="110"/>
      <c r="E214" s="111"/>
      <c r="F214" s="112"/>
      <c r="G214" s="113"/>
      <c r="H214" s="53">
        <f t="shared" si="1"/>
        <v>0</v>
      </c>
      <c r="I214" s="115"/>
      <c r="J214" s="115"/>
      <c r="K214" s="60">
        <f t="shared" si="2"/>
        <v>0</v>
      </c>
      <c r="L214" s="117"/>
    </row>
    <row r="215" ht="15.75" customHeight="1">
      <c r="A215" s="9"/>
      <c r="B215" s="164"/>
      <c r="C215" s="110"/>
      <c r="D215" s="110"/>
      <c r="E215" s="111"/>
      <c r="F215" s="112"/>
      <c r="G215" s="113"/>
      <c r="H215" s="53">
        <f t="shared" si="1"/>
        <v>0</v>
      </c>
      <c r="I215" s="115"/>
      <c r="J215" s="115"/>
      <c r="K215" s="60">
        <f t="shared" si="2"/>
        <v>0</v>
      </c>
      <c r="L215" s="117"/>
    </row>
    <row r="216" ht="15.75" customHeight="1">
      <c r="A216" s="9"/>
      <c r="B216" s="164"/>
      <c r="C216" s="110"/>
      <c r="D216" s="110"/>
      <c r="E216" s="111"/>
      <c r="F216" s="112"/>
      <c r="G216" s="113"/>
      <c r="H216" s="53">
        <f t="shared" si="1"/>
        <v>0</v>
      </c>
      <c r="I216" s="115"/>
      <c r="J216" s="115"/>
      <c r="K216" s="60">
        <f t="shared" si="2"/>
        <v>0</v>
      </c>
      <c r="L216" s="117"/>
    </row>
    <row r="217" ht="15.75" customHeight="1">
      <c r="A217" s="9"/>
      <c r="B217" s="164"/>
      <c r="C217" s="110"/>
      <c r="D217" s="110"/>
      <c r="E217" s="111"/>
      <c r="F217" s="112"/>
      <c r="G217" s="113"/>
      <c r="H217" s="53">
        <f t="shared" si="1"/>
        <v>0</v>
      </c>
      <c r="I217" s="115"/>
      <c r="J217" s="115"/>
      <c r="K217" s="60">
        <f t="shared" si="2"/>
        <v>0</v>
      </c>
      <c r="L217" s="117"/>
    </row>
    <row r="218" ht="15.75" customHeight="1">
      <c r="A218" s="9"/>
      <c r="B218" s="164"/>
      <c r="C218" s="110"/>
      <c r="D218" s="110"/>
      <c r="E218" s="111"/>
      <c r="F218" s="112"/>
      <c r="G218" s="113"/>
      <c r="H218" s="53">
        <f t="shared" si="1"/>
        <v>0</v>
      </c>
      <c r="I218" s="115"/>
      <c r="J218" s="115"/>
      <c r="K218" s="60">
        <f t="shared" si="2"/>
        <v>0</v>
      </c>
      <c r="L218" s="117"/>
    </row>
    <row r="219" ht="15.75" customHeight="1">
      <c r="A219" s="9"/>
      <c r="B219" s="164"/>
      <c r="C219" s="110"/>
      <c r="D219" s="110"/>
      <c r="E219" s="111"/>
      <c r="F219" s="112"/>
      <c r="G219" s="113"/>
      <c r="H219" s="53">
        <f t="shared" si="1"/>
        <v>0</v>
      </c>
      <c r="I219" s="115"/>
      <c r="J219" s="115"/>
      <c r="K219" s="60">
        <f t="shared" si="2"/>
        <v>0</v>
      </c>
      <c r="L219" s="117"/>
    </row>
    <row r="220" ht="15.75" customHeight="1">
      <c r="A220" s="9"/>
      <c r="B220" s="164"/>
      <c r="C220" s="110"/>
      <c r="D220" s="110"/>
      <c r="E220" s="111"/>
      <c r="F220" s="112"/>
      <c r="G220" s="113"/>
      <c r="H220" s="53">
        <f t="shared" si="1"/>
        <v>0</v>
      </c>
      <c r="I220" s="115"/>
      <c r="J220" s="115"/>
      <c r="K220" s="60">
        <f t="shared" si="2"/>
        <v>0</v>
      </c>
      <c r="L220" s="117"/>
    </row>
    <row r="221" ht="15.75" customHeight="1">
      <c r="A221" s="9"/>
      <c r="B221" s="164"/>
      <c r="C221" s="110"/>
      <c r="D221" s="110"/>
      <c r="E221" s="111"/>
      <c r="F221" s="112"/>
      <c r="G221" s="113"/>
      <c r="H221" s="53">
        <f t="shared" si="1"/>
        <v>0</v>
      </c>
      <c r="I221" s="115"/>
      <c r="J221" s="115"/>
      <c r="K221" s="60">
        <f t="shared" si="2"/>
        <v>0</v>
      </c>
      <c r="L221" s="117"/>
    </row>
    <row r="222" ht="15.75" customHeight="1">
      <c r="A222" s="9"/>
      <c r="B222" s="164"/>
      <c r="C222" s="110"/>
      <c r="D222" s="110"/>
      <c r="E222" s="111"/>
      <c r="F222" s="112"/>
      <c r="G222" s="113"/>
      <c r="H222" s="53">
        <f t="shared" si="1"/>
        <v>0</v>
      </c>
      <c r="I222" s="115"/>
      <c r="J222" s="115"/>
      <c r="K222" s="60">
        <f t="shared" si="2"/>
        <v>0</v>
      </c>
      <c r="L222" s="117"/>
    </row>
    <row r="223" ht="15.75" customHeight="1">
      <c r="A223" s="9"/>
      <c r="B223" s="164"/>
      <c r="C223" s="110"/>
      <c r="D223" s="110"/>
      <c r="E223" s="111"/>
      <c r="F223" s="112"/>
      <c r="G223" s="113"/>
      <c r="H223" s="53">
        <f t="shared" si="1"/>
        <v>0</v>
      </c>
      <c r="I223" s="115"/>
      <c r="J223" s="115"/>
      <c r="K223" s="60">
        <f t="shared" si="2"/>
        <v>0</v>
      </c>
      <c r="L223" s="117"/>
    </row>
    <row r="224" ht="15.75" customHeight="1">
      <c r="A224" s="9"/>
      <c r="B224" s="164"/>
      <c r="C224" s="110"/>
      <c r="D224" s="110"/>
      <c r="E224" s="111"/>
      <c r="F224" s="112"/>
      <c r="G224" s="113"/>
      <c r="H224" s="53">
        <f t="shared" si="1"/>
        <v>0</v>
      </c>
      <c r="I224" s="115"/>
      <c r="J224" s="115"/>
      <c r="K224" s="60">
        <f t="shared" si="2"/>
        <v>0</v>
      </c>
      <c r="L224" s="117"/>
    </row>
    <row r="225" ht="15.75" customHeight="1">
      <c r="A225" s="9"/>
      <c r="B225" s="164"/>
      <c r="C225" s="110"/>
      <c r="D225" s="110"/>
      <c r="E225" s="111"/>
      <c r="F225" s="112"/>
      <c r="G225" s="113"/>
      <c r="H225" s="53">
        <f t="shared" si="1"/>
        <v>0</v>
      </c>
      <c r="I225" s="115"/>
      <c r="J225" s="115"/>
      <c r="K225" s="60">
        <f t="shared" si="2"/>
        <v>0</v>
      </c>
      <c r="L225" s="117"/>
    </row>
    <row r="226" ht="15.75" customHeight="1">
      <c r="A226" s="9"/>
      <c r="B226" s="164"/>
      <c r="C226" s="110"/>
      <c r="D226" s="110"/>
      <c r="E226" s="111"/>
      <c r="F226" s="112"/>
      <c r="G226" s="113"/>
      <c r="H226" s="53">
        <f t="shared" si="1"/>
        <v>0</v>
      </c>
      <c r="I226" s="115"/>
      <c r="J226" s="115"/>
      <c r="K226" s="60">
        <f t="shared" si="2"/>
        <v>0</v>
      </c>
      <c r="L226" s="117"/>
    </row>
    <row r="227" ht="15.75" customHeight="1">
      <c r="A227" s="9"/>
      <c r="B227" s="164"/>
      <c r="C227" s="110"/>
      <c r="D227" s="110"/>
      <c r="E227" s="111"/>
      <c r="F227" s="112"/>
      <c r="G227" s="113"/>
      <c r="H227" s="53">
        <f t="shared" si="1"/>
        <v>0</v>
      </c>
      <c r="I227" s="115"/>
      <c r="J227" s="115"/>
      <c r="K227" s="60">
        <f t="shared" si="2"/>
        <v>0</v>
      </c>
      <c r="L227" s="117"/>
    </row>
    <row r="228" ht="15.75" customHeight="1">
      <c r="A228" s="9"/>
      <c r="B228" s="164"/>
      <c r="C228" s="110"/>
      <c r="D228" s="110"/>
      <c r="E228" s="111"/>
      <c r="F228" s="112"/>
      <c r="G228" s="113"/>
      <c r="H228" s="53">
        <f t="shared" si="1"/>
        <v>0</v>
      </c>
      <c r="I228" s="115"/>
      <c r="J228" s="115"/>
      <c r="K228" s="60">
        <f t="shared" si="2"/>
        <v>0</v>
      </c>
      <c r="L228" s="117"/>
    </row>
    <row r="229" ht="15.75" customHeight="1">
      <c r="A229" s="9"/>
      <c r="B229" s="164"/>
      <c r="C229" s="110"/>
      <c r="D229" s="110"/>
      <c r="E229" s="111"/>
      <c r="F229" s="112"/>
      <c r="G229" s="113"/>
      <c r="H229" s="53">
        <f t="shared" si="1"/>
        <v>0</v>
      </c>
      <c r="I229" s="115"/>
      <c r="J229" s="115"/>
      <c r="K229" s="60">
        <f t="shared" si="2"/>
        <v>0</v>
      </c>
      <c r="L229" s="117"/>
    </row>
    <row r="230" ht="15.75" customHeight="1">
      <c r="A230" s="9"/>
      <c r="B230" s="164"/>
      <c r="C230" s="110"/>
      <c r="D230" s="110"/>
      <c r="E230" s="111"/>
      <c r="F230" s="112"/>
      <c r="G230" s="113"/>
      <c r="H230" s="53">
        <f t="shared" si="1"/>
        <v>0</v>
      </c>
      <c r="I230" s="115"/>
      <c r="J230" s="115"/>
      <c r="K230" s="60">
        <f t="shared" si="2"/>
        <v>0</v>
      </c>
      <c r="L230" s="117"/>
    </row>
    <row r="231" ht="15.75" customHeight="1">
      <c r="A231" s="9"/>
      <c r="B231" s="164"/>
      <c r="C231" s="110"/>
      <c r="D231" s="110"/>
      <c r="E231" s="111"/>
      <c r="F231" s="112"/>
      <c r="G231" s="113"/>
      <c r="H231" s="53">
        <f t="shared" si="1"/>
        <v>0</v>
      </c>
      <c r="I231" s="115"/>
      <c r="J231" s="115"/>
      <c r="K231" s="60">
        <f t="shared" si="2"/>
        <v>0</v>
      </c>
      <c r="L231" s="117"/>
    </row>
    <row r="232" ht="15.75" customHeight="1">
      <c r="A232" s="9"/>
      <c r="B232" s="164"/>
      <c r="C232" s="110"/>
      <c r="D232" s="110"/>
      <c r="E232" s="111"/>
      <c r="F232" s="112"/>
      <c r="G232" s="113"/>
      <c r="H232" s="53">
        <f t="shared" si="1"/>
        <v>0</v>
      </c>
      <c r="I232" s="115"/>
      <c r="J232" s="115"/>
      <c r="K232" s="60">
        <f t="shared" si="2"/>
        <v>0</v>
      </c>
      <c r="L232" s="117"/>
    </row>
    <row r="233" ht="15.75" customHeight="1">
      <c r="A233" s="9"/>
      <c r="B233" s="164"/>
      <c r="C233" s="110"/>
      <c r="D233" s="110"/>
      <c r="E233" s="111"/>
      <c r="F233" s="112"/>
      <c r="G233" s="113"/>
      <c r="H233" s="53">
        <f t="shared" si="1"/>
        <v>0</v>
      </c>
      <c r="I233" s="115"/>
      <c r="J233" s="115"/>
      <c r="K233" s="60">
        <f t="shared" si="2"/>
        <v>0</v>
      </c>
      <c r="L233" s="117"/>
    </row>
    <row r="234" ht="15.75" customHeight="1">
      <c r="A234" s="9"/>
      <c r="B234" s="164"/>
      <c r="C234" s="110"/>
      <c r="D234" s="110"/>
      <c r="E234" s="111"/>
      <c r="F234" s="112"/>
      <c r="G234" s="113"/>
      <c r="H234" s="53">
        <f t="shared" si="1"/>
        <v>0</v>
      </c>
      <c r="I234" s="115"/>
      <c r="J234" s="115"/>
      <c r="K234" s="60">
        <f t="shared" si="2"/>
        <v>0</v>
      </c>
      <c r="L234" s="117"/>
    </row>
    <row r="235" ht="15.75" customHeight="1">
      <c r="A235" s="9"/>
      <c r="B235" s="164"/>
      <c r="C235" s="110"/>
      <c r="D235" s="110"/>
      <c r="E235" s="111"/>
      <c r="F235" s="112"/>
      <c r="G235" s="113"/>
      <c r="H235" s="53">
        <f t="shared" si="1"/>
        <v>0</v>
      </c>
      <c r="I235" s="115"/>
      <c r="J235" s="115"/>
      <c r="K235" s="60">
        <f t="shared" si="2"/>
        <v>0</v>
      </c>
      <c r="L235" s="117"/>
    </row>
    <row r="236" ht="15.75" customHeight="1">
      <c r="A236" s="9"/>
      <c r="B236" s="164"/>
      <c r="C236" s="110"/>
      <c r="D236" s="110"/>
      <c r="E236" s="111"/>
      <c r="F236" s="112"/>
      <c r="G236" s="113"/>
      <c r="H236" s="53">
        <f t="shared" si="1"/>
        <v>0</v>
      </c>
      <c r="I236" s="115"/>
      <c r="J236" s="115"/>
      <c r="K236" s="60">
        <f t="shared" si="2"/>
        <v>0</v>
      </c>
      <c r="L236" s="117"/>
    </row>
    <row r="237" ht="15.75" customHeight="1">
      <c r="A237" s="9"/>
      <c r="B237" s="164"/>
      <c r="C237" s="110"/>
      <c r="D237" s="110"/>
      <c r="E237" s="111"/>
      <c r="F237" s="112"/>
      <c r="G237" s="113"/>
      <c r="H237" s="53">
        <f t="shared" si="1"/>
        <v>0</v>
      </c>
      <c r="I237" s="115"/>
      <c r="J237" s="115"/>
      <c r="K237" s="60">
        <f t="shared" si="2"/>
        <v>0</v>
      </c>
      <c r="L237" s="117"/>
    </row>
    <row r="238" ht="15.75" customHeight="1">
      <c r="A238" s="9"/>
      <c r="B238" s="164"/>
      <c r="C238" s="110"/>
      <c r="D238" s="110"/>
      <c r="E238" s="111"/>
      <c r="F238" s="112"/>
      <c r="G238" s="113"/>
      <c r="H238" s="53">
        <f t="shared" si="1"/>
        <v>0</v>
      </c>
      <c r="I238" s="115"/>
      <c r="J238" s="115"/>
      <c r="K238" s="60">
        <f t="shared" si="2"/>
        <v>0</v>
      </c>
      <c r="L238" s="117"/>
    </row>
    <row r="239" ht="15.75" customHeight="1">
      <c r="A239" s="9"/>
      <c r="B239" s="164"/>
      <c r="C239" s="110"/>
      <c r="D239" s="110"/>
      <c r="E239" s="111"/>
      <c r="F239" s="112"/>
      <c r="G239" s="113"/>
      <c r="H239" s="53">
        <f t="shared" si="1"/>
        <v>0</v>
      </c>
      <c r="I239" s="115"/>
      <c r="J239" s="115"/>
      <c r="K239" s="60">
        <f t="shared" si="2"/>
        <v>0</v>
      </c>
      <c r="L239" s="117"/>
    </row>
    <row r="240" ht="15.75" customHeight="1">
      <c r="A240" s="9"/>
      <c r="B240" s="164"/>
      <c r="C240" s="110"/>
      <c r="D240" s="110"/>
      <c r="E240" s="111"/>
      <c r="F240" s="112"/>
      <c r="G240" s="113"/>
      <c r="H240" s="53">
        <f t="shared" si="1"/>
        <v>0</v>
      </c>
      <c r="I240" s="115"/>
      <c r="J240" s="115"/>
      <c r="K240" s="60">
        <f t="shared" si="2"/>
        <v>0</v>
      </c>
      <c r="L240" s="117"/>
    </row>
    <row r="241" ht="15.75" customHeight="1">
      <c r="A241" s="9"/>
      <c r="B241" s="164"/>
      <c r="C241" s="110"/>
      <c r="D241" s="110"/>
      <c r="E241" s="111"/>
      <c r="F241" s="112"/>
      <c r="G241" s="113"/>
      <c r="H241" s="53">
        <f t="shared" si="1"/>
        <v>0</v>
      </c>
      <c r="I241" s="115"/>
      <c r="J241" s="115"/>
      <c r="K241" s="60">
        <f t="shared" si="2"/>
        <v>0</v>
      </c>
      <c r="L241" s="117"/>
    </row>
    <row r="242" ht="15.75" customHeight="1">
      <c r="A242" s="9"/>
      <c r="B242" s="164"/>
      <c r="C242" s="110"/>
      <c r="D242" s="110"/>
      <c r="E242" s="111"/>
      <c r="F242" s="112"/>
      <c r="G242" s="113"/>
      <c r="H242" s="53">
        <f t="shared" si="1"/>
        <v>0</v>
      </c>
      <c r="I242" s="115"/>
      <c r="J242" s="115"/>
      <c r="K242" s="60">
        <f t="shared" si="2"/>
        <v>0</v>
      </c>
      <c r="L242" s="117"/>
    </row>
    <row r="243" ht="15.75" customHeight="1">
      <c r="A243" s="9"/>
      <c r="B243" s="164"/>
      <c r="C243" s="110"/>
      <c r="D243" s="110"/>
      <c r="E243" s="111"/>
      <c r="F243" s="112"/>
      <c r="G243" s="113"/>
      <c r="H243" s="53">
        <f t="shared" si="1"/>
        <v>0</v>
      </c>
      <c r="I243" s="115"/>
      <c r="J243" s="115"/>
      <c r="K243" s="60">
        <f t="shared" si="2"/>
        <v>0</v>
      </c>
      <c r="L243" s="117"/>
    </row>
    <row r="244" ht="15.75" customHeight="1">
      <c r="A244" s="9"/>
      <c r="B244" s="164"/>
      <c r="C244" s="110"/>
      <c r="D244" s="110"/>
      <c r="E244" s="111"/>
      <c r="F244" s="112"/>
      <c r="G244" s="113"/>
      <c r="H244" s="53">
        <f t="shared" si="1"/>
        <v>0</v>
      </c>
      <c r="I244" s="115"/>
      <c r="J244" s="115"/>
      <c r="K244" s="60">
        <f t="shared" si="2"/>
        <v>0</v>
      </c>
      <c r="L244" s="117"/>
    </row>
    <row r="245" ht="15.75" customHeight="1">
      <c r="A245" s="9"/>
      <c r="B245" s="164"/>
      <c r="C245" s="110"/>
      <c r="D245" s="110"/>
      <c r="E245" s="111"/>
      <c r="F245" s="112"/>
      <c r="G245" s="113"/>
      <c r="H245" s="53">
        <f t="shared" si="1"/>
        <v>0</v>
      </c>
      <c r="I245" s="115"/>
      <c r="J245" s="115"/>
      <c r="K245" s="60">
        <f t="shared" si="2"/>
        <v>0</v>
      </c>
      <c r="L245" s="117"/>
    </row>
    <row r="246" ht="15.75" customHeight="1">
      <c r="A246" s="9"/>
      <c r="B246" s="164"/>
      <c r="C246" s="110"/>
      <c r="D246" s="110"/>
      <c r="E246" s="111"/>
      <c r="F246" s="112"/>
      <c r="G246" s="113"/>
      <c r="H246" s="53">
        <f t="shared" si="1"/>
        <v>0</v>
      </c>
      <c r="I246" s="115"/>
      <c r="J246" s="115"/>
      <c r="K246" s="60">
        <f t="shared" si="2"/>
        <v>0</v>
      </c>
      <c r="L246" s="117"/>
    </row>
    <row r="247" ht="15.75" customHeight="1">
      <c r="A247" s="9"/>
      <c r="B247" s="164"/>
      <c r="C247" s="110"/>
      <c r="D247" s="110"/>
      <c r="E247" s="111"/>
      <c r="F247" s="112"/>
      <c r="G247" s="113"/>
      <c r="H247" s="53">
        <f t="shared" si="1"/>
        <v>0</v>
      </c>
      <c r="I247" s="115"/>
      <c r="J247" s="115"/>
      <c r="K247" s="60">
        <f t="shared" si="2"/>
        <v>0</v>
      </c>
      <c r="L247" s="117"/>
    </row>
    <row r="248" ht="15.75" customHeight="1">
      <c r="A248" s="9"/>
      <c r="B248" s="164"/>
      <c r="C248" s="110"/>
      <c r="D248" s="110"/>
      <c r="E248" s="111"/>
      <c r="F248" s="112"/>
      <c r="G248" s="113"/>
      <c r="H248" s="53">
        <f t="shared" si="1"/>
        <v>0</v>
      </c>
      <c r="I248" s="115"/>
      <c r="J248" s="115"/>
      <c r="K248" s="60">
        <f t="shared" si="2"/>
        <v>0</v>
      </c>
      <c r="L248" s="117"/>
    </row>
    <row r="249" ht="15.75" customHeight="1">
      <c r="A249" s="9"/>
      <c r="B249" s="164"/>
      <c r="C249" s="110"/>
      <c r="D249" s="110"/>
      <c r="E249" s="111"/>
      <c r="F249" s="112"/>
      <c r="G249" s="113"/>
      <c r="H249" s="53">
        <f t="shared" si="1"/>
        <v>0</v>
      </c>
      <c r="I249" s="115"/>
      <c r="J249" s="115"/>
      <c r="K249" s="60">
        <f t="shared" si="2"/>
        <v>0</v>
      </c>
      <c r="L249" s="117"/>
    </row>
    <row r="250" ht="15.75" customHeight="1">
      <c r="A250" s="9"/>
      <c r="B250" s="164"/>
      <c r="C250" s="110"/>
      <c r="D250" s="110"/>
      <c r="E250" s="111"/>
      <c r="F250" s="112"/>
      <c r="G250" s="113"/>
      <c r="H250" s="53">
        <f t="shared" si="1"/>
        <v>0</v>
      </c>
      <c r="I250" s="115"/>
      <c r="J250" s="115"/>
      <c r="K250" s="60">
        <f t="shared" si="2"/>
        <v>0</v>
      </c>
      <c r="L250" s="117"/>
    </row>
    <row r="251" ht="15.75" customHeight="1">
      <c r="A251" s="9"/>
      <c r="B251" s="164"/>
      <c r="C251" s="110"/>
      <c r="D251" s="110"/>
      <c r="E251" s="111"/>
      <c r="F251" s="112"/>
      <c r="G251" s="113"/>
      <c r="H251" s="53">
        <f t="shared" si="1"/>
        <v>0</v>
      </c>
      <c r="I251" s="115"/>
      <c r="J251" s="115"/>
      <c r="K251" s="60">
        <f t="shared" si="2"/>
        <v>0</v>
      </c>
      <c r="L251" s="117"/>
    </row>
    <row r="252" ht="15.75" customHeight="1">
      <c r="A252" s="9"/>
      <c r="B252" s="164"/>
      <c r="C252" s="110"/>
      <c r="D252" s="110"/>
      <c r="E252" s="111"/>
      <c r="F252" s="112"/>
      <c r="G252" s="113"/>
      <c r="H252" s="53">
        <f t="shared" si="1"/>
        <v>0</v>
      </c>
      <c r="I252" s="115"/>
      <c r="J252" s="115"/>
      <c r="K252" s="60">
        <f t="shared" si="2"/>
        <v>0</v>
      </c>
      <c r="L252" s="117"/>
    </row>
    <row r="253" ht="15.75" customHeight="1">
      <c r="A253" s="9"/>
      <c r="B253" s="164"/>
      <c r="C253" s="110"/>
      <c r="D253" s="110"/>
      <c r="E253" s="111"/>
      <c r="F253" s="112"/>
      <c r="G253" s="113"/>
      <c r="H253" s="53">
        <f t="shared" si="1"/>
        <v>0</v>
      </c>
      <c r="I253" s="115"/>
      <c r="J253" s="115"/>
      <c r="K253" s="60">
        <f t="shared" si="2"/>
        <v>0</v>
      </c>
      <c r="L253" s="117"/>
    </row>
    <row r="254" ht="15.75" customHeight="1">
      <c r="A254" s="9"/>
      <c r="B254" s="164"/>
      <c r="C254" s="110"/>
      <c r="D254" s="110"/>
      <c r="E254" s="111"/>
      <c r="F254" s="112"/>
      <c r="G254" s="113"/>
      <c r="H254" s="53">
        <f t="shared" si="1"/>
        <v>0</v>
      </c>
      <c r="I254" s="115"/>
      <c r="J254" s="115"/>
      <c r="K254" s="60">
        <f t="shared" si="2"/>
        <v>0</v>
      </c>
      <c r="L254" s="117"/>
    </row>
    <row r="255" ht="15.75" customHeight="1">
      <c r="A255" s="9"/>
      <c r="B255" s="164"/>
      <c r="C255" s="110"/>
      <c r="D255" s="110"/>
      <c r="E255" s="111"/>
      <c r="F255" s="112"/>
      <c r="G255" s="113"/>
      <c r="H255" s="53">
        <f t="shared" si="1"/>
        <v>0</v>
      </c>
      <c r="I255" s="115"/>
      <c r="J255" s="115"/>
      <c r="K255" s="60">
        <f t="shared" si="2"/>
        <v>0</v>
      </c>
      <c r="L255" s="117"/>
    </row>
    <row r="256" ht="15.75" customHeight="1">
      <c r="A256" s="9"/>
      <c r="B256" s="164"/>
      <c r="C256" s="110"/>
      <c r="D256" s="110"/>
      <c r="E256" s="111"/>
      <c r="F256" s="112"/>
      <c r="G256" s="113"/>
      <c r="H256" s="53">
        <f t="shared" si="1"/>
        <v>0</v>
      </c>
      <c r="I256" s="115"/>
      <c r="J256" s="115"/>
      <c r="K256" s="60">
        <f t="shared" si="2"/>
        <v>0</v>
      </c>
      <c r="L256" s="117"/>
    </row>
    <row r="257" ht="15.75" customHeight="1">
      <c r="A257" s="9"/>
      <c r="B257" s="164"/>
      <c r="C257" s="110"/>
      <c r="D257" s="110"/>
      <c r="E257" s="111"/>
      <c r="F257" s="112"/>
      <c r="G257" s="113"/>
      <c r="H257" s="53">
        <f t="shared" si="1"/>
        <v>0</v>
      </c>
      <c r="I257" s="115"/>
      <c r="J257" s="115"/>
      <c r="K257" s="60">
        <f t="shared" si="2"/>
        <v>0</v>
      </c>
      <c r="L257" s="117"/>
    </row>
    <row r="258" ht="15.75" customHeight="1">
      <c r="A258" s="9"/>
      <c r="B258" s="164"/>
      <c r="C258" s="110"/>
      <c r="D258" s="110"/>
      <c r="E258" s="111"/>
      <c r="F258" s="112"/>
      <c r="G258" s="113"/>
      <c r="H258" s="53">
        <f t="shared" si="1"/>
        <v>0</v>
      </c>
      <c r="I258" s="115"/>
      <c r="J258" s="115"/>
      <c r="K258" s="60">
        <f t="shared" si="2"/>
        <v>0</v>
      </c>
      <c r="L258" s="117"/>
    </row>
    <row r="259" ht="15.75" customHeight="1">
      <c r="A259" s="9"/>
      <c r="B259" s="164"/>
      <c r="C259" s="110"/>
      <c r="D259" s="110"/>
      <c r="E259" s="111"/>
      <c r="F259" s="112"/>
      <c r="G259" s="113"/>
      <c r="H259" s="53">
        <f t="shared" si="1"/>
        <v>0</v>
      </c>
      <c r="I259" s="115"/>
      <c r="J259" s="115"/>
      <c r="K259" s="60">
        <f t="shared" si="2"/>
        <v>0</v>
      </c>
      <c r="L259" s="117"/>
    </row>
    <row r="260" ht="15.75" customHeight="1">
      <c r="A260" s="9"/>
      <c r="B260" s="164"/>
      <c r="C260" s="110"/>
      <c r="D260" s="110"/>
      <c r="E260" s="111"/>
      <c r="F260" s="112"/>
      <c r="G260" s="113"/>
      <c r="H260" s="53">
        <f t="shared" si="1"/>
        <v>0</v>
      </c>
      <c r="I260" s="115"/>
      <c r="J260" s="115"/>
      <c r="K260" s="60">
        <f t="shared" si="2"/>
        <v>0</v>
      </c>
      <c r="L260" s="117"/>
    </row>
    <row r="261" ht="15.75" customHeight="1">
      <c r="A261" s="9"/>
      <c r="B261" s="164"/>
      <c r="C261" s="110"/>
      <c r="D261" s="110"/>
      <c r="E261" s="111"/>
      <c r="F261" s="112"/>
      <c r="G261" s="113"/>
      <c r="H261" s="53">
        <f t="shared" si="1"/>
        <v>0</v>
      </c>
      <c r="I261" s="115"/>
      <c r="J261" s="115"/>
      <c r="K261" s="60">
        <f t="shared" si="2"/>
        <v>0</v>
      </c>
      <c r="L261" s="117"/>
    </row>
    <row r="262" ht="15.75" customHeight="1">
      <c r="A262" s="9"/>
      <c r="B262" s="164"/>
      <c r="C262" s="110"/>
      <c r="D262" s="110"/>
      <c r="E262" s="111"/>
      <c r="F262" s="112"/>
      <c r="G262" s="113"/>
      <c r="H262" s="53">
        <f t="shared" si="1"/>
        <v>0</v>
      </c>
      <c r="I262" s="115"/>
      <c r="J262" s="115"/>
      <c r="K262" s="60">
        <f t="shared" si="2"/>
        <v>0</v>
      </c>
      <c r="L262" s="117"/>
    </row>
    <row r="263" ht="15.75" customHeight="1">
      <c r="A263" s="9"/>
      <c r="B263" s="164"/>
      <c r="C263" s="110"/>
      <c r="D263" s="110"/>
      <c r="E263" s="111"/>
      <c r="F263" s="112"/>
      <c r="G263" s="113"/>
      <c r="H263" s="53">
        <f t="shared" si="1"/>
        <v>0</v>
      </c>
      <c r="I263" s="115"/>
      <c r="J263" s="115"/>
      <c r="K263" s="60">
        <f t="shared" si="2"/>
        <v>0</v>
      </c>
      <c r="L263" s="117"/>
    </row>
    <row r="264" ht="15.75" customHeight="1">
      <c r="A264" s="9"/>
      <c r="B264" s="164"/>
      <c r="C264" s="110"/>
      <c r="D264" s="110"/>
      <c r="E264" s="111"/>
      <c r="F264" s="112"/>
      <c r="G264" s="113"/>
      <c r="H264" s="53">
        <f t="shared" si="1"/>
        <v>0</v>
      </c>
      <c r="I264" s="115"/>
      <c r="J264" s="115"/>
      <c r="K264" s="60">
        <f t="shared" si="2"/>
        <v>0</v>
      </c>
      <c r="L264" s="117"/>
    </row>
    <row r="265" ht="15.75" customHeight="1">
      <c r="A265" s="9"/>
      <c r="B265" s="164"/>
      <c r="C265" s="110"/>
      <c r="D265" s="110"/>
      <c r="E265" s="111"/>
      <c r="F265" s="112"/>
      <c r="G265" s="113"/>
      <c r="H265" s="53">
        <f t="shared" si="1"/>
        <v>0</v>
      </c>
      <c r="I265" s="115"/>
      <c r="J265" s="115"/>
      <c r="K265" s="60">
        <f t="shared" si="2"/>
        <v>0</v>
      </c>
      <c r="L265" s="117"/>
    </row>
    <row r="266" ht="15.75" customHeight="1">
      <c r="A266" s="9"/>
      <c r="B266" s="164"/>
      <c r="C266" s="110"/>
      <c r="D266" s="110"/>
      <c r="E266" s="111"/>
      <c r="F266" s="112"/>
      <c r="G266" s="113"/>
      <c r="H266" s="53">
        <f t="shared" si="1"/>
        <v>0</v>
      </c>
      <c r="I266" s="115"/>
      <c r="J266" s="115"/>
      <c r="K266" s="60">
        <f t="shared" si="2"/>
        <v>0</v>
      </c>
      <c r="L266" s="117"/>
    </row>
    <row r="267" ht="15.75" customHeight="1">
      <c r="A267" s="9"/>
      <c r="B267" s="164"/>
      <c r="C267" s="110"/>
      <c r="D267" s="110"/>
      <c r="E267" s="111"/>
      <c r="F267" s="112"/>
      <c r="G267" s="113"/>
      <c r="H267" s="53">
        <f t="shared" si="1"/>
        <v>0</v>
      </c>
      <c r="I267" s="115"/>
      <c r="J267" s="115"/>
      <c r="K267" s="60">
        <f t="shared" si="2"/>
        <v>0</v>
      </c>
      <c r="L267" s="117"/>
    </row>
    <row r="268" ht="15.75" customHeight="1">
      <c r="A268" s="9"/>
      <c r="B268" s="164"/>
      <c r="C268" s="110"/>
      <c r="D268" s="110"/>
      <c r="E268" s="111"/>
      <c r="F268" s="112"/>
      <c r="G268" s="113"/>
      <c r="H268" s="53">
        <f t="shared" si="1"/>
        <v>0</v>
      </c>
      <c r="I268" s="115"/>
      <c r="J268" s="115"/>
      <c r="K268" s="60">
        <f t="shared" si="2"/>
        <v>0</v>
      </c>
      <c r="L268" s="117"/>
    </row>
    <row r="269" ht="15.75" customHeight="1">
      <c r="A269" s="9"/>
      <c r="B269" s="164"/>
      <c r="C269" s="110"/>
      <c r="D269" s="110"/>
      <c r="E269" s="111"/>
      <c r="F269" s="112"/>
      <c r="G269" s="113"/>
      <c r="H269" s="53">
        <f t="shared" si="1"/>
        <v>0</v>
      </c>
      <c r="I269" s="115"/>
      <c r="J269" s="115"/>
      <c r="K269" s="60">
        <f t="shared" si="2"/>
        <v>0</v>
      </c>
      <c r="L269" s="117"/>
    </row>
    <row r="270" ht="15.75" customHeight="1">
      <c r="A270" s="9"/>
      <c r="B270" s="164"/>
      <c r="C270" s="110"/>
      <c r="D270" s="110"/>
      <c r="E270" s="111"/>
      <c r="F270" s="112"/>
      <c r="G270" s="113"/>
      <c r="H270" s="53">
        <f t="shared" si="1"/>
        <v>0</v>
      </c>
      <c r="I270" s="115"/>
      <c r="J270" s="115"/>
      <c r="K270" s="60">
        <f t="shared" si="2"/>
        <v>0</v>
      </c>
      <c r="L270" s="117"/>
    </row>
    <row r="271" ht="15.75" customHeight="1">
      <c r="A271" s="9"/>
      <c r="B271" s="164"/>
      <c r="C271" s="110"/>
      <c r="D271" s="110"/>
      <c r="E271" s="111"/>
      <c r="F271" s="112"/>
      <c r="G271" s="113"/>
      <c r="H271" s="53">
        <f t="shared" si="1"/>
        <v>0</v>
      </c>
      <c r="I271" s="115"/>
      <c r="J271" s="115"/>
      <c r="K271" s="60">
        <f t="shared" si="2"/>
        <v>0</v>
      </c>
      <c r="L271" s="117"/>
    </row>
    <row r="272" ht="15.75" customHeight="1">
      <c r="A272" s="9"/>
      <c r="B272" s="164"/>
      <c r="C272" s="110"/>
      <c r="D272" s="110"/>
      <c r="E272" s="111"/>
      <c r="F272" s="112"/>
      <c r="G272" s="113"/>
      <c r="H272" s="53">
        <f t="shared" si="1"/>
        <v>0</v>
      </c>
      <c r="I272" s="115"/>
      <c r="J272" s="115"/>
      <c r="K272" s="60">
        <f t="shared" si="2"/>
        <v>0</v>
      </c>
      <c r="L272" s="117"/>
    </row>
    <row r="273" ht="15.75" customHeight="1">
      <c r="A273" s="9"/>
      <c r="B273" s="164"/>
      <c r="C273" s="110"/>
      <c r="D273" s="110"/>
      <c r="E273" s="111"/>
      <c r="F273" s="112"/>
      <c r="G273" s="113"/>
      <c r="H273" s="53">
        <f t="shared" si="1"/>
        <v>0</v>
      </c>
      <c r="I273" s="115"/>
      <c r="J273" s="115"/>
      <c r="K273" s="60">
        <f t="shared" si="2"/>
        <v>0</v>
      </c>
      <c r="L273" s="117"/>
    </row>
    <row r="274" ht="15.75" customHeight="1">
      <c r="A274" s="9"/>
      <c r="B274" s="164"/>
      <c r="C274" s="110"/>
      <c r="D274" s="110"/>
      <c r="E274" s="111"/>
      <c r="F274" s="112"/>
      <c r="G274" s="113"/>
      <c r="H274" s="53">
        <f t="shared" si="1"/>
        <v>0</v>
      </c>
      <c r="I274" s="115"/>
      <c r="J274" s="115"/>
      <c r="K274" s="60">
        <f t="shared" si="2"/>
        <v>0</v>
      </c>
      <c r="L274" s="117"/>
    </row>
    <row r="275" ht="15.75" customHeight="1">
      <c r="A275" s="9"/>
      <c r="B275" s="164"/>
      <c r="C275" s="110"/>
      <c r="D275" s="110"/>
      <c r="E275" s="111"/>
      <c r="F275" s="112"/>
      <c r="G275" s="113"/>
      <c r="H275" s="53">
        <f t="shared" si="1"/>
        <v>0</v>
      </c>
      <c r="I275" s="115"/>
      <c r="J275" s="115"/>
      <c r="K275" s="60">
        <f t="shared" si="2"/>
        <v>0</v>
      </c>
      <c r="L275" s="117"/>
    </row>
    <row r="276" ht="15.75" customHeight="1">
      <c r="A276" s="9"/>
      <c r="B276" s="164"/>
      <c r="C276" s="110"/>
      <c r="D276" s="110"/>
      <c r="E276" s="111"/>
      <c r="F276" s="112"/>
      <c r="G276" s="113"/>
      <c r="H276" s="53">
        <f t="shared" si="1"/>
        <v>0</v>
      </c>
      <c r="I276" s="115"/>
      <c r="J276" s="115"/>
      <c r="K276" s="60">
        <f t="shared" si="2"/>
        <v>0</v>
      </c>
      <c r="L276" s="117"/>
    </row>
    <row r="277" ht="15.75" customHeight="1">
      <c r="A277" s="9"/>
      <c r="B277" s="164"/>
      <c r="C277" s="110"/>
      <c r="D277" s="110"/>
      <c r="E277" s="111"/>
      <c r="F277" s="112"/>
      <c r="G277" s="113"/>
      <c r="H277" s="53">
        <f t="shared" si="1"/>
        <v>0</v>
      </c>
      <c r="I277" s="115"/>
      <c r="J277" s="115"/>
      <c r="K277" s="60">
        <f t="shared" si="2"/>
        <v>0</v>
      </c>
      <c r="L277" s="117"/>
    </row>
    <row r="278" ht="15.75" customHeight="1">
      <c r="A278" s="9"/>
      <c r="B278" s="164"/>
      <c r="C278" s="110"/>
      <c r="D278" s="110"/>
      <c r="E278" s="111"/>
      <c r="F278" s="112"/>
      <c r="G278" s="113"/>
      <c r="H278" s="53">
        <f t="shared" si="1"/>
        <v>0</v>
      </c>
      <c r="I278" s="115"/>
      <c r="J278" s="115"/>
      <c r="K278" s="60">
        <f t="shared" si="2"/>
        <v>0</v>
      </c>
      <c r="L278" s="117"/>
    </row>
    <row r="279" ht="15.75" customHeight="1">
      <c r="A279" s="9"/>
      <c r="B279" s="164"/>
      <c r="C279" s="110"/>
      <c r="D279" s="110"/>
      <c r="E279" s="111"/>
      <c r="F279" s="112"/>
      <c r="G279" s="113"/>
      <c r="H279" s="53">
        <f t="shared" si="1"/>
        <v>0</v>
      </c>
      <c r="I279" s="115"/>
      <c r="J279" s="115"/>
      <c r="K279" s="60">
        <f t="shared" si="2"/>
        <v>0</v>
      </c>
      <c r="L279" s="117"/>
    </row>
    <row r="280" ht="15.75" customHeight="1">
      <c r="A280" s="9"/>
      <c r="B280" s="164"/>
      <c r="C280" s="110"/>
      <c r="D280" s="110"/>
      <c r="E280" s="111"/>
      <c r="F280" s="112"/>
      <c r="G280" s="113"/>
      <c r="H280" s="53">
        <f t="shared" si="1"/>
        <v>0</v>
      </c>
      <c r="I280" s="115"/>
      <c r="J280" s="115"/>
      <c r="K280" s="60">
        <f t="shared" si="2"/>
        <v>0</v>
      </c>
      <c r="L280" s="117"/>
    </row>
    <row r="281" ht="15.75" customHeight="1">
      <c r="A281" s="9"/>
      <c r="B281" s="164"/>
      <c r="C281" s="110"/>
      <c r="D281" s="110"/>
      <c r="E281" s="111"/>
      <c r="F281" s="112"/>
      <c r="G281" s="113"/>
      <c r="H281" s="53">
        <f t="shared" si="1"/>
        <v>0</v>
      </c>
      <c r="I281" s="115"/>
      <c r="J281" s="115"/>
      <c r="K281" s="60">
        <f t="shared" si="2"/>
        <v>0</v>
      </c>
      <c r="L281" s="117"/>
    </row>
    <row r="282" ht="15.75" customHeight="1">
      <c r="A282" s="9"/>
      <c r="B282" s="164"/>
      <c r="C282" s="110"/>
      <c r="D282" s="110"/>
      <c r="E282" s="111"/>
      <c r="F282" s="112"/>
      <c r="G282" s="113"/>
      <c r="H282" s="53">
        <f t="shared" si="1"/>
        <v>0</v>
      </c>
      <c r="I282" s="115"/>
      <c r="J282" s="115"/>
      <c r="K282" s="60">
        <f t="shared" si="2"/>
        <v>0</v>
      </c>
      <c r="L282" s="117"/>
    </row>
    <row r="283" ht="15.75" customHeight="1">
      <c r="A283" s="9"/>
      <c r="B283" s="164"/>
      <c r="C283" s="110"/>
      <c r="D283" s="110"/>
      <c r="E283" s="111"/>
      <c r="F283" s="112"/>
      <c r="G283" s="113"/>
      <c r="H283" s="53">
        <f t="shared" si="1"/>
        <v>0</v>
      </c>
      <c r="I283" s="115"/>
      <c r="J283" s="115"/>
      <c r="K283" s="60">
        <f t="shared" si="2"/>
        <v>0</v>
      </c>
      <c r="L283" s="117"/>
    </row>
    <row r="284" ht="15.75" customHeight="1">
      <c r="A284" s="9"/>
      <c r="B284" s="164"/>
      <c r="C284" s="110"/>
      <c r="D284" s="110"/>
      <c r="E284" s="111"/>
      <c r="F284" s="112"/>
      <c r="G284" s="113"/>
      <c r="H284" s="53">
        <f t="shared" si="1"/>
        <v>0</v>
      </c>
      <c r="I284" s="115"/>
      <c r="J284" s="115"/>
      <c r="K284" s="60">
        <f t="shared" si="2"/>
        <v>0</v>
      </c>
      <c r="L284" s="117"/>
    </row>
    <row r="285" ht="15.75" customHeight="1">
      <c r="A285" s="9"/>
      <c r="B285" s="164"/>
      <c r="C285" s="110"/>
      <c r="D285" s="110"/>
      <c r="E285" s="111"/>
      <c r="F285" s="112"/>
      <c r="G285" s="113"/>
      <c r="H285" s="53">
        <f t="shared" si="1"/>
        <v>0</v>
      </c>
      <c r="I285" s="115"/>
      <c r="J285" s="115"/>
      <c r="K285" s="60">
        <f t="shared" si="2"/>
        <v>0</v>
      </c>
      <c r="L285" s="117"/>
    </row>
    <row r="286" ht="15.75" customHeight="1">
      <c r="A286" s="9"/>
      <c r="B286" s="164"/>
      <c r="C286" s="110"/>
      <c r="D286" s="110"/>
      <c r="E286" s="111"/>
      <c r="F286" s="112"/>
      <c r="G286" s="113"/>
      <c r="H286" s="53">
        <f t="shared" si="1"/>
        <v>0</v>
      </c>
      <c r="I286" s="115"/>
      <c r="J286" s="115"/>
      <c r="K286" s="60">
        <f t="shared" si="2"/>
        <v>0</v>
      </c>
      <c r="L286" s="117"/>
    </row>
    <row r="287" ht="15.75" customHeight="1">
      <c r="A287" s="9"/>
      <c r="B287" s="164"/>
      <c r="C287" s="110"/>
      <c r="D287" s="110"/>
      <c r="E287" s="111"/>
      <c r="F287" s="112"/>
      <c r="G287" s="113"/>
      <c r="H287" s="53">
        <f t="shared" si="1"/>
        <v>0</v>
      </c>
      <c r="I287" s="115"/>
      <c r="J287" s="115"/>
      <c r="K287" s="60">
        <f t="shared" si="2"/>
        <v>0</v>
      </c>
      <c r="L287" s="117"/>
    </row>
    <row r="288" ht="15.75" customHeight="1">
      <c r="A288" s="9"/>
      <c r="B288" s="164"/>
      <c r="C288" s="110"/>
      <c r="D288" s="110"/>
      <c r="E288" s="111"/>
      <c r="F288" s="112"/>
      <c r="G288" s="113"/>
      <c r="H288" s="53">
        <f t="shared" si="1"/>
        <v>0</v>
      </c>
      <c r="I288" s="115"/>
      <c r="J288" s="115"/>
      <c r="K288" s="60">
        <f t="shared" si="2"/>
        <v>0</v>
      </c>
      <c r="L288" s="117"/>
    </row>
    <row r="289" ht="15.75" customHeight="1">
      <c r="A289" s="9"/>
      <c r="B289" s="164"/>
      <c r="C289" s="110"/>
      <c r="D289" s="110"/>
      <c r="E289" s="111"/>
      <c r="F289" s="112"/>
      <c r="G289" s="113"/>
      <c r="H289" s="53">
        <f t="shared" si="1"/>
        <v>0</v>
      </c>
      <c r="I289" s="115"/>
      <c r="J289" s="115"/>
      <c r="K289" s="60">
        <f t="shared" si="2"/>
        <v>0</v>
      </c>
      <c r="L289" s="117"/>
    </row>
    <row r="290" ht="15.75" customHeight="1">
      <c r="A290" s="9"/>
      <c r="B290" s="164"/>
      <c r="C290" s="110"/>
      <c r="D290" s="110"/>
      <c r="E290" s="111"/>
      <c r="F290" s="112"/>
      <c r="G290" s="113"/>
      <c r="H290" s="53">
        <f t="shared" si="1"/>
        <v>0</v>
      </c>
      <c r="I290" s="115"/>
      <c r="J290" s="115"/>
      <c r="K290" s="60">
        <f t="shared" si="2"/>
        <v>0</v>
      </c>
      <c r="L290" s="117"/>
    </row>
    <row r="291" ht="15.75" customHeight="1">
      <c r="A291" s="9"/>
      <c r="B291" s="164"/>
      <c r="C291" s="110"/>
      <c r="D291" s="110"/>
      <c r="E291" s="111"/>
      <c r="F291" s="112"/>
      <c r="G291" s="113"/>
      <c r="H291" s="53">
        <f t="shared" si="1"/>
        <v>0</v>
      </c>
      <c r="I291" s="115"/>
      <c r="J291" s="115"/>
      <c r="K291" s="60">
        <f t="shared" si="2"/>
        <v>0</v>
      </c>
      <c r="L291" s="117"/>
    </row>
    <row r="292" ht="15.75" customHeight="1">
      <c r="A292" s="9"/>
      <c r="B292" s="164"/>
      <c r="C292" s="110"/>
      <c r="D292" s="110"/>
      <c r="E292" s="111"/>
      <c r="F292" s="112"/>
      <c r="G292" s="113"/>
      <c r="H292" s="53">
        <f t="shared" si="1"/>
        <v>0</v>
      </c>
      <c r="I292" s="115"/>
      <c r="J292" s="115"/>
      <c r="K292" s="60">
        <f t="shared" si="2"/>
        <v>0</v>
      </c>
      <c r="L292" s="117"/>
    </row>
    <row r="293" ht="15.75" customHeight="1">
      <c r="A293" s="9"/>
      <c r="B293" s="164"/>
      <c r="C293" s="110"/>
      <c r="D293" s="110"/>
      <c r="E293" s="111"/>
      <c r="F293" s="112"/>
      <c r="G293" s="113"/>
      <c r="H293" s="53">
        <f t="shared" si="1"/>
        <v>0</v>
      </c>
      <c r="I293" s="115"/>
      <c r="J293" s="115"/>
      <c r="K293" s="60">
        <f t="shared" si="2"/>
        <v>0</v>
      </c>
      <c r="L293" s="117"/>
    </row>
    <row r="294" ht="15.75" customHeight="1">
      <c r="A294" s="9"/>
      <c r="B294" s="164"/>
      <c r="C294" s="110"/>
      <c r="D294" s="110"/>
      <c r="E294" s="111"/>
      <c r="F294" s="112"/>
      <c r="G294" s="113"/>
      <c r="H294" s="53">
        <f t="shared" si="1"/>
        <v>0</v>
      </c>
      <c r="I294" s="115"/>
      <c r="J294" s="115"/>
      <c r="K294" s="60">
        <f t="shared" si="2"/>
        <v>0</v>
      </c>
      <c r="L294" s="117"/>
    </row>
    <row r="295" ht="15.75" customHeight="1">
      <c r="A295" s="9"/>
      <c r="B295" s="164"/>
      <c r="C295" s="110"/>
      <c r="D295" s="110"/>
      <c r="E295" s="111"/>
      <c r="F295" s="112"/>
      <c r="G295" s="113"/>
      <c r="H295" s="53">
        <f t="shared" si="1"/>
        <v>0</v>
      </c>
      <c r="I295" s="115"/>
      <c r="J295" s="115"/>
      <c r="K295" s="60">
        <f t="shared" si="2"/>
        <v>0</v>
      </c>
      <c r="L295" s="117"/>
    </row>
    <row r="296" ht="15.75" customHeight="1">
      <c r="A296" s="9"/>
      <c r="B296" s="164"/>
      <c r="C296" s="110"/>
      <c r="D296" s="110"/>
      <c r="E296" s="111"/>
      <c r="F296" s="112"/>
      <c r="G296" s="113"/>
      <c r="H296" s="53">
        <f t="shared" si="1"/>
        <v>0</v>
      </c>
      <c r="I296" s="115"/>
      <c r="J296" s="115"/>
      <c r="K296" s="60">
        <f t="shared" si="2"/>
        <v>0</v>
      </c>
      <c r="L296" s="117"/>
    </row>
    <row r="297" ht="15.75" customHeight="1">
      <c r="A297" s="9"/>
      <c r="B297" s="164"/>
      <c r="C297" s="110"/>
      <c r="D297" s="110"/>
      <c r="E297" s="111"/>
      <c r="F297" s="112"/>
      <c r="G297" s="113"/>
      <c r="H297" s="53">
        <f t="shared" si="1"/>
        <v>0</v>
      </c>
      <c r="I297" s="115"/>
      <c r="J297" s="115"/>
      <c r="K297" s="60">
        <f t="shared" si="2"/>
        <v>0</v>
      </c>
      <c r="L297" s="117"/>
    </row>
    <row r="298" ht="15.75" customHeight="1">
      <c r="A298" s="9"/>
      <c r="B298" s="164"/>
      <c r="C298" s="110"/>
      <c r="D298" s="110"/>
      <c r="E298" s="111"/>
      <c r="F298" s="112"/>
      <c r="G298" s="113"/>
      <c r="H298" s="53">
        <f t="shared" si="1"/>
        <v>0</v>
      </c>
      <c r="I298" s="115"/>
      <c r="J298" s="115"/>
      <c r="K298" s="60">
        <f t="shared" si="2"/>
        <v>0</v>
      </c>
      <c r="L298" s="117"/>
    </row>
    <row r="299" ht="15.75" customHeight="1">
      <c r="A299" s="9"/>
      <c r="B299" s="164"/>
      <c r="C299" s="110"/>
      <c r="D299" s="110"/>
      <c r="E299" s="111"/>
      <c r="F299" s="112"/>
      <c r="G299" s="113"/>
      <c r="H299" s="53">
        <f t="shared" si="1"/>
        <v>0</v>
      </c>
      <c r="I299" s="115"/>
      <c r="J299" s="115"/>
      <c r="K299" s="60">
        <f t="shared" si="2"/>
        <v>0</v>
      </c>
      <c r="L299" s="117"/>
    </row>
    <row r="300" ht="15.75" customHeight="1">
      <c r="A300" s="9"/>
      <c r="B300" s="164"/>
      <c r="C300" s="110"/>
      <c r="D300" s="110"/>
      <c r="E300" s="111"/>
      <c r="F300" s="112"/>
      <c r="G300" s="113"/>
      <c r="H300" s="53">
        <f t="shared" si="1"/>
        <v>0</v>
      </c>
      <c r="I300" s="115"/>
      <c r="J300" s="115"/>
      <c r="K300" s="60">
        <f t="shared" si="2"/>
        <v>0</v>
      </c>
      <c r="L300" s="117"/>
    </row>
    <row r="301" ht="15.75" customHeight="1">
      <c r="A301" s="9"/>
      <c r="B301" s="164"/>
      <c r="C301" s="110"/>
      <c r="D301" s="110"/>
      <c r="E301" s="111"/>
      <c r="F301" s="112"/>
      <c r="G301" s="113"/>
      <c r="H301" s="53">
        <f t="shared" si="1"/>
        <v>0</v>
      </c>
      <c r="I301" s="115"/>
      <c r="J301" s="115"/>
      <c r="K301" s="60">
        <f t="shared" si="2"/>
        <v>0</v>
      </c>
      <c r="L301" s="117"/>
    </row>
    <row r="302" ht="15.75" customHeight="1">
      <c r="A302" s="9"/>
      <c r="B302" s="164"/>
      <c r="C302" s="110"/>
      <c r="D302" s="110"/>
      <c r="E302" s="111"/>
      <c r="F302" s="112"/>
      <c r="G302" s="113"/>
      <c r="H302" s="53">
        <f t="shared" si="1"/>
        <v>0</v>
      </c>
      <c r="I302" s="115"/>
      <c r="J302" s="115"/>
      <c r="K302" s="60">
        <f t="shared" si="2"/>
        <v>0</v>
      </c>
      <c r="L302" s="117"/>
    </row>
    <row r="303" ht="15.75" customHeight="1">
      <c r="A303" s="9"/>
      <c r="B303" s="164"/>
      <c r="C303" s="110"/>
      <c r="D303" s="110"/>
      <c r="E303" s="111"/>
      <c r="F303" s="112"/>
      <c r="G303" s="113"/>
      <c r="H303" s="53">
        <f t="shared" si="1"/>
        <v>0</v>
      </c>
      <c r="I303" s="115"/>
      <c r="J303" s="115"/>
      <c r="K303" s="60">
        <f t="shared" si="2"/>
        <v>0</v>
      </c>
      <c r="L303" s="117"/>
    </row>
    <row r="304" ht="15.75" customHeight="1">
      <c r="A304" s="9"/>
      <c r="B304" s="164"/>
      <c r="C304" s="110"/>
      <c r="D304" s="110"/>
      <c r="E304" s="111"/>
      <c r="F304" s="112"/>
      <c r="G304" s="113"/>
      <c r="H304" s="53">
        <f t="shared" si="1"/>
        <v>0</v>
      </c>
      <c r="I304" s="115"/>
      <c r="J304" s="115"/>
      <c r="K304" s="60">
        <f t="shared" si="2"/>
        <v>0</v>
      </c>
      <c r="L304" s="117"/>
    </row>
    <row r="305" ht="15.75" customHeight="1">
      <c r="A305" s="9"/>
      <c r="B305" s="164"/>
      <c r="C305" s="110"/>
      <c r="D305" s="110"/>
      <c r="E305" s="111"/>
      <c r="F305" s="112"/>
      <c r="G305" s="113"/>
      <c r="H305" s="53">
        <f t="shared" si="1"/>
        <v>0</v>
      </c>
      <c r="I305" s="115"/>
      <c r="J305" s="115"/>
      <c r="K305" s="60">
        <f t="shared" si="2"/>
        <v>0</v>
      </c>
      <c r="L305" s="117"/>
    </row>
    <row r="306" ht="15.75" customHeight="1">
      <c r="A306" s="9"/>
      <c r="B306" s="164"/>
      <c r="C306" s="110"/>
      <c r="D306" s="110"/>
      <c r="E306" s="111"/>
      <c r="F306" s="112"/>
      <c r="G306" s="113"/>
      <c r="H306" s="53">
        <f t="shared" si="1"/>
        <v>0</v>
      </c>
      <c r="I306" s="115"/>
      <c r="J306" s="115"/>
      <c r="K306" s="60">
        <f t="shared" si="2"/>
        <v>0</v>
      </c>
      <c r="L306" s="117"/>
    </row>
    <row r="307" ht="15.75" customHeight="1">
      <c r="A307" s="9"/>
      <c r="B307" s="164"/>
      <c r="C307" s="110"/>
      <c r="D307" s="110"/>
      <c r="E307" s="111"/>
      <c r="F307" s="112"/>
      <c r="G307" s="113"/>
      <c r="H307" s="53">
        <f t="shared" si="1"/>
        <v>0</v>
      </c>
      <c r="I307" s="115"/>
      <c r="J307" s="115"/>
      <c r="K307" s="60">
        <f t="shared" si="2"/>
        <v>0</v>
      </c>
      <c r="L307" s="117"/>
    </row>
    <row r="308" ht="15.75" customHeight="1">
      <c r="A308" s="9"/>
      <c r="B308" s="164"/>
      <c r="C308" s="110"/>
      <c r="D308" s="110"/>
      <c r="E308" s="111"/>
      <c r="F308" s="112"/>
      <c r="G308" s="113"/>
      <c r="H308" s="53">
        <f t="shared" si="1"/>
        <v>0</v>
      </c>
      <c r="I308" s="115"/>
      <c r="J308" s="115"/>
      <c r="K308" s="60">
        <f t="shared" si="2"/>
        <v>0</v>
      </c>
      <c r="L308" s="117"/>
    </row>
    <row r="309" ht="15.75" customHeight="1">
      <c r="A309" s="9"/>
      <c r="B309" s="164"/>
      <c r="C309" s="110"/>
      <c r="D309" s="110"/>
      <c r="E309" s="111"/>
      <c r="F309" s="112"/>
      <c r="G309" s="113"/>
      <c r="H309" s="53">
        <f t="shared" si="1"/>
        <v>0</v>
      </c>
      <c r="I309" s="115"/>
      <c r="J309" s="115"/>
      <c r="K309" s="60">
        <f t="shared" si="2"/>
        <v>0</v>
      </c>
      <c r="L309" s="117"/>
    </row>
    <row r="310" ht="15.75" customHeight="1">
      <c r="A310" s="9"/>
      <c r="B310" s="164"/>
      <c r="C310" s="110"/>
      <c r="D310" s="110"/>
      <c r="E310" s="111"/>
      <c r="F310" s="112"/>
      <c r="G310" s="113"/>
      <c r="H310" s="53">
        <f t="shared" si="1"/>
        <v>0</v>
      </c>
      <c r="I310" s="115"/>
      <c r="J310" s="115"/>
      <c r="K310" s="60">
        <f t="shared" si="2"/>
        <v>0</v>
      </c>
      <c r="L310" s="117"/>
    </row>
    <row r="311" ht="15.75" customHeight="1">
      <c r="A311" s="9"/>
      <c r="B311" s="164"/>
      <c r="C311" s="110"/>
      <c r="D311" s="110"/>
      <c r="E311" s="111"/>
      <c r="F311" s="112"/>
      <c r="G311" s="113"/>
      <c r="H311" s="53">
        <f t="shared" si="1"/>
        <v>0</v>
      </c>
      <c r="I311" s="115"/>
      <c r="J311" s="115"/>
      <c r="K311" s="60">
        <f t="shared" si="2"/>
        <v>0</v>
      </c>
      <c r="L311" s="117"/>
    </row>
    <row r="312" ht="15.75" customHeight="1">
      <c r="A312" s="9"/>
      <c r="B312" s="164"/>
      <c r="C312" s="110"/>
      <c r="D312" s="110"/>
      <c r="E312" s="111"/>
      <c r="F312" s="112"/>
      <c r="G312" s="113"/>
      <c r="H312" s="53">
        <f t="shared" si="1"/>
        <v>0</v>
      </c>
      <c r="I312" s="115"/>
      <c r="J312" s="115"/>
      <c r="K312" s="60">
        <f t="shared" si="2"/>
        <v>0</v>
      </c>
      <c r="L312" s="117"/>
    </row>
    <row r="313" ht="15.75" customHeight="1">
      <c r="A313" s="9"/>
      <c r="B313" s="164"/>
      <c r="C313" s="110"/>
      <c r="D313" s="110"/>
      <c r="E313" s="111"/>
      <c r="F313" s="112"/>
      <c r="G313" s="113"/>
      <c r="H313" s="53">
        <f t="shared" si="1"/>
        <v>0</v>
      </c>
      <c r="I313" s="115"/>
      <c r="J313" s="115"/>
      <c r="K313" s="60">
        <f t="shared" si="2"/>
        <v>0</v>
      </c>
      <c r="L313" s="117"/>
    </row>
    <row r="314" ht="15.75" customHeight="1">
      <c r="A314" s="9"/>
      <c r="B314" s="164"/>
      <c r="C314" s="110"/>
      <c r="D314" s="110"/>
      <c r="E314" s="111"/>
      <c r="F314" s="112"/>
      <c r="G314" s="113"/>
      <c r="H314" s="53">
        <f t="shared" si="1"/>
        <v>0</v>
      </c>
      <c r="I314" s="115"/>
      <c r="J314" s="115"/>
      <c r="K314" s="60">
        <f t="shared" si="2"/>
        <v>0</v>
      </c>
      <c r="L314" s="117"/>
    </row>
    <row r="315" ht="15.75" customHeight="1">
      <c r="A315" s="9"/>
      <c r="B315" s="164"/>
      <c r="C315" s="110"/>
      <c r="D315" s="110"/>
      <c r="E315" s="111"/>
      <c r="F315" s="112"/>
      <c r="G315" s="113"/>
      <c r="H315" s="53">
        <f t="shared" si="1"/>
        <v>0</v>
      </c>
      <c r="I315" s="115"/>
      <c r="J315" s="115"/>
      <c r="K315" s="60">
        <f t="shared" si="2"/>
        <v>0</v>
      </c>
      <c r="L315" s="117"/>
    </row>
    <row r="316" ht="15.75" customHeight="1">
      <c r="A316" s="9"/>
      <c r="B316" s="164"/>
      <c r="C316" s="110"/>
      <c r="D316" s="110"/>
      <c r="E316" s="111"/>
      <c r="F316" s="112"/>
      <c r="G316" s="113"/>
      <c r="H316" s="53">
        <f t="shared" si="1"/>
        <v>0</v>
      </c>
      <c r="I316" s="115"/>
      <c r="J316" s="115"/>
      <c r="K316" s="60">
        <f t="shared" si="2"/>
        <v>0</v>
      </c>
      <c r="L316" s="117"/>
    </row>
    <row r="317" ht="15.75" customHeight="1">
      <c r="A317" s="9"/>
      <c r="B317" s="164"/>
      <c r="C317" s="110"/>
      <c r="D317" s="110"/>
      <c r="E317" s="111"/>
      <c r="F317" s="112"/>
      <c r="G317" s="113"/>
      <c r="H317" s="53">
        <f t="shared" si="1"/>
        <v>0</v>
      </c>
      <c r="I317" s="115"/>
      <c r="J317" s="115"/>
      <c r="K317" s="60">
        <f t="shared" si="2"/>
        <v>0</v>
      </c>
      <c r="L317" s="117"/>
    </row>
    <row r="318" ht="15.75" customHeight="1">
      <c r="A318" s="9"/>
      <c r="B318" s="164"/>
      <c r="C318" s="110"/>
      <c r="D318" s="110"/>
      <c r="E318" s="111"/>
      <c r="F318" s="112"/>
      <c r="G318" s="113"/>
      <c r="H318" s="53">
        <f t="shared" si="1"/>
        <v>0</v>
      </c>
      <c r="I318" s="115"/>
      <c r="J318" s="115"/>
      <c r="K318" s="60">
        <f t="shared" si="2"/>
        <v>0</v>
      </c>
      <c r="L318" s="117"/>
    </row>
    <row r="319" ht="15.75" customHeight="1">
      <c r="A319" s="9"/>
      <c r="B319" s="164"/>
      <c r="C319" s="110"/>
      <c r="D319" s="110"/>
      <c r="E319" s="111"/>
      <c r="F319" s="112"/>
      <c r="G319" s="113"/>
      <c r="H319" s="53">
        <f t="shared" si="1"/>
        <v>0</v>
      </c>
      <c r="I319" s="115"/>
      <c r="J319" s="115"/>
      <c r="K319" s="60">
        <f t="shared" si="2"/>
        <v>0</v>
      </c>
      <c r="L319" s="117"/>
    </row>
    <row r="320" ht="15.75" customHeight="1">
      <c r="A320" s="9"/>
      <c r="B320" s="164"/>
      <c r="C320" s="110"/>
      <c r="D320" s="110"/>
      <c r="E320" s="111"/>
      <c r="F320" s="112"/>
      <c r="G320" s="113"/>
      <c r="H320" s="53">
        <f t="shared" si="1"/>
        <v>0</v>
      </c>
      <c r="I320" s="115"/>
      <c r="J320" s="115"/>
      <c r="K320" s="60">
        <f t="shared" si="2"/>
        <v>0</v>
      </c>
      <c r="L320" s="117"/>
    </row>
    <row r="321" ht="15.75" customHeight="1">
      <c r="A321" s="9"/>
      <c r="B321" s="164"/>
      <c r="C321" s="110"/>
      <c r="D321" s="110"/>
      <c r="E321" s="111"/>
      <c r="F321" s="112"/>
      <c r="G321" s="113"/>
      <c r="H321" s="53">
        <f t="shared" si="1"/>
        <v>0</v>
      </c>
      <c r="I321" s="115"/>
      <c r="J321" s="115"/>
      <c r="K321" s="60">
        <f t="shared" si="2"/>
        <v>0</v>
      </c>
      <c r="L321" s="117"/>
    </row>
    <row r="322" ht="15.75" customHeight="1">
      <c r="A322" s="9"/>
      <c r="B322" s="164"/>
      <c r="C322" s="110"/>
      <c r="D322" s="110"/>
      <c r="E322" s="111"/>
      <c r="F322" s="112"/>
      <c r="G322" s="113"/>
      <c r="H322" s="53">
        <f t="shared" si="1"/>
        <v>0</v>
      </c>
      <c r="I322" s="115"/>
      <c r="J322" s="115"/>
      <c r="K322" s="60">
        <f t="shared" si="2"/>
        <v>0</v>
      </c>
      <c r="L322" s="117"/>
    </row>
    <row r="323" ht="15.75" customHeight="1">
      <c r="A323" s="9"/>
      <c r="B323" s="164"/>
      <c r="C323" s="110"/>
      <c r="D323" s="110"/>
      <c r="E323" s="111"/>
      <c r="F323" s="112"/>
      <c r="G323" s="113"/>
      <c r="H323" s="53">
        <f t="shared" si="1"/>
        <v>0</v>
      </c>
      <c r="I323" s="115"/>
      <c r="J323" s="115"/>
      <c r="K323" s="60">
        <f t="shared" si="2"/>
        <v>0</v>
      </c>
      <c r="L323" s="117"/>
    </row>
    <row r="324" ht="15.75" customHeight="1">
      <c r="A324" s="9"/>
      <c r="B324" s="164"/>
      <c r="C324" s="110"/>
      <c r="D324" s="110"/>
      <c r="E324" s="111"/>
      <c r="F324" s="112"/>
      <c r="G324" s="113"/>
      <c r="H324" s="53">
        <f t="shared" si="1"/>
        <v>0</v>
      </c>
      <c r="I324" s="115"/>
      <c r="J324" s="115"/>
      <c r="K324" s="60">
        <f t="shared" si="2"/>
        <v>0</v>
      </c>
      <c r="L324" s="117"/>
    </row>
    <row r="325" ht="15.75" customHeight="1">
      <c r="A325" s="9"/>
      <c r="B325" s="164"/>
      <c r="C325" s="110"/>
      <c r="D325" s="110"/>
      <c r="E325" s="111"/>
      <c r="F325" s="112"/>
      <c r="G325" s="113"/>
      <c r="H325" s="53">
        <f t="shared" si="1"/>
        <v>0</v>
      </c>
      <c r="I325" s="115"/>
      <c r="J325" s="115"/>
      <c r="K325" s="60">
        <f t="shared" si="2"/>
        <v>0</v>
      </c>
      <c r="L325" s="117"/>
    </row>
    <row r="326" ht="15.75" customHeight="1">
      <c r="A326" s="9"/>
      <c r="B326" s="164"/>
      <c r="C326" s="110"/>
      <c r="D326" s="110"/>
      <c r="E326" s="111"/>
      <c r="F326" s="112"/>
      <c r="G326" s="113"/>
      <c r="H326" s="53">
        <f t="shared" si="1"/>
        <v>0</v>
      </c>
      <c r="I326" s="115"/>
      <c r="J326" s="115"/>
      <c r="K326" s="60">
        <f t="shared" si="2"/>
        <v>0</v>
      </c>
      <c r="L326" s="117"/>
    </row>
    <row r="327" ht="15.75" customHeight="1">
      <c r="A327" s="9"/>
      <c r="B327" s="164"/>
      <c r="C327" s="110"/>
      <c r="D327" s="110"/>
      <c r="E327" s="111"/>
      <c r="F327" s="112"/>
      <c r="G327" s="113"/>
      <c r="H327" s="53">
        <f t="shared" si="1"/>
        <v>0</v>
      </c>
      <c r="I327" s="115"/>
      <c r="J327" s="115"/>
      <c r="K327" s="60">
        <f t="shared" si="2"/>
        <v>0</v>
      </c>
      <c r="L327" s="117"/>
    </row>
    <row r="328" ht="15.75" customHeight="1">
      <c r="A328" s="9"/>
      <c r="B328" s="164"/>
      <c r="C328" s="110"/>
      <c r="D328" s="110"/>
      <c r="E328" s="111"/>
      <c r="F328" s="112"/>
      <c r="G328" s="113"/>
      <c r="H328" s="53">
        <f t="shared" si="1"/>
        <v>0</v>
      </c>
      <c r="I328" s="115"/>
      <c r="J328" s="115"/>
      <c r="K328" s="60">
        <f t="shared" si="2"/>
        <v>0</v>
      </c>
      <c r="L328" s="117"/>
    </row>
    <row r="329" ht="15.75" customHeight="1">
      <c r="A329" s="9"/>
      <c r="B329" s="164"/>
      <c r="C329" s="110"/>
      <c r="D329" s="110"/>
      <c r="E329" s="111"/>
      <c r="F329" s="112"/>
      <c r="G329" s="113"/>
      <c r="H329" s="53">
        <f t="shared" si="1"/>
        <v>0</v>
      </c>
      <c r="I329" s="115"/>
      <c r="J329" s="115"/>
      <c r="K329" s="60">
        <f t="shared" si="2"/>
        <v>0</v>
      </c>
      <c r="L329" s="117"/>
    </row>
    <row r="330" ht="15.75" customHeight="1">
      <c r="A330" s="9"/>
      <c r="B330" s="164"/>
      <c r="C330" s="110"/>
      <c r="D330" s="110"/>
      <c r="E330" s="111"/>
      <c r="F330" s="112"/>
      <c r="G330" s="113"/>
      <c r="H330" s="53">
        <f t="shared" si="1"/>
        <v>0</v>
      </c>
      <c r="I330" s="115"/>
      <c r="J330" s="115"/>
      <c r="K330" s="60">
        <f t="shared" si="2"/>
        <v>0</v>
      </c>
      <c r="L330" s="117"/>
    </row>
    <row r="331" ht="15.75" customHeight="1">
      <c r="A331" s="9"/>
      <c r="B331" s="164"/>
      <c r="C331" s="110"/>
      <c r="D331" s="110"/>
      <c r="E331" s="111"/>
      <c r="F331" s="112"/>
      <c r="G331" s="113"/>
      <c r="H331" s="53">
        <f t="shared" si="1"/>
        <v>0</v>
      </c>
      <c r="I331" s="115"/>
      <c r="J331" s="115"/>
      <c r="K331" s="60">
        <f t="shared" si="2"/>
        <v>0</v>
      </c>
      <c r="L331" s="117"/>
    </row>
    <row r="332" ht="15.75" customHeight="1">
      <c r="A332" s="9"/>
      <c r="B332" s="164"/>
      <c r="C332" s="110"/>
      <c r="D332" s="110"/>
      <c r="E332" s="111"/>
      <c r="F332" s="112"/>
      <c r="G332" s="113"/>
      <c r="H332" s="53">
        <f t="shared" si="1"/>
        <v>0</v>
      </c>
      <c r="I332" s="115"/>
      <c r="J332" s="115"/>
      <c r="K332" s="60">
        <f t="shared" si="2"/>
        <v>0</v>
      </c>
      <c r="L332" s="117"/>
    </row>
    <row r="333" ht="15.75" customHeight="1">
      <c r="A333" s="9"/>
      <c r="B333" s="164"/>
      <c r="C333" s="110"/>
      <c r="D333" s="110"/>
      <c r="E333" s="111"/>
      <c r="F333" s="112"/>
      <c r="G333" s="113"/>
      <c r="H333" s="53">
        <f t="shared" si="1"/>
        <v>0</v>
      </c>
      <c r="I333" s="115"/>
      <c r="J333" s="115"/>
      <c r="K333" s="60">
        <f t="shared" si="2"/>
        <v>0</v>
      </c>
      <c r="L333" s="117"/>
    </row>
    <row r="334" ht="15.75" customHeight="1">
      <c r="A334" s="9"/>
      <c r="B334" s="164"/>
      <c r="C334" s="110"/>
      <c r="D334" s="110"/>
      <c r="E334" s="111"/>
      <c r="F334" s="112"/>
      <c r="G334" s="113"/>
      <c r="H334" s="53">
        <f t="shared" si="1"/>
        <v>0</v>
      </c>
      <c r="I334" s="115"/>
      <c r="J334" s="115"/>
      <c r="K334" s="60">
        <f t="shared" si="2"/>
        <v>0</v>
      </c>
      <c r="L334" s="117"/>
    </row>
    <row r="335" ht="15.75" customHeight="1">
      <c r="A335" s="9"/>
      <c r="B335" s="164"/>
      <c r="C335" s="110"/>
      <c r="D335" s="110"/>
      <c r="E335" s="111"/>
      <c r="F335" s="112"/>
      <c r="G335" s="113"/>
      <c r="H335" s="53">
        <f t="shared" si="1"/>
        <v>0</v>
      </c>
      <c r="I335" s="115"/>
      <c r="J335" s="115"/>
      <c r="K335" s="60">
        <f t="shared" si="2"/>
        <v>0</v>
      </c>
      <c r="L335" s="117"/>
    </row>
    <row r="336" ht="15.75" customHeight="1">
      <c r="A336" s="9"/>
      <c r="B336" s="164"/>
      <c r="C336" s="110"/>
      <c r="D336" s="110"/>
      <c r="E336" s="111"/>
      <c r="F336" s="112"/>
      <c r="G336" s="113"/>
      <c r="H336" s="53">
        <f t="shared" si="1"/>
        <v>0</v>
      </c>
      <c r="I336" s="115"/>
      <c r="J336" s="115"/>
      <c r="K336" s="60">
        <f t="shared" si="2"/>
        <v>0</v>
      </c>
      <c r="L336" s="117"/>
    </row>
    <row r="337" ht="15.75" customHeight="1">
      <c r="A337" s="9"/>
      <c r="B337" s="164"/>
      <c r="C337" s="110"/>
      <c r="D337" s="110"/>
      <c r="E337" s="111"/>
      <c r="F337" s="112"/>
      <c r="G337" s="113"/>
      <c r="H337" s="53">
        <f t="shared" si="1"/>
        <v>0</v>
      </c>
      <c r="I337" s="115"/>
      <c r="J337" s="115"/>
      <c r="K337" s="60">
        <f t="shared" si="2"/>
        <v>0</v>
      </c>
      <c r="L337" s="117"/>
    </row>
    <row r="338" ht="15.75" customHeight="1">
      <c r="A338" s="9"/>
      <c r="B338" s="164"/>
      <c r="C338" s="110"/>
      <c r="D338" s="110"/>
      <c r="E338" s="111"/>
      <c r="F338" s="112"/>
      <c r="G338" s="113"/>
      <c r="H338" s="53">
        <f t="shared" si="1"/>
        <v>0</v>
      </c>
      <c r="I338" s="115"/>
      <c r="J338" s="115"/>
      <c r="K338" s="60">
        <f t="shared" si="2"/>
        <v>0</v>
      </c>
      <c r="L338" s="117"/>
    </row>
    <row r="339" ht="15.75" customHeight="1">
      <c r="A339" s="9"/>
      <c r="B339" s="164"/>
      <c r="C339" s="110"/>
      <c r="D339" s="110"/>
      <c r="E339" s="111"/>
      <c r="F339" s="112"/>
      <c r="G339" s="113"/>
      <c r="H339" s="53">
        <f t="shared" si="1"/>
        <v>0</v>
      </c>
      <c r="I339" s="115"/>
      <c r="J339" s="115"/>
      <c r="K339" s="60">
        <f t="shared" si="2"/>
        <v>0</v>
      </c>
      <c r="L339" s="117"/>
    </row>
    <row r="340" ht="15.75" customHeight="1">
      <c r="A340" s="9"/>
      <c r="B340" s="164"/>
      <c r="C340" s="110"/>
      <c r="D340" s="110"/>
      <c r="E340" s="111"/>
      <c r="F340" s="112"/>
      <c r="G340" s="113"/>
      <c r="H340" s="53">
        <f t="shared" si="1"/>
        <v>0</v>
      </c>
      <c r="I340" s="115"/>
      <c r="J340" s="115"/>
      <c r="K340" s="60">
        <f t="shared" si="2"/>
        <v>0</v>
      </c>
      <c r="L340" s="117"/>
    </row>
    <row r="341" ht="15.75" customHeight="1">
      <c r="A341" s="9"/>
      <c r="B341" s="164"/>
      <c r="C341" s="110"/>
      <c r="D341" s="110"/>
      <c r="E341" s="111"/>
      <c r="F341" s="112"/>
      <c r="G341" s="113"/>
      <c r="H341" s="53">
        <f t="shared" si="1"/>
        <v>0</v>
      </c>
      <c r="I341" s="115"/>
      <c r="J341" s="115"/>
      <c r="K341" s="60">
        <f t="shared" si="2"/>
        <v>0</v>
      </c>
      <c r="L341" s="117"/>
    </row>
    <row r="342" ht="15.75" customHeight="1">
      <c r="A342" s="9"/>
      <c r="B342" s="164"/>
      <c r="C342" s="110"/>
      <c r="D342" s="110"/>
      <c r="E342" s="111"/>
      <c r="F342" s="112"/>
      <c r="G342" s="113"/>
      <c r="H342" s="53">
        <f t="shared" si="1"/>
        <v>0</v>
      </c>
      <c r="I342" s="115"/>
      <c r="J342" s="115"/>
      <c r="K342" s="60">
        <f t="shared" si="2"/>
        <v>0</v>
      </c>
      <c r="L342" s="117"/>
    </row>
    <row r="343" ht="15.75" customHeight="1">
      <c r="A343" s="9"/>
      <c r="B343" s="164"/>
      <c r="C343" s="110"/>
      <c r="D343" s="110"/>
      <c r="E343" s="111"/>
      <c r="F343" s="112"/>
      <c r="G343" s="113"/>
      <c r="H343" s="53">
        <f t="shared" si="1"/>
        <v>0</v>
      </c>
      <c r="I343" s="115"/>
      <c r="J343" s="115"/>
      <c r="K343" s="60">
        <f t="shared" si="2"/>
        <v>0</v>
      </c>
      <c r="L343" s="117"/>
    </row>
    <row r="344" ht="15.75" customHeight="1">
      <c r="A344" s="9"/>
      <c r="B344" s="164"/>
      <c r="C344" s="110"/>
      <c r="D344" s="110"/>
      <c r="E344" s="111"/>
      <c r="F344" s="112"/>
      <c r="G344" s="113"/>
      <c r="H344" s="53">
        <f t="shared" si="1"/>
        <v>0</v>
      </c>
      <c r="I344" s="115"/>
      <c r="J344" s="115"/>
      <c r="K344" s="60">
        <f t="shared" si="2"/>
        <v>0</v>
      </c>
      <c r="L344" s="117"/>
    </row>
    <row r="345" ht="15.75" customHeight="1">
      <c r="A345" s="9"/>
      <c r="B345" s="164"/>
      <c r="C345" s="110"/>
      <c r="D345" s="110"/>
      <c r="E345" s="111"/>
      <c r="F345" s="112"/>
      <c r="G345" s="113"/>
      <c r="H345" s="53">
        <f t="shared" si="1"/>
        <v>0</v>
      </c>
      <c r="I345" s="115"/>
      <c r="J345" s="115"/>
      <c r="K345" s="60">
        <f t="shared" si="2"/>
        <v>0</v>
      </c>
      <c r="L345" s="117"/>
    </row>
    <row r="346" ht="15.75" customHeight="1">
      <c r="A346" s="9"/>
      <c r="B346" s="164"/>
      <c r="C346" s="110"/>
      <c r="D346" s="110"/>
      <c r="E346" s="111"/>
      <c r="F346" s="112"/>
      <c r="G346" s="113"/>
      <c r="H346" s="53">
        <f t="shared" si="1"/>
        <v>0</v>
      </c>
      <c r="I346" s="115"/>
      <c r="J346" s="115"/>
      <c r="K346" s="60">
        <f t="shared" si="2"/>
        <v>0</v>
      </c>
      <c r="L346" s="117"/>
    </row>
    <row r="347" ht="15.75" customHeight="1">
      <c r="A347" s="9"/>
      <c r="B347" s="164"/>
      <c r="C347" s="110"/>
      <c r="D347" s="110"/>
      <c r="E347" s="111"/>
      <c r="F347" s="112"/>
      <c r="G347" s="113"/>
      <c r="H347" s="53">
        <f t="shared" si="1"/>
        <v>0</v>
      </c>
      <c r="I347" s="115"/>
      <c r="J347" s="115"/>
      <c r="K347" s="60">
        <f t="shared" si="2"/>
        <v>0</v>
      </c>
      <c r="L347" s="117"/>
    </row>
    <row r="348" ht="15.75" customHeight="1">
      <c r="A348" s="9"/>
      <c r="B348" s="164"/>
      <c r="C348" s="110"/>
      <c r="D348" s="110"/>
      <c r="E348" s="111"/>
      <c r="F348" s="112"/>
      <c r="G348" s="113"/>
      <c r="H348" s="53">
        <f t="shared" si="1"/>
        <v>0</v>
      </c>
      <c r="I348" s="115"/>
      <c r="J348" s="115"/>
      <c r="K348" s="60">
        <f t="shared" si="2"/>
        <v>0</v>
      </c>
      <c r="L348" s="117"/>
    </row>
    <row r="349" ht="15.75" customHeight="1">
      <c r="A349" s="9"/>
      <c r="B349" s="164"/>
      <c r="C349" s="110"/>
      <c r="D349" s="110"/>
      <c r="E349" s="111"/>
      <c r="F349" s="112"/>
      <c r="G349" s="113"/>
      <c r="H349" s="53">
        <f t="shared" si="1"/>
        <v>0</v>
      </c>
      <c r="I349" s="115"/>
      <c r="J349" s="115"/>
      <c r="K349" s="60">
        <f t="shared" si="2"/>
        <v>0</v>
      </c>
      <c r="L349" s="117"/>
    </row>
    <row r="350" ht="15.75" customHeight="1">
      <c r="A350" s="9"/>
      <c r="B350" s="164"/>
      <c r="C350" s="110"/>
      <c r="D350" s="110"/>
      <c r="E350" s="111"/>
      <c r="F350" s="112"/>
      <c r="G350" s="113"/>
      <c r="H350" s="53">
        <f t="shared" si="1"/>
        <v>0</v>
      </c>
      <c r="I350" s="115"/>
      <c r="J350" s="115"/>
      <c r="K350" s="60">
        <f t="shared" si="2"/>
        <v>0</v>
      </c>
      <c r="L350" s="117"/>
    </row>
    <row r="351" ht="15.75" customHeight="1">
      <c r="A351" s="9"/>
      <c r="B351" s="164"/>
      <c r="C351" s="110"/>
      <c r="D351" s="110"/>
      <c r="E351" s="111"/>
      <c r="F351" s="112"/>
      <c r="G351" s="113"/>
      <c r="H351" s="53">
        <f t="shared" si="1"/>
        <v>0</v>
      </c>
      <c r="I351" s="115"/>
      <c r="J351" s="115"/>
      <c r="K351" s="60">
        <f t="shared" si="2"/>
        <v>0</v>
      </c>
      <c r="L351" s="117"/>
    </row>
    <row r="352" ht="15.75" customHeight="1">
      <c r="A352" s="9"/>
      <c r="B352" s="164"/>
      <c r="C352" s="110"/>
      <c r="D352" s="110"/>
      <c r="E352" s="111"/>
      <c r="F352" s="112"/>
      <c r="G352" s="113"/>
      <c r="H352" s="53">
        <f t="shared" si="1"/>
        <v>0</v>
      </c>
      <c r="I352" s="115"/>
      <c r="J352" s="115"/>
      <c r="K352" s="60">
        <f t="shared" si="2"/>
        <v>0</v>
      </c>
      <c r="L352" s="117"/>
    </row>
    <row r="353" ht="15.75" customHeight="1">
      <c r="A353" s="9"/>
      <c r="B353" s="164"/>
      <c r="C353" s="110"/>
      <c r="D353" s="110"/>
      <c r="E353" s="111"/>
      <c r="F353" s="112"/>
      <c r="G353" s="113"/>
      <c r="H353" s="53">
        <f t="shared" si="1"/>
        <v>0</v>
      </c>
      <c r="I353" s="115"/>
      <c r="J353" s="115"/>
      <c r="K353" s="60">
        <f t="shared" si="2"/>
        <v>0</v>
      </c>
      <c r="L353" s="117"/>
    </row>
    <row r="354" ht="15.75" customHeight="1">
      <c r="A354" s="9"/>
      <c r="B354" s="164"/>
      <c r="C354" s="110"/>
      <c r="D354" s="110"/>
      <c r="E354" s="111"/>
      <c r="F354" s="112"/>
      <c r="G354" s="113"/>
      <c r="H354" s="53">
        <f t="shared" si="1"/>
        <v>0</v>
      </c>
      <c r="I354" s="115"/>
      <c r="J354" s="115"/>
      <c r="K354" s="60">
        <f t="shared" si="2"/>
        <v>0</v>
      </c>
      <c r="L354" s="117"/>
    </row>
    <row r="355" ht="15.75" customHeight="1">
      <c r="A355" s="9"/>
      <c r="B355" s="164"/>
      <c r="C355" s="110"/>
      <c r="D355" s="110"/>
      <c r="E355" s="111"/>
      <c r="F355" s="112"/>
      <c r="G355" s="113"/>
      <c r="H355" s="53">
        <f t="shared" si="1"/>
        <v>0</v>
      </c>
      <c r="I355" s="115"/>
      <c r="J355" s="115"/>
      <c r="K355" s="60">
        <f t="shared" si="2"/>
        <v>0</v>
      </c>
      <c r="L355" s="117"/>
    </row>
    <row r="356" ht="15.75" customHeight="1">
      <c r="A356" s="9"/>
      <c r="B356" s="164"/>
      <c r="C356" s="110"/>
      <c r="D356" s="110"/>
      <c r="E356" s="111"/>
      <c r="F356" s="112"/>
      <c r="G356" s="113"/>
      <c r="H356" s="53">
        <f t="shared" si="1"/>
        <v>0</v>
      </c>
      <c r="I356" s="115"/>
      <c r="J356" s="115"/>
      <c r="K356" s="60">
        <f t="shared" si="2"/>
        <v>0</v>
      </c>
      <c r="L356" s="117"/>
    </row>
    <row r="357" ht="15.75" customHeight="1">
      <c r="A357" s="9"/>
      <c r="B357" s="164"/>
      <c r="C357" s="110"/>
      <c r="D357" s="110"/>
      <c r="E357" s="111"/>
      <c r="F357" s="112"/>
      <c r="G357" s="113"/>
      <c r="H357" s="53">
        <f t="shared" si="1"/>
        <v>0</v>
      </c>
      <c r="I357" s="115"/>
      <c r="J357" s="115"/>
      <c r="K357" s="60">
        <f t="shared" si="2"/>
        <v>0</v>
      </c>
      <c r="L357" s="117"/>
    </row>
    <row r="358" ht="15.75" customHeight="1">
      <c r="A358" s="9"/>
      <c r="B358" s="164"/>
      <c r="C358" s="110"/>
      <c r="D358" s="110"/>
      <c r="E358" s="111"/>
      <c r="F358" s="112"/>
      <c r="G358" s="113"/>
      <c r="H358" s="53">
        <f t="shared" si="1"/>
        <v>0</v>
      </c>
      <c r="I358" s="115"/>
      <c r="J358" s="115"/>
      <c r="K358" s="60">
        <f t="shared" si="2"/>
        <v>0</v>
      </c>
      <c r="L358" s="117"/>
    </row>
    <row r="359" ht="15.75" customHeight="1">
      <c r="A359" s="9"/>
      <c r="B359" s="164"/>
      <c r="C359" s="110"/>
      <c r="D359" s="110"/>
      <c r="E359" s="111"/>
      <c r="F359" s="112"/>
      <c r="G359" s="113"/>
      <c r="H359" s="53">
        <f t="shared" si="1"/>
        <v>0</v>
      </c>
      <c r="I359" s="115"/>
      <c r="J359" s="115"/>
      <c r="K359" s="60">
        <f t="shared" si="2"/>
        <v>0</v>
      </c>
      <c r="L359" s="117"/>
    </row>
    <row r="360" ht="15.75" customHeight="1">
      <c r="A360" s="9"/>
      <c r="B360" s="164"/>
      <c r="C360" s="110"/>
      <c r="D360" s="110"/>
      <c r="E360" s="111"/>
      <c r="F360" s="112"/>
      <c r="G360" s="113"/>
      <c r="H360" s="53">
        <f t="shared" si="1"/>
        <v>0</v>
      </c>
      <c r="I360" s="115"/>
      <c r="J360" s="115"/>
      <c r="K360" s="60">
        <f t="shared" si="2"/>
        <v>0</v>
      </c>
      <c r="L360" s="117"/>
    </row>
    <row r="361" ht="15.75" customHeight="1">
      <c r="A361" s="9"/>
      <c r="B361" s="164"/>
      <c r="C361" s="110"/>
      <c r="D361" s="110"/>
      <c r="E361" s="111"/>
      <c r="F361" s="112"/>
      <c r="G361" s="113"/>
      <c r="H361" s="53">
        <f t="shared" si="1"/>
        <v>0</v>
      </c>
      <c r="I361" s="115"/>
      <c r="J361" s="115"/>
      <c r="K361" s="60">
        <f t="shared" si="2"/>
        <v>0</v>
      </c>
      <c r="L361" s="117"/>
    </row>
    <row r="362" ht="15.75" customHeight="1">
      <c r="A362" s="9"/>
      <c r="B362" s="164"/>
      <c r="C362" s="110"/>
      <c r="D362" s="110"/>
      <c r="E362" s="111"/>
      <c r="F362" s="112"/>
      <c r="G362" s="113"/>
      <c r="H362" s="53">
        <f t="shared" si="1"/>
        <v>0</v>
      </c>
      <c r="I362" s="115"/>
      <c r="J362" s="115"/>
      <c r="K362" s="60">
        <f t="shared" si="2"/>
        <v>0</v>
      </c>
      <c r="L362" s="117"/>
    </row>
    <row r="363" ht="15.75" customHeight="1">
      <c r="A363" s="9"/>
      <c r="B363" s="164"/>
      <c r="C363" s="110"/>
      <c r="D363" s="110"/>
      <c r="E363" s="111"/>
      <c r="F363" s="112"/>
      <c r="G363" s="113"/>
      <c r="H363" s="53">
        <f t="shared" si="1"/>
        <v>0</v>
      </c>
      <c r="I363" s="115"/>
      <c r="J363" s="115"/>
      <c r="K363" s="60">
        <f t="shared" si="2"/>
        <v>0</v>
      </c>
      <c r="L363" s="117"/>
    </row>
    <row r="364" ht="15.75" customHeight="1">
      <c r="A364" s="9"/>
      <c r="B364" s="164"/>
      <c r="C364" s="110"/>
      <c r="D364" s="110"/>
      <c r="E364" s="111"/>
      <c r="F364" s="112"/>
      <c r="G364" s="113"/>
      <c r="H364" s="53">
        <f t="shared" si="1"/>
        <v>0</v>
      </c>
      <c r="I364" s="115"/>
      <c r="J364" s="115"/>
      <c r="K364" s="60">
        <f t="shared" si="2"/>
        <v>0</v>
      </c>
      <c r="L364" s="117"/>
    </row>
    <row r="365" ht="15.75" customHeight="1">
      <c r="A365" s="9"/>
      <c r="B365" s="164"/>
      <c r="C365" s="110"/>
      <c r="D365" s="110"/>
      <c r="E365" s="111"/>
      <c r="F365" s="112"/>
      <c r="G365" s="113"/>
      <c r="H365" s="53">
        <f t="shared" si="1"/>
        <v>0</v>
      </c>
      <c r="I365" s="115"/>
      <c r="J365" s="115"/>
      <c r="K365" s="60">
        <f t="shared" si="2"/>
        <v>0</v>
      </c>
      <c r="L365" s="117"/>
    </row>
    <row r="366" ht="15.75" customHeight="1">
      <c r="A366" s="9"/>
      <c r="B366" s="164"/>
      <c r="C366" s="110"/>
      <c r="D366" s="110"/>
      <c r="E366" s="111"/>
      <c r="F366" s="112"/>
      <c r="G366" s="113"/>
      <c r="H366" s="53">
        <f t="shared" si="1"/>
        <v>0</v>
      </c>
      <c r="I366" s="115"/>
      <c r="J366" s="115"/>
      <c r="K366" s="60">
        <f t="shared" si="2"/>
        <v>0</v>
      </c>
      <c r="L366" s="117"/>
    </row>
    <row r="367" ht="15.75" customHeight="1">
      <c r="A367" s="9"/>
      <c r="B367" s="164"/>
      <c r="C367" s="110"/>
      <c r="D367" s="110"/>
      <c r="E367" s="111"/>
      <c r="F367" s="112"/>
      <c r="G367" s="113"/>
      <c r="H367" s="53">
        <f t="shared" si="1"/>
        <v>0</v>
      </c>
      <c r="I367" s="115"/>
      <c r="J367" s="115"/>
      <c r="K367" s="60">
        <f t="shared" si="2"/>
        <v>0</v>
      </c>
      <c r="L367" s="117"/>
    </row>
    <row r="368" ht="15.75" customHeight="1">
      <c r="A368" s="9"/>
      <c r="B368" s="164"/>
      <c r="C368" s="110"/>
      <c r="D368" s="110"/>
      <c r="E368" s="111"/>
      <c r="F368" s="112"/>
      <c r="G368" s="113"/>
      <c r="H368" s="53">
        <f t="shared" si="1"/>
        <v>0</v>
      </c>
      <c r="I368" s="115"/>
      <c r="J368" s="115"/>
      <c r="K368" s="60">
        <f t="shared" si="2"/>
        <v>0</v>
      </c>
      <c r="L368" s="117"/>
    </row>
    <row r="369" ht="15.75" customHeight="1">
      <c r="A369" s="9"/>
      <c r="B369" s="164"/>
      <c r="C369" s="110"/>
      <c r="D369" s="110"/>
      <c r="E369" s="111"/>
      <c r="F369" s="112"/>
      <c r="G369" s="113"/>
      <c r="H369" s="53">
        <f t="shared" si="1"/>
        <v>0</v>
      </c>
      <c r="I369" s="115"/>
      <c r="J369" s="115"/>
      <c r="K369" s="60">
        <f t="shared" si="2"/>
        <v>0</v>
      </c>
      <c r="L369" s="117"/>
    </row>
    <row r="370" ht="15.75" customHeight="1">
      <c r="A370" s="9"/>
      <c r="B370" s="164"/>
      <c r="C370" s="110"/>
      <c r="D370" s="110"/>
      <c r="E370" s="111"/>
      <c r="F370" s="112"/>
      <c r="G370" s="113"/>
      <c r="H370" s="53">
        <f t="shared" si="1"/>
        <v>0</v>
      </c>
      <c r="I370" s="115"/>
      <c r="J370" s="115"/>
      <c r="K370" s="60">
        <f t="shared" si="2"/>
        <v>0</v>
      </c>
      <c r="L370" s="117"/>
    </row>
    <row r="371" ht="15.75" customHeight="1">
      <c r="A371" s="9"/>
      <c r="B371" s="164"/>
      <c r="C371" s="110"/>
      <c r="D371" s="110"/>
      <c r="E371" s="111"/>
      <c r="F371" s="112"/>
      <c r="G371" s="113"/>
      <c r="H371" s="53">
        <f t="shared" si="1"/>
        <v>0</v>
      </c>
      <c r="I371" s="115"/>
      <c r="J371" s="115"/>
      <c r="K371" s="60">
        <f t="shared" si="2"/>
        <v>0</v>
      </c>
      <c r="L371" s="117"/>
    </row>
    <row r="372" ht="15.75" customHeight="1">
      <c r="A372" s="9"/>
      <c r="B372" s="164"/>
      <c r="C372" s="110"/>
      <c r="D372" s="110"/>
      <c r="E372" s="111"/>
      <c r="F372" s="112"/>
      <c r="G372" s="113"/>
      <c r="H372" s="53">
        <f t="shared" si="1"/>
        <v>0</v>
      </c>
      <c r="I372" s="115"/>
      <c r="J372" s="115"/>
      <c r="K372" s="60">
        <f t="shared" si="2"/>
        <v>0</v>
      </c>
      <c r="L372" s="117"/>
    </row>
    <row r="373" ht="15.75" customHeight="1">
      <c r="A373" s="9"/>
      <c r="B373" s="164"/>
      <c r="C373" s="110"/>
      <c r="D373" s="110"/>
      <c r="E373" s="111"/>
      <c r="F373" s="112"/>
      <c r="G373" s="113"/>
      <c r="H373" s="53">
        <f t="shared" si="1"/>
        <v>0</v>
      </c>
      <c r="I373" s="115"/>
      <c r="J373" s="115"/>
      <c r="K373" s="60">
        <f t="shared" si="2"/>
        <v>0</v>
      </c>
      <c r="L373" s="117"/>
    </row>
    <row r="374" ht="15.75" customHeight="1">
      <c r="A374" s="9"/>
      <c r="B374" s="164"/>
      <c r="C374" s="110"/>
      <c r="D374" s="110"/>
      <c r="E374" s="111"/>
      <c r="F374" s="112"/>
      <c r="G374" s="113"/>
      <c r="H374" s="53">
        <f t="shared" si="1"/>
        <v>0</v>
      </c>
      <c r="I374" s="115"/>
      <c r="J374" s="115"/>
      <c r="K374" s="60">
        <f t="shared" si="2"/>
        <v>0</v>
      </c>
      <c r="L374" s="117"/>
    </row>
    <row r="375" ht="15.75" customHeight="1">
      <c r="A375" s="9"/>
      <c r="B375" s="164"/>
      <c r="C375" s="110"/>
      <c r="D375" s="110"/>
      <c r="E375" s="111"/>
      <c r="F375" s="112"/>
      <c r="G375" s="113"/>
      <c r="H375" s="53">
        <f t="shared" si="1"/>
        <v>0</v>
      </c>
      <c r="I375" s="115"/>
      <c r="J375" s="115"/>
      <c r="K375" s="60">
        <f t="shared" si="2"/>
        <v>0</v>
      </c>
      <c r="L375" s="117"/>
    </row>
    <row r="376" ht="15.75" customHeight="1">
      <c r="A376" s="9"/>
      <c r="B376" s="164"/>
      <c r="C376" s="110"/>
      <c r="D376" s="110"/>
      <c r="E376" s="111"/>
      <c r="F376" s="112"/>
      <c r="G376" s="113"/>
      <c r="H376" s="53">
        <f t="shared" si="1"/>
        <v>0</v>
      </c>
      <c r="I376" s="115"/>
      <c r="J376" s="115"/>
      <c r="K376" s="60">
        <f t="shared" si="2"/>
        <v>0</v>
      </c>
      <c r="L376" s="117"/>
    </row>
    <row r="377" ht="15.75" customHeight="1">
      <c r="A377" s="9"/>
      <c r="B377" s="164"/>
      <c r="C377" s="110"/>
      <c r="D377" s="110"/>
      <c r="E377" s="111"/>
      <c r="F377" s="112"/>
      <c r="G377" s="113"/>
      <c r="H377" s="53">
        <f t="shared" si="1"/>
        <v>0</v>
      </c>
      <c r="I377" s="115"/>
      <c r="J377" s="115"/>
      <c r="K377" s="60">
        <f t="shared" si="2"/>
        <v>0</v>
      </c>
      <c r="L377" s="117"/>
    </row>
    <row r="378" ht="15.75" customHeight="1">
      <c r="A378" s="9"/>
      <c r="B378" s="164"/>
      <c r="C378" s="110"/>
      <c r="D378" s="110"/>
      <c r="E378" s="111"/>
      <c r="F378" s="112"/>
      <c r="G378" s="113"/>
      <c r="H378" s="53">
        <f t="shared" si="1"/>
        <v>0</v>
      </c>
      <c r="I378" s="115"/>
      <c r="J378" s="115"/>
      <c r="K378" s="60">
        <f t="shared" si="2"/>
        <v>0</v>
      </c>
      <c r="L378" s="117"/>
    </row>
    <row r="379" ht="15.75" customHeight="1">
      <c r="A379" s="9"/>
      <c r="B379" s="164"/>
      <c r="C379" s="110"/>
      <c r="D379" s="110"/>
      <c r="E379" s="111"/>
      <c r="F379" s="112"/>
      <c r="G379" s="113"/>
      <c r="H379" s="53">
        <f t="shared" si="1"/>
        <v>0</v>
      </c>
      <c r="I379" s="115"/>
      <c r="J379" s="115"/>
      <c r="K379" s="60">
        <f t="shared" si="2"/>
        <v>0</v>
      </c>
      <c r="L379" s="117"/>
    </row>
    <row r="380" ht="15.75" customHeight="1">
      <c r="A380" s="9"/>
      <c r="B380" s="164"/>
      <c r="C380" s="110"/>
      <c r="D380" s="110"/>
      <c r="E380" s="111"/>
      <c r="F380" s="112"/>
      <c r="G380" s="113"/>
      <c r="H380" s="53">
        <f t="shared" si="1"/>
        <v>0</v>
      </c>
      <c r="I380" s="115"/>
      <c r="J380" s="115"/>
      <c r="K380" s="60">
        <f t="shared" si="2"/>
        <v>0</v>
      </c>
      <c r="L380" s="117"/>
    </row>
    <row r="381" ht="15.75" customHeight="1">
      <c r="A381" s="9"/>
      <c r="B381" s="164"/>
      <c r="C381" s="110"/>
      <c r="D381" s="110"/>
      <c r="E381" s="111"/>
      <c r="F381" s="112"/>
      <c r="G381" s="113"/>
      <c r="H381" s="53">
        <f t="shared" si="1"/>
        <v>0</v>
      </c>
      <c r="I381" s="115"/>
      <c r="J381" s="115"/>
      <c r="K381" s="60">
        <f t="shared" si="2"/>
        <v>0</v>
      </c>
      <c r="L381" s="117"/>
    </row>
    <row r="382" ht="15.75" customHeight="1">
      <c r="A382" s="9"/>
      <c r="B382" s="164"/>
      <c r="C382" s="110"/>
      <c r="D382" s="110"/>
      <c r="E382" s="111"/>
      <c r="F382" s="112"/>
      <c r="G382" s="113"/>
      <c r="H382" s="53">
        <f t="shared" si="1"/>
        <v>0</v>
      </c>
      <c r="I382" s="115"/>
      <c r="J382" s="115"/>
      <c r="K382" s="60">
        <f t="shared" si="2"/>
        <v>0</v>
      </c>
      <c r="L382" s="117"/>
    </row>
    <row r="383" ht="15.75" customHeight="1">
      <c r="A383" s="9"/>
      <c r="B383" s="164"/>
      <c r="C383" s="110"/>
      <c r="D383" s="110"/>
      <c r="E383" s="111"/>
      <c r="F383" s="112"/>
      <c r="G383" s="113"/>
      <c r="H383" s="53">
        <f t="shared" si="1"/>
        <v>0</v>
      </c>
      <c r="I383" s="115"/>
      <c r="J383" s="115"/>
      <c r="K383" s="60">
        <f t="shared" si="2"/>
        <v>0</v>
      </c>
      <c r="L383" s="117"/>
    </row>
    <row r="384" ht="15.75" customHeight="1">
      <c r="A384" s="9"/>
      <c r="B384" s="164"/>
      <c r="C384" s="110"/>
      <c r="D384" s="110"/>
      <c r="E384" s="111"/>
      <c r="F384" s="112"/>
      <c r="G384" s="113"/>
      <c r="H384" s="53">
        <f t="shared" si="1"/>
        <v>0</v>
      </c>
      <c r="I384" s="115"/>
      <c r="J384" s="115"/>
      <c r="K384" s="60">
        <f t="shared" si="2"/>
        <v>0</v>
      </c>
      <c r="L384" s="117"/>
    </row>
    <row r="385" ht="15.75" customHeight="1">
      <c r="A385" s="9"/>
      <c r="B385" s="164"/>
      <c r="C385" s="110"/>
      <c r="D385" s="110"/>
      <c r="E385" s="111"/>
      <c r="F385" s="112"/>
      <c r="G385" s="113"/>
      <c r="H385" s="53">
        <f t="shared" si="1"/>
        <v>0</v>
      </c>
      <c r="I385" s="115"/>
      <c r="J385" s="115"/>
      <c r="K385" s="60">
        <f t="shared" si="2"/>
        <v>0</v>
      </c>
      <c r="L385" s="117"/>
    </row>
    <row r="386" ht="15.75" customHeight="1">
      <c r="A386" s="9"/>
      <c r="B386" s="164"/>
      <c r="C386" s="110"/>
      <c r="D386" s="110"/>
      <c r="E386" s="111"/>
      <c r="F386" s="112"/>
      <c r="G386" s="113"/>
      <c r="H386" s="53">
        <f t="shared" si="1"/>
        <v>0</v>
      </c>
      <c r="I386" s="115"/>
      <c r="J386" s="115"/>
      <c r="K386" s="60">
        <f t="shared" si="2"/>
        <v>0</v>
      </c>
      <c r="L386" s="117"/>
    </row>
    <row r="387" ht="15.75" customHeight="1">
      <c r="A387" s="9"/>
      <c r="B387" s="164"/>
      <c r="C387" s="110"/>
      <c r="D387" s="110"/>
      <c r="E387" s="111"/>
      <c r="F387" s="112"/>
      <c r="G387" s="113"/>
      <c r="H387" s="53">
        <f t="shared" si="1"/>
        <v>0</v>
      </c>
      <c r="I387" s="115"/>
      <c r="J387" s="115"/>
      <c r="K387" s="60">
        <f t="shared" si="2"/>
        <v>0</v>
      </c>
      <c r="L387" s="117"/>
    </row>
    <row r="388" ht="15.75" customHeight="1">
      <c r="A388" s="9"/>
      <c r="B388" s="164"/>
      <c r="C388" s="110"/>
      <c r="D388" s="110"/>
      <c r="E388" s="111"/>
      <c r="F388" s="112"/>
      <c r="G388" s="113"/>
      <c r="H388" s="53">
        <f t="shared" si="1"/>
        <v>0</v>
      </c>
      <c r="I388" s="115"/>
      <c r="J388" s="115"/>
      <c r="K388" s="60">
        <f t="shared" si="2"/>
        <v>0</v>
      </c>
      <c r="L388" s="117"/>
    </row>
    <row r="389" ht="15.75" customHeight="1">
      <c r="A389" s="9"/>
      <c r="B389" s="164"/>
      <c r="C389" s="110"/>
      <c r="D389" s="110"/>
      <c r="E389" s="111"/>
      <c r="F389" s="112"/>
      <c r="G389" s="113"/>
      <c r="H389" s="53">
        <f t="shared" si="1"/>
        <v>0</v>
      </c>
      <c r="I389" s="115"/>
      <c r="J389" s="115"/>
      <c r="K389" s="60">
        <f t="shared" si="2"/>
        <v>0</v>
      </c>
      <c r="L389" s="117"/>
    </row>
    <row r="390" ht="15.75" customHeight="1">
      <c r="A390" s="9"/>
      <c r="B390" s="164"/>
      <c r="C390" s="110"/>
      <c r="D390" s="110"/>
      <c r="E390" s="111"/>
      <c r="F390" s="112"/>
      <c r="G390" s="113"/>
      <c r="H390" s="53">
        <f t="shared" si="1"/>
        <v>0</v>
      </c>
      <c r="I390" s="115"/>
      <c r="J390" s="115"/>
      <c r="K390" s="60">
        <f t="shared" si="2"/>
        <v>0</v>
      </c>
      <c r="L390" s="117"/>
    </row>
    <row r="391" ht="15.75" customHeight="1">
      <c r="A391" s="9"/>
      <c r="B391" s="164"/>
      <c r="C391" s="110"/>
      <c r="D391" s="110"/>
      <c r="E391" s="111"/>
      <c r="F391" s="112"/>
      <c r="G391" s="113"/>
      <c r="H391" s="53">
        <f t="shared" si="1"/>
        <v>0</v>
      </c>
      <c r="I391" s="115"/>
      <c r="J391" s="115"/>
      <c r="K391" s="60">
        <f t="shared" si="2"/>
        <v>0</v>
      </c>
      <c r="L391" s="117"/>
    </row>
    <row r="392" ht="15.75" customHeight="1">
      <c r="A392" s="9"/>
      <c r="B392" s="164"/>
      <c r="C392" s="110"/>
      <c r="D392" s="110"/>
      <c r="E392" s="111"/>
      <c r="F392" s="112"/>
      <c r="G392" s="113"/>
      <c r="H392" s="53">
        <f t="shared" si="1"/>
        <v>0</v>
      </c>
      <c r="I392" s="115"/>
      <c r="J392" s="115"/>
      <c r="K392" s="60">
        <f t="shared" si="2"/>
        <v>0</v>
      </c>
      <c r="L392" s="117"/>
    </row>
    <row r="393" ht="15.75" customHeight="1">
      <c r="A393" s="9"/>
      <c r="B393" s="164"/>
      <c r="C393" s="110"/>
      <c r="D393" s="110"/>
      <c r="E393" s="111"/>
      <c r="F393" s="112"/>
      <c r="G393" s="113"/>
      <c r="H393" s="53">
        <f t="shared" si="1"/>
        <v>0</v>
      </c>
      <c r="I393" s="115"/>
      <c r="J393" s="115"/>
      <c r="K393" s="60">
        <f t="shared" si="2"/>
        <v>0</v>
      </c>
      <c r="L393" s="117"/>
    </row>
    <row r="394" ht="15.75" customHeight="1">
      <c r="A394" s="9"/>
      <c r="B394" s="164"/>
      <c r="C394" s="110"/>
      <c r="D394" s="110"/>
      <c r="E394" s="111"/>
      <c r="F394" s="112"/>
      <c r="G394" s="113"/>
      <c r="H394" s="53">
        <f t="shared" si="1"/>
        <v>0</v>
      </c>
      <c r="I394" s="115"/>
      <c r="J394" s="115"/>
      <c r="K394" s="60">
        <f t="shared" si="2"/>
        <v>0</v>
      </c>
      <c r="L394" s="117"/>
    </row>
    <row r="395" ht="15.75" customHeight="1">
      <c r="A395" s="9"/>
      <c r="B395" s="164"/>
      <c r="C395" s="110"/>
      <c r="D395" s="110"/>
      <c r="E395" s="111"/>
      <c r="F395" s="112"/>
      <c r="G395" s="113"/>
      <c r="H395" s="53">
        <f t="shared" si="1"/>
        <v>0</v>
      </c>
      <c r="I395" s="115"/>
      <c r="J395" s="115"/>
      <c r="K395" s="60">
        <f t="shared" si="2"/>
        <v>0</v>
      </c>
      <c r="L395" s="117"/>
    </row>
    <row r="396" ht="15.75" customHeight="1">
      <c r="A396" s="9"/>
      <c r="B396" s="164"/>
      <c r="C396" s="110"/>
      <c r="D396" s="110"/>
      <c r="E396" s="111"/>
      <c r="F396" s="112"/>
      <c r="G396" s="113"/>
      <c r="H396" s="53">
        <f t="shared" si="1"/>
        <v>0</v>
      </c>
      <c r="I396" s="115"/>
      <c r="J396" s="115"/>
      <c r="K396" s="60">
        <f t="shared" si="2"/>
        <v>0</v>
      </c>
      <c r="L396" s="117"/>
    </row>
    <row r="397" ht="15.75" customHeight="1">
      <c r="A397" s="9"/>
      <c r="B397" s="164"/>
      <c r="C397" s="110"/>
      <c r="D397" s="110"/>
      <c r="E397" s="111"/>
      <c r="F397" s="112"/>
      <c r="G397" s="113"/>
      <c r="H397" s="53">
        <f t="shared" si="1"/>
        <v>0</v>
      </c>
      <c r="I397" s="115"/>
      <c r="J397" s="115"/>
      <c r="K397" s="60">
        <f t="shared" si="2"/>
        <v>0</v>
      </c>
      <c r="L397" s="117"/>
    </row>
    <row r="398" ht="15.75" customHeight="1">
      <c r="A398" s="9"/>
      <c r="B398" s="164"/>
      <c r="C398" s="110"/>
      <c r="D398" s="110"/>
      <c r="E398" s="111"/>
      <c r="F398" s="112"/>
      <c r="G398" s="113"/>
      <c r="H398" s="53">
        <f t="shared" si="1"/>
        <v>0</v>
      </c>
      <c r="I398" s="115"/>
      <c r="J398" s="115"/>
      <c r="K398" s="60">
        <f t="shared" si="2"/>
        <v>0</v>
      </c>
      <c r="L398" s="117"/>
    </row>
    <row r="399" ht="15.75" customHeight="1">
      <c r="A399" s="9"/>
      <c r="B399" s="164"/>
      <c r="C399" s="110"/>
      <c r="D399" s="110"/>
      <c r="E399" s="111"/>
      <c r="F399" s="112"/>
      <c r="G399" s="113"/>
      <c r="H399" s="53">
        <f t="shared" si="1"/>
        <v>0</v>
      </c>
      <c r="I399" s="115"/>
      <c r="J399" s="115"/>
      <c r="K399" s="60">
        <f t="shared" si="2"/>
        <v>0</v>
      </c>
      <c r="L399" s="117"/>
    </row>
    <row r="400" ht="15.75" customHeight="1">
      <c r="A400" s="9"/>
      <c r="B400" s="164"/>
      <c r="C400" s="110"/>
      <c r="D400" s="110"/>
      <c r="E400" s="111"/>
      <c r="F400" s="112"/>
      <c r="G400" s="113"/>
      <c r="H400" s="53">
        <f t="shared" si="1"/>
        <v>0</v>
      </c>
      <c r="I400" s="115"/>
      <c r="J400" s="115"/>
      <c r="K400" s="60">
        <f t="shared" si="2"/>
        <v>0</v>
      </c>
      <c r="L400" s="117"/>
    </row>
    <row r="401" ht="15.75" customHeight="1">
      <c r="A401" s="9"/>
      <c r="B401" s="164"/>
      <c r="C401" s="110"/>
      <c r="D401" s="110"/>
      <c r="E401" s="111"/>
      <c r="F401" s="112"/>
      <c r="G401" s="113"/>
      <c r="H401" s="53">
        <f t="shared" si="1"/>
        <v>0</v>
      </c>
      <c r="I401" s="115"/>
      <c r="J401" s="115"/>
      <c r="K401" s="60">
        <f t="shared" si="2"/>
        <v>0</v>
      </c>
      <c r="L401" s="117"/>
    </row>
    <row r="402" ht="15.75" customHeight="1">
      <c r="A402" s="9"/>
      <c r="B402" s="164"/>
      <c r="C402" s="110"/>
      <c r="D402" s="110"/>
      <c r="E402" s="111"/>
      <c r="F402" s="112"/>
      <c r="G402" s="113"/>
      <c r="H402" s="53">
        <f t="shared" si="1"/>
        <v>0</v>
      </c>
      <c r="I402" s="115"/>
      <c r="J402" s="115"/>
      <c r="K402" s="60">
        <f t="shared" si="2"/>
        <v>0</v>
      </c>
      <c r="L402" s="117"/>
    </row>
    <row r="403" ht="15.75" customHeight="1">
      <c r="A403" s="9"/>
      <c r="B403" s="164"/>
      <c r="C403" s="110"/>
      <c r="D403" s="110"/>
      <c r="E403" s="111"/>
      <c r="F403" s="112"/>
      <c r="G403" s="113"/>
      <c r="H403" s="53">
        <f t="shared" si="1"/>
        <v>0</v>
      </c>
      <c r="I403" s="115"/>
      <c r="J403" s="115"/>
      <c r="K403" s="60">
        <f t="shared" si="2"/>
        <v>0</v>
      </c>
      <c r="L403" s="117"/>
    </row>
    <row r="404" ht="15.75" customHeight="1">
      <c r="A404" s="9"/>
      <c r="B404" s="164"/>
      <c r="C404" s="110"/>
      <c r="D404" s="110"/>
      <c r="E404" s="111"/>
      <c r="F404" s="112"/>
      <c r="G404" s="113"/>
      <c r="H404" s="53">
        <f t="shared" si="1"/>
        <v>0</v>
      </c>
      <c r="I404" s="115"/>
      <c r="J404" s="115"/>
      <c r="K404" s="60">
        <f t="shared" si="2"/>
        <v>0</v>
      </c>
      <c r="L404" s="117"/>
    </row>
    <row r="405" ht="15.75" customHeight="1">
      <c r="A405" s="9"/>
      <c r="B405" s="164"/>
      <c r="C405" s="110"/>
      <c r="D405" s="110"/>
      <c r="E405" s="111"/>
      <c r="F405" s="112"/>
      <c r="G405" s="113"/>
      <c r="H405" s="53">
        <f t="shared" si="1"/>
        <v>0</v>
      </c>
      <c r="I405" s="115"/>
      <c r="J405" s="115"/>
      <c r="K405" s="60">
        <f t="shared" si="2"/>
        <v>0</v>
      </c>
      <c r="L405" s="117"/>
    </row>
    <row r="406" ht="15.75" customHeight="1">
      <c r="A406" s="9"/>
      <c r="B406" s="164"/>
      <c r="C406" s="110"/>
      <c r="D406" s="110"/>
      <c r="E406" s="111"/>
      <c r="F406" s="112"/>
      <c r="G406" s="113"/>
      <c r="H406" s="53">
        <f t="shared" si="1"/>
        <v>0</v>
      </c>
      <c r="I406" s="115"/>
      <c r="J406" s="115"/>
      <c r="K406" s="60">
        <f t="shared" si="2"/>
        <v>0</v>
      </c>
      <c r="L406" s="117"/>
    </row>
    <row r="407" ht="15.75" customHeight="1">
      <c r="A407" s="9"/>
      <c r="B407" s="164"/>
      <c r="C407" s="110"/>
      <c r="D407" s="110"/>
      <c r="E407" s="111"/>
      <c r="F407" s="112"/>
      <c r="G407" s="113"/>
      <c r="H407" s="53">
        <f t="shared" si="1"/>
        <v>0</v>
      </c>
      <c r="I407" s="115"/>
      <c r="J407" s="115"/>
      <c r="K407" s="60">
        <f t="shared" si="2"/>
        <v>0</v>
      </c>
      <c r="L407" s="117"/>
    </row>
    <row r="408" ht="15.75" customHeight="1">
      <c r="A408" s="9"/>
      <c r="B408" s="164"/>
      <c r="C408" s="110"/>
      <c r="D408" s="110"/>
      <c r="E408" s="111"/>
      <c r="F408" s="112"/>
      <c r="G408" s="113"/>
      <c r="H408" s="53">
        <f t="shared" si="1"/>
        <v>0</v>
      </c>
      <c r="I408" s="115"/>
      <c r="J408" s="115"/>
      <c r="K408" s="60">
        <f t="shared" si="2"/>
        <v>0</v>
      </c>
      <c r="L408" s="117"/>
    </row>
    <row r="409" ht="15.75" customHeight="1">
      <c r="A409" s="9"/>
      <c r="B409" s="164"/>
      <c r="C409" s="110"/>
      <c r="D409" s="110"/>
      <c r="E409" s="111"/>
      <c r="F409" s="112"/>
      <c r="G409" s="113"/>
      <c r="H409" s="53">
        <f t="shared" si="1"/>
        <v>0</v>
      </c>
      <c r="I409" s="115"/>
      <c r="J409" s="115"/>
      <c r="K409" s="60">
        <f t="shared" si="2"/>
        <v>0</v>
      </c>
      <c r="L409" s="117"/>
    </row>
    <row r="410" ht="15.75" customHeight="1">
      <c r="A410" s="9"/>
      <c r="B410" s="164"/>
      <c r="C410" s="110"/>
      <c r="D410" s="110"/>
      <c r="E410" s="111"/>
      <c r="F410" s="112"/>
      <c r="G410" s="113"/>
      <c r="H410" s="53">
        <f t="shared" si="1"/>
        <v>0</v>
      </c>
      <c r="I410" s="115"/>
      <c r="J410" s="115"/>
      <c r="K410" s="60">
        <f t="shared" si="2"/>
        <v>0</v>
      </c>
      <c r="L410" s="117"/>
    </row>
    <row r="411" ht="15.75" customHeight="1">
      <c r="A411" s="9"/>
      <c r="B411" s="164"/>
      <c r="C411" s="110"/>
      <c r="D411" s="110"/>
      <c r="E411" s="111"/>
      <c r="F411" s="112"/>
      <c r="G411" s="113"/>
      <c r="H411" s="53">
        <f t="shared" si="1"/>
        <v>0</v>
      </c>
      <c r="I411" s="115"/>
      <c r="J411" s="115"/>
      <c r="K411" s="60">
        <f t="shared" si="2"/>
        <v>0</v>
      </c>
      <c r="L411" s="117"/>
    </row>
    <row r="412" ht="15.75" customHeight="1">
      <c r="A412" s="9"/>
      <c r="B412" s="164"/>
      <c r="C412" s="110"/>
      <c r="D412" s="110"/>
      <c r="E412" s="111"/>
      <c r="F412" s="112"/>
      <c r="G412" s="113"/>
      <c r="H412" s="53">
        <f t="shared" si="1"/>
        <v>0</v>
      </c>
      <c r="I412" s="115"/>
      <c r="J412" s="115"/>
      <c r="K412" s="60">
        <f t="shared" si="2"/>
        <v>0</v>
      </c>
      <c r="L412" s="117"/>
    </row>
    <row r="413" ht="15.75" customHeight="1">
      <c r="A413" s="9"/>
      <c r="B413" s="164"/>
      <c r="C413" s="110"/>
      <c r="D413" s="110"/>
      <c r="E413" s="111"/>
      <c r="F413" s="112"/>
      <c r="G413" s="113"/>
      <c r="H413" s="53">
        <f t="shared" si="1"/>
        <v>0</v>
      </c>
      <c r="I413" s="115"/>
      <c r="J413" s="115"/>
      <c r="K413" s="60">
        <f t="shared" si="2"/>
        <v>0</v>
      </c>
      <c r="L413" s="117"/>
    </row>
    <row r="414" ht="15.75" customHeight="1">
      <c r="A414" s="9"/>
      <c r="B414" s="164"/>
      <c r="C414" s="110"/>
      <c r="D414" s="110"/>
      <c r="E414" s="111"/>
      <c r="F414" s="112"/>
      <c r="G414" s="113"/>
      <c r="H414" s="53">
        <f t="shared" si="1"/>
        <v>0</v>
      </c>
      <c r="I414" s="115"/>
      <c r="J414" s="115"/>
      <c r="K414" s="60">
        <f t="shared" si="2"/>
        <v>0</v>
      </c>
      <c r="L414" s="117"/>
    </row>
    <row r="415" ht="15.75" customHeight="1">
      <c r="A415" s="9"/>
      <c r="B415" s="164"/>
      <c r="C415" s="110"/>
      <c r="D415" s="110"/>
      <c r="E415" s="111"/>
      <c r="F415" s="112"/>
      <c r="G415" s="113"/>
      <c r="H415" s="53">
        <f t="shared" si="1"/>
        <v>0</v>
      </c>
      <c r="I415" s="115"/>
      <c r="J415" s="115"/>
      <c r="K415" s="60">
        <f t="shared" si="2"/>
        <v>0</v>
      </c>
      <c r="L415" s="117"/>
    </row>
    <row r="416" ht="15.75" customHeight="1">
      <c r="A416" s="9"/>
      <c r="B416" s="164"/>
      <c r="C416" s="110"/>
      <c r="D416" s="110"/>
      <c r="E416" s="111"/>
      <c r="F416" s="112"/>
      <c r="G416" s="113"/>
      <c r="H416" s="53">
        <f t="shared" si="1"/>
        <v>0</v>
      </c>
      <c r="I416" s="115"/>
      <c r="J416" s="115"/>
      <c r="K416" s="60">
        <f t="shared" si="2"/>
        <v>0</v>
      </c>
      <c r="L416" s="117"/>
    </row>
    <row r="417" ht="15.75" customHeight="1">
      <c r="A417" s="9"/>
      <c r="B417" s="164"/>
      <c r="C417" s="110"/>
      <c r="D417" s="110"/>
      <c r="E417" s="111"/>
      <c r="F417" s="112"/>
      <c r="G417" s="113"/>
      <c r="H417" s="53">
        <f t="shared" si="1"/>
        <v>0</v>
      </c>
      <c r="I417" s="115"/>
      <c r="J417" s="115"/>
      <c r="K417" s="60">
        <f t="shared" si="2"/>
        <v>0</v>
      </c>
      <c r="L417" s="117"/>
    </row>
    <row r="418" ht="15.75" customHeight="1">
      <c r="A418" s="9"/>
      <c r="B418" s="164"/>
      <c r="C418" s="110"/>
      <c r="D418" s="110"/>
      <c r="E418" s="111"/>
      <c r="F418" s="112"/>
      <c r="G418" s="113"/>
      <c r="H418" s="53">
        <f t="shared" si="1"/>
        <v>0</v>
      </c>
      <c r="I418" s="115"/>
      <c r="J418" s="115"/>
      <c r="K418" s="60">
        <f t="shared" si="2"/>
        <v>0</v>
      </c>
      <c r="L418" s="117"/>
    </row>
    <row r="419" ht="15.75" customHeight="1">
      <c r="A419" s="9"/>
      <c r="B419" s="164"/>
      <c r="C419" s="110"/>
      <c r="D419" s="110"/>
      <c r="E419" s="111"/>
      <c r="F419" s="112"/>
      <c r="G419" s="113"/>
      <c r="H419" s="53">
        <f t="shared" si="1"/>
        <v>0</v>
      </c>
      <c r="I419" s="115"/>
      <c r="J419" s="115"/>
      <c r="K419" s="60">
        <f t="shared" si="2"/>
        <v>0</v>
      </c>
      <c r="L419" s="117"/>
    </row>
    <row r="420" ht="15.75" customHeight="1">
      <c r="A420" s="9"/>
      <c r="B420" s="164"/>
      <c r="C420" s="110"/>
      <c r="D420" s="110"/>
      <c r="E420" s="111"/>
      <c r="F420" s="112"/>
      <c r="G420" s="113"/>
      <c r="H420" s="53">
        <f t="shared" si="1"/>
        <v>0</v>
      </c>
      <c r="I420" s="115"/>
      <c r="J420" s="115"/>
      <c r="K420" s="60">
        <f t="shared" si="2"/>
        <v>0</v>
      </c>
      <c r="L420" s="117"/>
    </row>
    <row r="421" ht="15.75" customHeight="1">
      <c r="A421" s="9"/>
      <c r="B421" s="164"/>
      <c r="C421" s="110"/>
      <c r="D421" s="110"/>
      <c r="E421" s="111"/>
      <c r="F421" s="112"/>
      <c r="G421" s="113"/>
      <c r="H421" s="53">
        <f t="shared" si="1"/>
        <v>0</v>
      </c>
      <c r="I421" s="115"/>
      <c r="J421" s="115"/>
      <c r="K421" s="60">
        <f t="shared" si="2"/>
        <v>0</v>
      </c>
      <c r="L421" s="117"/>
    </row>
    <row r="422" ht="15.75" customHeight="1">
      <c r="A422" s="9"/>
      <c r="B422" s="164"/>
      <c r="C422" s="110"/>
      <c r="D422" s="110"/>
      <c r="E422" s="111"/>
      <c r="F422" s="112"/>
      <c r="G422" s="113"/>
      <c r="H422" s="53">
        <f t="shared" si="1"/>
        <v>0</v>
      </c>
      <c r="I422" s="115"/>
      <c r="J422" s="115"/>
      <c r="K422" s="60">
        <f t="shared" si="2"/>
        <v>0</v>
      </c>
      <c r="L422" s="117"/>
    </row>
    <row r="423" ht="15.75" customHeight="1">
      <c r="A423" s="9"/>
      <c r="B423" s="164"/>
      <c r="C423" s="110"/>
      <c r="D423" s="110"/>
      <c r="E423" s="111"/>
      <c r="F423" s="112"/>
      <c r="G423" s="113"/>
      <c r="H423" s="53">
        <f t="shared" si="1"/>
        <v>0</v>
      </c>
      <c r="I423" s="115"/>
      <c r="J423" s="115"/>
      <c r="K423" s="60">
        <f t="shared" si="2"/>
        <v>0</v>
      </c>
      <c r="L423" s="117"/>
    </row>
    <row r="424" ht="15.75" customHeight="1">
      <c r="A424" s="9"/>
      <c r="B424" s="164"/>
      <c r="C424" s="110"/>
      <c r="D424" s="110"/>
      <c r="E424" s="111"/>
      <c r="F424" s="112"/>
      <c r="G424" s="113"/>
      <c r="H424" s="53">
        <f t="shared" si="1"/>
        <v>0</v>
      </c>
      <c r="I424" s="115"/>
      <c r="J424" s="115"/>
      <c r="K424" s="60">
        <f t="shared" si="2"/>
        <v>0</v>
      </c>
      <c r="L424" s="117"/>
    </row>
    <row r="425" ht="15.75" customHeight="1">
      <c r="A425" s="9"/>
      <c r="B425" s="164"/>
      <c r="C425" s="110"/>
      <c r="D425" s="110"/>
      <c r="E425" s="111"/>
      <c r="F425" s="112"/>
      <c r="G425" s="113"/>
      <c r="H425" s="53">
        <f t="shared" si="1"/>
        <v>0</v>
      </c>
      <c r="I425" s="115"/>
      <c r="J425" s="115"/>
      <c r="K425" s="60">
        <f t="shared" si="2"/>
        <v>0</v>
      </c>
      <c r="L425" s="117"/>
    </row>
    <row r="426" ht="15.75" customHeight="1">
      <c r="A426" s="9"/>
      <c r="B426" s="164"/>
      <c r="C426" s="110"/>
      <c r="D426" s="110"/>
      <c r="E426" s="111"/>
      <c r="F426" s="112"/>
      <c r="G426" s="113"/>
      <c r="H426" s="53">
        <f t="shared" si="1"/>
        <v>0</v>
      </c>
      <c r="I426" s="115"/>
      <c r="J426" s="115"/>
      <c r="K426" s="60">
        <f t="shared" si="2"/>
        <v>0</v>
      </c>
      <c r="L426" s="117"/>
    </row>
    <row r="427" ht="15.75" customHeight="1">
      <c r="A427" s="9"/>
      <c r="B427" s="164"/>
      <c r="C427" s="110"/>
      <c r="D427" s="110"/>
      <c r="E427" s="111"/>
      <c r="F427" s="112"/>
      <c r="G427" s="113"/>
      <c r="H427" s="53">
        <f t="shared" si="1"/>
        <v>0</v>
      </c>
      <c r="I427" s="115"/>
      <c r="J427" s="115"/>
      <c r="K427" s="60">
        <f t="shared" si="2"/>
        <v>0</v>
      </c>
      <c r="L427" s="117"/>
    </row>
    <row r="428" ht="15.75" customHeight="1">
      <c r="A428" s="9"/>
      <c r="B428" s="164"/>
      <c r="C428" s="110"/>
      <c r="D428" s="110"/>
      <c r="E428" s="111"/>
      <c r="F428" s="112"/>
      <c r="G428" s="113"/>
      <c r="H428" s="53">
        <f t="shared" si="1"/>
        <v>0</v>
      </c>
      <c r="I428" s="115"/>
      <c r="J428" s="115"/>
      <c r="K428" s="60">
        <f t="shared" si="2"/>
        <v>0</v>
      </c>
      <c r="L428" s="117"/>
    </row>
    <row r="429" ht="15.75" customHeight="1">
      <c r="A429" s="9"/>
      <c r="B429" s="164"/>
      <c r="C429" s="110"/>
      <c r="D429" s="110"/>
      <c r="E429" s="111"/>
      <c r="F429" s="112"/>
      <c r="G429" s="113"/>
      <c r="H429" s="53">
        <f t="shared" si="1"/>
        <v>0</v>
      </c>
      <c r="I429" s="115"/>
      <c r="J429" s="115"/>
      <c r="K429" s="60">
        <f t="shared" si="2"/>
        <v>0</v>
      </c>
      <c r="L429" s="117"/>
    </row>
    <row r="430" ht="15.75" customHeight="1">
      <c r="A430" s="9"/>
      <c r="B430" s="164"/>
      <c r="C430" s="110"/>
      <c r="D430" s="110"/>
      <c r="E430" s="111"/>
      <c r="F430" s="112"/>
      <c r="G430" s="113"/>
      <c r="H430" s="53">
        <f t="shared" si="1"/>
        <v>0</v>
      </c>
      <c r="I430" s="115"/>
      <c r="J430" s="115"/>
      <c r="K430" s="60">
        <f t="shared" si="2"/>
        <v>0</v>
      </c>
      <c r="L430" s="117"/>
    </row>
    <row r="431" ht="15.75" customHeight="1">
      <c r="A431" s="9"/>
      <c r="B431" s="164"/>
      <c r="C431" s="110"/>
      <c r="D431" s="110"/>
      <c r="E431" s="111"/>
      <c r="F431" s="112"/>
      <c r="G431" s="113"/>
      <c r="H431" s="53">
        <f t="shared" si="1"/>
        <v>0</v>
      </c>
      <c r="I431" s="115"/>
      <c r="J431" s="115"/>
      <c r="K431" s="60">
        <f t="shared" si="2"/>
        <v>0</v>
      </c>
      <c r="L431" s="117"/>
    </row>
    <row r="432" ht="15.75" customHeight="1">
      <c r="A432" s="9"/>
      <c r="B432" s="164"/>
      <c r="C432" s="110"/>
      <c r="D432" s="110"/>
      <c r="E432" s="111"/>
      <c r="F432" s="112"/>
      <c r="G432" s="113"/>
      <c r="H432" s="53">
        <f t="shared" si="1"/>
        <v>0</v>
      </c>
      <c r="I432" s="115"/>
      <c r="J432" s="115"/>
      <c r="K432" s="60">
        <f t="shared" si="2"/>
        <v>0</v>
      </c>
      <c r="L432" s="117"/>
    </row>
    <row r="433" ht="15.75" customHeight="1">
      <c r="A433" s="9"/>
      <c r="B433" s="164"/>
      <c r="C433" s="110"/>
      <c r="D433" s="110"/>
      <c r="E433" s="111"/>
      <c r="F433" s="112"/>
      <c r="G433" s="113"/>
      <c r="H433" s="53">
        <f t="shared" si="1"/>
        <v>0</v>
      </c>
      <c r="I433" s="115"/>
      <c r="J433" s="115"/>
      <c r="K433" s="60">
        <f t="shared" si="2"/>
        <v>0</v>
      </c>
      <c r="L433" s="117"/>
    </row>
    <row r="434" ht="15.75" customHeight="1">
      <c r="A434" s="9"/>
      <c r="B434" s="164"/>
      <c r="C434" s="110"/>
      <c r="D434" s="110"/>
      <c r="E434" s="111"/>
      <c r="F434" s="112"/>
      <c r="G434" s="113"/>
      <c r="H434" s="53">
        <f t="shared" si="1"/>
        <v>0</v>
      </c>
      <c r="I434" s="115"/>
      <c r="J434" s="115"/>
      <c r="K434" s="60">
        <f t="shared" si="2"/>
        <v>0</v>
      </c>
      <c r="L434" s="117"/>
    </row>
    <row r="435" ht="15.75" customHeight="1">
      <c r="A435" s="9"/>
      <c r="B435" s="164"/>
      <c r="C435" s="110"/>
      <c r="D435" s="110"/>
      <c r="E435" s="111"/>
      <c r="F435" s="112"/>
      <c r="G435" s="113"/>
      <c r="H435" s="53">
        <f t="shared" si="1"/>
        <v>0</v>
      </c>
      <c r="I435" s="115"/>
      <c r="J435" s="115"/>
      <c r="K435" s="60">
        <f t="shared" si="2"/>
        <v>0</v>
      </c>
      <c r="L435" s="117"/>
    </row>
    <row r="436" ht="15.75" customHeight="1">
      <c r="A436" s="9"/>
      <c r="B436" s="164"/>
      <c r="C436" s="110"/>
      <c r="D436" s="110"/>
      <c r="E436" s="111"/>
      <c r="F436" s="112"/>
      <c r="G436" s="113"/>
      <c r="H436" s="53">
        <f t="shared" si="1"/>
        <v>0</v>
      </c>
      <c r="I436" s="115"/>
      <c r="J436" s="115"/>
      <c r="K436" s="60">
        <f t="shared" si="2"/>
        <v>0</v>
      </c>
      <c r="L436" s="117"/>
    </row>
    <row r="437" ht="15.75" customHeight="1">
      <c r="A437" s="9"/>
      <c r="B437" s="164"/>
      <c r="C437" s="110"/>
      <c r="D437" s="110"/>
      <c r="E437" s="111"/>
      <c r="F437" s="112"/>
      <c r="G437" s="113"/>
      <c r="H437" s="53">
        <f t="shared" si="1"/>
        <v>0</v>
      </c>
      <c r="I437" s="115"/>
      <c r="J437" s="115"/>
      <c r="K437" s="60">
        <f t="shared" si="2"/>
        <v>0</v>
      </c>
      <c r="L437" s="117"/>
    </row>
    <row r="438" ht="15.75" customHeight="1">
      <c r="A438" s="9"/>
      <c r="B438" s="164"/>
      <c r="C438" s="110"/>
      <c r="D438" s="110"/>
      <c r="E438" s="111"/>
      <c r="F438" s="112"/>
      <c r="G438" s="113"/>
      <c r="H438" s="53">
        <f t="shared" si="1"/>
        <v>0</v>
      </c>
      <c r="I438" s="115"/>
      <c r="J438" s="115"/>
      <c r="K438" s="60">
        <f t="shared" si="2"/>
        <v>0</v>
      </c>
      <c r="L438" s="117"/>
    </row>
    <row r="439" ht="15.75" customHeight="1">
      <c r="A439" s="9"/>
      <c r="B439" s="164"/>
      <c r="C439" s="110"/>
      <c r="D439" s="110"/>
      <c r="E439" s="111"/>
      <c r="F439" s="112"/>
      <c r="G439" s="113"/>
      <c r="H439" s="53">
        <f t="shared" si="1"/>
        <v>0</v>
      </c>
      <c r="I439" s="115"/>
      <c r="J439" s="115"/>
      <c r="K439" s="60">
        <f t="shared" si="2"/>
        <v>0</v>
      </c>
      <c r="L439" s="117"/>
    </row>
    <row r="440" ht="15.75" customHeight="1">
      <c r="A440" s="9"/>
      <c r="B440" s="164"/>
      <c r="C440" s="110"/>
      <c r="D440" s="110"/>
      <c r="E440" s="111"/>
      <c r="F440" s="112"/>
      <c r="G440" s="113"/>
      <c r="H440" s="53">
        <f t="shared" si="1"/>
        <v>0</v>
      </c>
      <c r="I440" s="115"/>
      <c r="J440" s="115"/>
      <c r="K440" s="60">
        <f t="shared" si="2"/>
        <v>0</v>
      </c>
      <c r="L440" s="117"/>
    </row>
    <row r="441" ht="15.75" customHeight="1">
      <c r="A441" s="9"/>
      <c r="B441" s="164"/>
      <c r="C441" s="110"/>
      <c r="D441" s="110"/>
      <c r="E441" s="111"/>
      <c r="F441" s="112"/>
      <c r="G441" s="113"/>
      <c r="H441" s="53">
        <f t="shared" si="1"/>
        <v>0</v>
      </c>
      <c r="I441" s="115"/>
      <c r="J441" s="115"/>
      <c r="K441" s="60">
        <f t="shared" si="2"/>
        <v>0</v>
      </c>
      <c r="L441" s="117"/>
    </row>
    <row r="442" ht="15.75" customHeight="1">
      <c r="A442" s="9"/>
      <c r="B442" s="164"/>
      <c r="C442" s="110"/>
      <c r="D442" s="110"/>
      <c r="E442" s="111"/>
      <c r="F442" s="112"/>
      <c r="G442" s="113"/>
      <c r="H442" s="53">
        <f t="shared" si="1"/>
        <v>0</v>
      </c>
      <c r="I442" s="115"/>
      <c r="J442" s="115"/>
      <c r="K442" s="60">
        <f t="shared" si="2"/>
        <v>0</v>
      </c>
      <c r="L442" s="117"/>
    </row>
    <row r="443" ht="15.75" customHeight="1">
      <c r="A443" s="9"/>
      <c r="B443" s="164"/>
      <c r="C443" s="110"/>
      <c r="D443" s="110"/>
      <c r="E443" s="111"/>
      <c r="F443" s="112"/>
      <c r="G443" s="113"/>
      <c r="H443" s="53">
        <f t="shared" si="1"/>
        <v>0</v>
      </c>
      <c r="I443" s="115"/>
      <c r="J443" s="115"/>
      <c r="K443" s="60">
        <f t="shared" si="2"/>
        <v>0</v>
      </c>
      <c r="L443" s="117"/>
    </row>
    <row r="444" ht="15.75" customHeight="1">
      <c r="A444" s="9"/>
      <c r="B444" s="164"/>
      <c r="C444" s="110"/>
      <c r="D444" s="110"/>
      <c r="E444" s="111"/>
      <c r="F444" s="112"/>
      <c r="G444" s="113"/>
      <c r="H444" s="53">
        <f t="shared" si="1"/>
        <v>0</v>
      </c>
      <c r="I444" s="115"/>
      <c r="J444" s="115"/>
      <c r="K444" s="60">
        <f t="shared" si="2"/>
        <v>0</v>
      </c>
      <c r="L444" s="117"/>
    </row>
    <row r="445" ht="15.75" customHeight="1">
      <c r="A445" s="9"/>
      <c r="B445" s="164"/>
      <c r="C445" s="110"/>
      <c r="D445" s="110"/>
      <c r="E445" s="111"/>
      <c r="F445" s="112"/>
      <c r="G445" s="113"/>
      <c r="H445" s="53">
        <f t="shared" si="1"/>
        <v>0</v>
      </c>
      <c r="I445" s="115"/>
      <c r="J445" s="115"/>
      <c r="K445" s="60">
        <f t="shared" si="2"/>
        <v>0</v>
      </c>
      <c r="L445" s="117"/>
    </row>
    <row r="446" ht="15.75" customHeight="1">
      <c r="A446" s="9"/>
      <c r="B446" s="164"/>
      <c r="C446" s="110"/>
      <c r="D446" s="110"/>
      <c r="E446" s="111"/>
      <c r="F446" s="112"/>
      <c r="G446" s="113"/>
      <c r="H446" s="53">
        <f t="shared" si="1"/>
        <v>0</v>
      </c>
      <c r="I446" s="115"/>
      <c r="J446" s="115"/>
      <c r="K446" s="60">
        <f t="shared" si="2"/>
        <v>0</v>
      </c>
      <c r="L446" s="117"/>
    </row>
    <row r="447" ht="15.75" customHeight="1">
      <c r="A447" s="9"/>
      <c r="B447" s="164"/>
      <c r="C447" s="110"/>
      <c r="D447" s="110"/>
      <c r="E447" s="111"/>
      <c r="F447" s="112"/>
      <c r="G447" s="113"/>
      <c r="H447" s="53">
        <f t="shared" si="1"/>
        <v>0</v>
      </c>
      <c r="I447" s="115"/>
      <c r="J447" s="115"/>
      <c r="K447" s="60">
        <f t="shared" si="2"/>
        <v>0</v>
      </c>
      <c r="L447" s="117"/>
    </row>
    <row r="448" ht="15.75" customHeight="1">
      <c r="A448" s="9"/>
      <c r="B448" s="164"/>
      <c r="C448" s="110"/>
      <c r="D448" s="110"/>
      <c r="E448" s="111"/>
      <c r="F448" s="112"/>
      <c r="G448" s="113"/>
      <c r="H448" s="53">
        <f t="shared" si="1"/>
        <v>0</v>
      </c>
      <c r="I448" s="115"/>
      <c r="J448" s="115"/>
      <c r="K448" s="60">
        <f t="shared" si="2"/>
        <v>0</v>
      </c>
      <c r="L448" s="117"/>
    </row>
    <row r="449" ht="15.75" customHeight="1">
      <c r="A449" s="9"/>
      <c r="B449" s="164"/>
      <c r="C449" s="110"/>
      <c r="D449" s="110"/>
      <c r="E449" s="111"/>
      <c r="F449" s="112"/>
      <c r="G449" s="113"/>
      <c r="H449" s="53">
        <f t="shared" si="1"/>
        <v>0</v>
      </c>
      <c r="I449" s="115"/>
      <c r="J449" s="115"/>
      <c r="K449" s="60">
        <f t="shared" si="2"/>
        <v>0</v>
      </c>
      <c r="L449" s="117"/>
    </row>
    <row r="450" ht="15.75" customHeight="1">
      <c r="A450" s="9"/>
      <c r="B450" s="164"/>
      <c r="C450" s="110"/>
      <c r="D450" s="110"/>
      <c r="E450" s="111"/>
      <c r="F450" s="112"/>
      <c r="G450" s="113"/>
      <c r="H450" s="53">
        <f t="shared" si="1"/>
        <v>0</v>
      </c>
      <c r="I450" s="115"/>
      <c r="J450" s="115"/>
      <c r="K450" s="60">
        <f t="shared" si="2"/>
        <v>0</v>
      </c>
      <c r="L450" s="117"/>
    </row>
    <row r="451" ht="15.75" customHeight="1">
      <c r="A451" s="9"/>
      <c r="B451" s="164"/>
      <c r="C451" s="110"/>
      <c r="D451" s="110"/>
      <c r="E451" s="111"/>
      <c r="F451" s="112"/>
      <c r="G451" s="113"/>
      <c r="H451" s="53">
        <f t="shared" si="1"/>
        <v>0</v>
      </c>
      <c r="I451" s="115"/>
      <c r="J451" s="115"/>
      <c r="K451" s="60">
        <f t="shared" si="2"/>
        <v>0</v>
      </c>
      <c r="L451" s="117"/>
    </row>
    <row r="452" ht="15.75" customHeight="1">
      <c r="A452" s="9"/>
      <c r="B452" s="164"/>
      <c r="C452" s="110"/>
      <c r="D452" s="110"/>
      <c r="E452" s="111"/>
      <c r="F452" s="112"/>
      <c r="G452" s="113"/>
      <c r="H452" s="53">
        <f t="shared" si="1"/>
        <v>0</v>
      </c>
      <c r="I452" s="115"/>
      <c r="J452" s="115"/>
      <c r="K452" s="60">
        <f t="shared" si="2"/>
        <v>0</v>
      </c>
      <c r="L452" s="117"/>
    </row>
    <row r="453" ht="15.75" customHeight="1">
      <c r="A453" s="9"/>
      <c r="B453" s="164"/>
      <c r="C453" s="110"/>
      <c r="D453" s="110"/>
      <c r="E453" s="111"/>
      <c r="F453" s="112"/>
      <c r="G453" s="113"/>
      <c r="H453" s="53">
        <f t="shared" si="1"/>
        <v>0</v>
      </c>
      <c r="I453" s="115"/>
      <c r="J453" s="115"/>
      <c r="K453" s="60">
        <f t="shared" si="2"/>
        <v>0</v>
      </c>
      <c r="L453" s="117"/>
    </row>
    <row r="454" ht="15.75" customHeight="1">
      <c r="A454" s="9"/>
      <c r="B454" s="164"/>
      <c r="C454" s="110"/>
      <c r="D454" s="110"/>
      <c r="E454" s="111"/>
      <c r="F454" s="112"/>
      <c r="G454" s="113"/>
      <c r="H454" s="53">
        <f t="shared" si="1"/>
        <v>0</v>
      </c>
      <c r="I454" s="115"/>
      <c r="J454" s="115"/>
      <c r="K454" s="60">
        <f t="shared" si="2"/>
        <v>0</v>
      </c>
      <c r="L454" s="117"/>
    </row>
    <row r="455" ht="15.75" customHeight="1">
      <c r="A455" s="9"/>
      <c r="B455" s="164"/>
      <c r="C455" s="110"/>
      <c r="D455" s="110"/>
      <c r="E455" s="111"/>
      <c r="F455" s="112"/>
      <c r="G455" s="113"/>
      <c r="H455" s="53">
        <f t="shared" si="1"/>
        <v>0</v>
      </c>
      <c r="I455" s="115"/>
      <c r="J455" s="115"/>
      <c r="K455" s="60">
        <f t="shared" si="2"/>
        <v>0</v>
      </c>
      <c r="L455" s="117"/>
    </row>
    <row r="456" ht="15.75" customHeight="1">
      <c r="A456" s="9"/>
      <c r="B456" s="164"/>
      <c r="C456" s="110"/>
      <c r="D456" s="110"/>
      <c r="E456" s="111"/>
      <c r="F456" s="112"/>
      <c r="G456" s="113"/>
      <c r="H456" s="53">
        <f t="shared" si="1"/>
        <v>0</v>
      </c>
      <c r="I456" s="115"/>
      <c r="J456" s="115"/>
      <c r="K456" s="60">
        <f t="shared" si="2"/>
        <v>0</v>
      </c>
      <c r="L456" s="117"/>
    </row>
    <row r="457" ht="15.75" customHeight="1">
      <c r="A457" s="9"/>
      <c r="B457" s="164"/>
      <c r="C457" s="110"/>
      <c r="D457" s="110"/>
      <c r="E457" s="111"/>
      <c r="F457" s="112"/>
      <c r="G457" s="113"/>
      <c r="H457" s="53">
        <f t="shared" si="1"/>
        <v>0</v>
      </c>
      <c r="I457" s="115"/>
      <c r="J457" s="115"/>
      <c r="K457" s="60">
        <f t="shared" si="2"/>
        <v>0</v>
      </c>
      <c r="L457" s="117"/>
    </row>
    <row r="458" ht="15.75" customHeight="1">
      <c r="A458" s="9"/>
      <c r="B458" s="164"/>
      <c r="C458" s="110"/>
      <c r="D458" s="110"/>
      <c r="E458" s="111"/>
      <c r="F458" s="112"/>
      <c r="G458" s="113"/>
      <c r="H458" s="53">
        <f t="shared" si="1"/>
        <v>0</v>
      </c>
      <c r="I458" s="115"/>
      <c r="J458" s="115"/>
      <c r="K458" s="60">
        <f t="shared" si="2"/>
        <v>0</v>
      </c>
      <c r="L458" s="117"/>
    </row>
    <row r="459" ht="15.75" customHeight="1">
      <c r="A459" s="9"/>
      <c r="B459" s="164"/>
      <c r="C459" s="110"/>
      <c r="D459" s="110"/>
      <c r="E459" s="111"/>
      <c r="F459" s="112"/>
      <c r="G459" s="113"/>
      <c r="H459" s="53">
        <f t="shared" si="1"/>
        <v>0</v>
      </c>
      <c r="I459" s="115"/>
      <c r="J459" s="115"/>
      <c r="K459" s="60">
        <f t="shared" si="2"/>
        <v>0</v>
      </c>
      <c r="L459" s="117"/>
    </row>
    <row r="460" ht="15.75" customHeight="1">
      <c r="A460" s="9"/>
      <c r="B460" s="164"/>
      <c r="C460" s="110"/>
      <c r="D460" s="110"/>
      <c r="E460" s="111"/>
      <c r="F460" s="112"/>
      <c r="G460" s="113"/>
      <c r="H460" s="53">
        <f t="shared" si="1"/>
        <v>0</v>
      </c>
      <c r="I460" s="115"/>
      <c r="J460" s="115"/>
      <c r="K460" s="60">
        <f t="shared" si="2"/>
        <v>0</v>
      </c>
      <c r="L460" s="117"/>
    </row>
    <row r="461" ht="15.75" customHeight="1">
      <c r="A461" s="9"/>
      <c r="B461" s="164"/>
      <c r="C461" s="110"/>
      <c r="D461" s="110"/>
      <c r="E461" s="111"/>
      <c r="F461" s="112"/>
      <c r="G461" s="113"/>
      <c r="H461" s="53">
        <f t="shared" si="1"/>
        <v>0</v>
      </c>
      <c r="I461" s="115"/>
      <c r="J461" s="115"/>
      <c r="K461" s="60">
        <f t="shared" si="2"/>
        <v>0</v>
      </c>
      <c r="L461" s="117"/>
    </row>
    <row r="462" ht="15.75" customHeight="1">
      <c r="A462" s="9"/>
      <c r="B462" s="164"/>
      <c r="C462" s="110"/>
      <c r="D462" s="110"/>
      <c r="E462" s="111"/>
      <c r="F462" s="112"/>
      <c r="G462" s="113"/>
      <c r="H462" s="53">
        <f t="shared" si="1"/>
        <v>0</v>
      </c>
      <c r="I462" s="115"/>
      <c r="J462" s="115"/>
      <c r="K462" s="60">
        <f t="shared" si="2"/>
        <v>0</v>
      </c>
      <c r="L462" s="117"/>
    </row>
    <row r="463" ht="15.75" customHeight="1">
      <c r="A463" s="9"/>
      <c r="B463" s="164"/>
      <c r="C463" s="110"/>
      <c r="D463" s="110"/>
      <c r="E463" s="111"/>
      <c r="F463" s="112"/>
      <c r="G463" s="113"/>
      <c r="H463" s="53">
        <f t="shared" si="1"/>
        <v>0</v>
      </c>
      <c r="I463" s="115"/>
      <c r="J463" s="115"/>
      <c r="K463" s="60">
        <f t="shared" si="2"/>
        <v>0</v>
      </c>
      <c r="L463" s="117"/>
    </row>
    <row r="464" ht="15.75" customHeight="1">
      <c r="A464" s="9"/>
      <c r="B464" s="164"/>
      <c r="C464" s="110"/>
      <c r="D464" s="110"/>
      <c r="E464" s="111"/>
      <c r="F464" s="112"/>
      <c r="G464" s="113"/>
      <c r="H464" s="53">
        <f t="shared" si="1"/>
        <v>0</v>
      </c>
      <c r="I464" s="115"/>
      <c r="J464" s="115"/>
      <c r="K464" s="60">
        <f t="shared" si="2"/>
        <v>0</v>
      </c>
      <c r="L464" s="117"/>
    </row>
    <row r="465" ht="15.75" customHeight="1">
      <c r="A465" s="9"/>
      <c r="B465" s="164"/>
      <c r="C465" s="110"/>
      <c r="D465" s="110"/>
      <c r="E465" s="111"/>
      <c r="F465" s="112"/>
      <c r="G465" s="113"/>
      <c r="H465" s="53">
        <f t="shared" si="1"/>
        <v>0</v>
      </c>
      <c r="I465" s="115"/>
      <c r="J465" s="115"/>
      <c r="K465" s="60">
        <f t="shared" si="2"/>
        <v>0</v>
      </c>
      <c r="L465" s="117"/>
    </row>
    <row r="466" ht="15.75" customHeight="1">
      <c r="A466" s="9"/>
      <c r="B466" s="164"/>
      <c r="C466" s="110"/>
      <c r="D466" s="110"/>
      <c r="E466" s="111"/>
      <c r="F466" s="112"/>
      <c r="G466" s="113"/>
      <c r="H466" s="53">
        <f t="shared" si="1"/>
        <v>0</v>
      </c>
      <c r="I466" s="115"/>
      <c r="J466" s="115"/>
      <c r="K466" s="60">
        <f t="shared" si="2"/>
        <v>0</v>
      </c>
      <c r="L466" s="117"/>
    </row>
    <row r="467" ht="15.75" customHeight="1">
      <c r="A467" s="9"/>
      <c r="B467" s="164"/>
      <c r="C467" s="110"/>
      <c r="D467" s="110"/>
      <c r="E467" s="111"/>
      <c r="F467" s="112"/>
      <c r="G467" s="113"/>
      <c r="H467" s="53">
        <f t="shared" si="1"/>
        <v>0</v>
      </c>
      <c r="I467" s="115"/>
      <c r="J467" s="115"/>
      <c r="K467" s="60">
        <f t="shared" si="2"/>
        <v>0</v>
      </c>
      <c r="L467" s="117"/>
    </row>
    <row r="468" ht="15.75" customHeight="1">
      <c r="A468" s="9"/>
      <c r="B468" s="164"/>
      <c r="C468" s="110"/>
      <c r="D468" s="110"/>
      <c r="E468" s="111"/>
      <c r="F468" s="112"/>
      <c r="G468" s="113"/>
      <c r="H468" s="53">
        <f t="shared" si="1"/>
        <v>0</v>
      </c>
      <c r="I468" s="115"/>
      <c r="J468" s="115"/>
      <c r="K468" s="60">
        <f t="shared" si="2"/>
        <v>0</v>
      </c>
      <c r="L468" s="117"/>
    </row>
    <row r="469" ht="15.75" customHeight="1">
      <c r="A469" s="9"/>
      <c r="B469" s="164"/>
      <c r="C469" s="110"/>
      <c r="D469" s="110"/>
      <c r="E469" s="111"/>
      <c r="F469" s="112"/>
      <c r="G469" s="113"/>
      <c r="H469" s="53">
        <f t="shared" si="1"/>
        <v>0</v>
      </c>
      <c r="I469" s="115"/>
      <c r="J469" s="115"/>
      <c r="K469" s="60">
        <f t="shared" si="2"/>
        <v>0</v>
      </c>
      <c r="L469" s="117"/>
    </row>
    <row r="470" ht="15.75" customHeight="1">
      <c r="A470" s="9"/>
      <c r="B470" s="164"/>
      <c r="C470" s="110"/>
      <c r="D470" s="110"/>
      <c r="E470" s="111"/>
      <c r="F470" s="112"/>
      <c r="G470" s="113"/>
      <c r="H470" s="53">
        <f t="shared" si="1"/>
        <v>0</v>
      </c>
      <c r="I470" s="115"/>
      <c r="J470" s="115"/>
      <c r="K470" s="60">
        <f t="shared" si="2"/>
        <v>0</v>
      </c>
      <c r="L470" s="117"/>
    </row>
    <row r="471" ht="15.75" customHeight="1">
      <c r="A471" s="9"/>
      <c r="B471" s="164"/>
      <c r="C471" s="110"/>
      <c r="D471" s="110"/>
      <c r="E471" s="111"/>
      <c r="F471" s="112"/>
      <c r="G471" s="113"/>
      <c r="H471" s="53">
        <f t="shared" si="1"/>
        <v>0</v>
      </c>
      <c r="I471" s="115"/>
      <c r="J471" s="115"/>
      <c r="K471" s="60">
        <f t="shared" si="2"/>
        <v>0</v>
      </c>
      <c r="L471" s="117"/>
    </row>
    <row r="472" ht="15.75" customHeight="1">
      <c r="A472" s="9"/>
      <c r="B472" s="164"/>
      <c r="C472" s="110"/>
      <c r="D472" s="110"/>
      <c r="E472" s="111"/>
      <c r="F472" s="112"/>
      <c r="G472" s="113"/>
      <c r="H472" s="53">
        <f t="shared" si="1"/>
        <v>0</v>
      </c>
      <c r="I472" s="115"/>
      <c r="J472" s="115"/>
      <c r="K472" s="60">
        <f t="shared" si="2"/>
        <v>0</v>
      </c>
      <c r="L472" s="117"/>
    </row>
    <row r="473" ht="15.75" customHeight="1">
      <c r="A473" s="9"/>
      <c r="B473" s="164"/>
      <c r="C473" s="110"/>
      <c r="D473" s="110"/>
      <c r="E473" s="111"/>
      <c r="F473" s="112"/>
      <c r="G473" s="113"/>
      <c r="H473" s="53">
        <f t="shared" si="1"/>
        <v>0</v>
      </c>
      <c r="I473" s="115"/>
      <c r="J473" s="115"/>
      <c r="K473" s="60">
        <f t="shared" si="2"/>
        <v>0</v>
      </c>
      <c r="L473" s="117"/>
    </row>
    <row r="474" ht="15.75" customHeight="1">
      <c r="A474" s="9"/>
      <c r="B474" s="164"/>
      <c r="C474" s="110"/>
      <c r="D474" s="110"/>
      <c r="E474" s="111"/>
      <c r="F474" s="112"/>
      <c r="G474" s="113"/>
      <c r="H474" s="53">
        <f t="shared" si="1"/>
        <v>0</v>
      </c>
      <c r="I474" s="115"/>
      <c r="J474" s="115"/>
      <c r="K474" s="60">
        <f t="shared" si="2"/>
        <v>0</v>
      </c>
      <c r="L474" s="117"/>
    </row>
    <row r="475" ht="15.75" customHeight="1">
      <c r="A475" s="9"/>
      <c r="B475" s="164"/>
      <c r="C475" s="110"/>
      <c r="D475" s="110"/>
      <c r="E475" s="111"/>
      <c r="F475" s="112"/>
      <c r="G475" s="113"/>
      <c r="H475" s="53">
        <f t="shared" si="1"/>
        <v>0</v>
      </c>
      <c r="I475" s="115"/>
      <c r="J475" s="115"/>
      <c r="K475" s="60">
        <f t="shared" si="2"/>
        <v>0</v>
      </c>
      <c r="L475" s="117"/>
    </row>
    <row r="476" ht="15.75" customHeight="1">
      <c r="A476" s="9"/>
      <c r="B476" s="164"/>
      <c r="C476" s="110"/>
      <c r="D476" s="110"/>
      <c r="E476" s="111"/>
      <c r="F476" s="112"/>
      <c r="G476" s="113"/>
      <c r="H476" s="53">
        <f t="shared" si="1"/>
        <v>0</v>
      </c>
      <c r="I476" s="115"/>
      <c r="J476" s="115"/>
      <c r="K476" s="60">
        <f t="shared" si="2"/>
        <v>0</v>
      </c>
      <c r="L476" s="117"/>
    </row>
    <row r="477" ht="15.75" customHeight="1">
      <c r="A477" s="9"/>
      <c r="B477" s="164"/>
      <c r="C477" s="110"/>
      <c r="D477" s="110"/>
      <c r="E477" s="111"/>
      <c r="F477" s="112"/>
      <c r="G477" s="113"/>
      <c r="H477" s="53">
        <f t="shared" si="1"/>
        <v>0</v>
      </c>
      <c r="I477" s="115"/>
      <c r="J477" s="115"/>
      <c r="K477" s="60">
        <f t="shared" si="2"/>
        <v>0</v>
      </c>
      <c r="L477" s="117"/>
    </row>
    <row r="478" ht="15.75" customHeight="1">
      <c r="A478" s="9"/>
      <c r="B478" s="164"/>
      <c r="C478" s="110"/>
      <c r="D478" s="110"/>
      <c r="E478" s="111"/>
      <c r="F478" s="112"/>
      <c r="G478" s="113"/>
      <c r="H478" s="53">
        <f t="shared" si="1"/>
        <v>0</v>
      </c>
      <c r="I478" s="115"/>
      <c r="J478" s="115"/>
      <c r="K478" s="60">
        <f t="shared" si="2"/>
        <v>0</v>
      </c>
      <c r="L478" s="117"/>
    </row>
    <row r="479" ht="15.75" customHeight="1">
      <c r="A479" s="9"/>
      <c r="B479" s="164"/>
      <c r="C479" s="110"/>
      <c r="D479" s="110"/>
      <c r="E479" s="111"/>
      <c r="F479" s="112"/>
      <c r="G479" s="113"/>
      <c r="H479" s="53">
        <f t="shared" si="1"/>
        <v>0</v>
      </c>
      <c r="I479" s="115"/>
      <c r="J479" s="115"/>
      <c r="K479" s="60">
        <f t="shared" si="2"/>
        <v>0</v>
      </c>
      <c r="L479" s="117"/>
    </row>
    <row r="480" ht="15.75" customHeight="1">
      <c r="A480" s="9"/>
      <c r="B480" s="164"/>
      <c r="C480" s="110"/>
      <c r="D480" s="110"/>
      <c r="E480" s="111"/>
      <c r="F480" s="112"/>
      <c r="G480" s="113"/>
      <c r="H480" s="53">
        <f t="shared" si="1"/>
        <v>0</v>
      </c>
      <c r="I480" s="115"/>
      <c r="J480" s="115"/>
      <c r="K480" s="60">
        <f t="shared" si="2"/>
        <v>0</v>
      </c>
      <c r="L480" s="117"/>
    </row>
    <row r="481" ht="15.75" customHeight="1">
      <c r="A481" s="9"/>
      <c r="B481" s="164"/>
      <c r="C481" s="110"/>
      <c r="D481" s="110"/>
      <c r="E481" s="111"/>
      <c r="F481" s="112"/>
      <c r="G481" s="113"/>
      <c r="H481" s="53">
        <f t="shared" si="1"/>
        <v>0</v>
      </c>
      <c r="I481" s="115"/>
      <c r="J481" s="115"/>
      <c r="K481" s="60">
        <f t="shared" si="2"/>
        <v>0</v>
      </c>
      <c r="L481" s="117"/>
    </row>
    <row r="482" ht="15.75" customHeight="1">
      <c r="A482" s="9"/>
      <c r="B482" s="164"/>
      <c r="C482" s="110"/>
      <c r="D482" s="110"/>
      <c r="E482" s="111"/>
      <c r="F482" s="112"/>
      <c r="G482" s="113"/>
      <c r="H482" s="53">
        <f t="shared" si="1"/>
        <v>0</v>
      </c>
      <c r="I482" s="115"/>
      <c r="J482" s="115"/>
      <c r="K482" s="60">
        <f t="shared" si="2"/>
        <v>0</v>
      </c>
      <c r="L482" s="117"/>
    </row>
    <row r="483" ht="15.75" customHeight="1">
      <c r="A483" s="9"/>
      <c r="B483" s="164"/>
      <c r="C483" s="110"/>
      <c r="D483" s="110"/>
      <c r="E483" s="111"/>
      <c r="F483" s="112"/>
      <c r="G483" s="113"/>
      <c r="H483" s="53">
        <f t="shared" si="1"/>
        <v>0</v>
      </c>
      <c r="I483" s="115"/>
      <c r="J483" s="115"/>
      <c r="K483" s="60">
        <f t="shared" si="2"/>
        <v>0</v>
      </c>
      <c r="L483" s="117"/>
    </row>
    <row r="484" ht="15.75" customHeight="1">
      <c r="A484" s="9"/>
      <c r="B484" s="164"/>
      <c r="C484" s="110"/>
      <c r="D484" s="110"/>
      <c r="E484" s="111"/>
      <c r="F484" s="112"/>
      <c r="G484" s="113"/>
      <c r="H484" s="53">
        <f t="shared" si="1"/>
        <v>0</v>
      </c>
      <c r="I484" s="115"/>
      <c r="J484" s="115"/>
      <c r="K484" s="60">
        <f t="shared" si="2"/>
        <v>0</v>
      </c>
      <c r="L484" s="117"/>
    </row>
    <row r="485" ht="15.75" customHeight="1">
      <c r="A485" s="9"/>
      <c r="B485" s="164"/>
      <c r="C485" s="110"/>
      <c r="D485" s="110"/>
      <c r="E485" s="111"/>
      <c r="F485" s="112"/>
      <c r="G485" s="113"/>
      <c r="H485" s="53">
        <f t="shared" si="1"/>
        <v>0</v>
      </c>
      <c r="I485" s="115"/>
      <c r="J485" s="115"/>
      <c r="K485" s="60">
        <f t="shared" si="2"/>
        <v>0</v>
      </c>
      <c r="L485" s="117"/>
    </row>
    <row r="486" ht="15.75" customHeight="1">
      <c r="A486" s="9"/>
      <c r="B486" s="164"/>
      <c r="C486" s="110"/>
      <c r="D486" s="110"/>
      <c r="E486" s="111"/>
      <c r="F486" s="112"/>
      <c r="G486" s="113"/>
      <c r="H486" s="53">
        <f t="shared" si="1"/>
        <v>0</v>
      </c>
      <c r="I486" s="115"/>
      <c r="J486" s="115"/>
      <c r="K486" s="60">
        <f t="shared" si="2"/>
        <v>0</v>
      </c>
      <c r="L486" s="117"/>
    </row>
    <row r="487" ht="15.75" customHeight="1">
      <c r="A487" s="9"/>
      <c r="B487" s="164"/>
      <c r="C487" s="110"/>
      <c r="D487" s="110"/>
      <c r="E487" s="111"/>
      <c r="F487" s="112"/>
      <c r="G487" s="113"/>
      <c r="H487" s="53">
        <f t="shared" si="1"/>
        <v>0</v>
      </c>
      <c r="I487" s="115"/>
      <c r="J487" s="115"/>
      <c r="K487" s="60">
        <f t="shared" si="2"/>
        <v>0</v>
      </c>
      <c r="L487" s="117"/>
    </row>
    <row r="488" ht="15.75" customHeight="1">
      <c r="A488" s="9"/>
      <c r="B488" s="164"/>
      <c r="C488" s="110"/>
      <c r="D488" s="110"/>
      <c r="E488" s="111"/>
      <c r="F488" s="112"/>
      <c r="G488" s="113"/>
      <c r="H488" s="53">
        <f t="shared" si="1"/>
        <v>0</v>
      </c>
      <c r="I488" s="115"/>
      <c r="J488" s="115"/>
      <c r="K488" s="60">
        <f t="shared" si="2"/>
        <v>0</v>
      </c>
      <c r="L488" s="117"/>
    </row>
    <row r="489" ht="15.75" customHeight="1">
      <c r="A489" s="9"/>
      <c r="B489" s="164"/>
      <c r="C489" s="110"/>
      <c r="D489" s="110"/>
      <c r="E489" s="111"/>
      <c r="F489" s="112"/>
      <c r="G489" s="113"/>
      <c r="H489" s="53">
        <f t="shared" si="1"/>
        <v>0</v>
      </c>
      <c r="I489" s="115"/>
      <c r="J489" s="115"/>
      <c r="K489" s="60">
        <f t="shared" si="2"/>
        <v>0</v>
      </c>
      <c r="L489" s="117"/>
    </row>
    <row r="490" ht="15.75" customHeight="1">
      <c r="A490" s="9"/>
      <c r="B490" s="164"/>
      <c r="C490" s="110"/>
      <c r="D490" s="110"/>
      <c r="E490" s="111"/>
      <c r="F490" s="112"/>
      <c r="G490" s="113"/>
      <c r="H490" s="53">
        <f t="shared" si="1"/>
        <v>0</v>
      </c>
      <c r="I490" s="115"/>
      <c r="J490" s="115"/>
      <c r="K490" s="60">
        <f t="shared" si="2"/>
        <v>0</v>
      </c>
      <c r="L490" s="117"/>
    </row>
    <row r="491" ht="15.75" customHeight="1">
      <c r="A491" s="9"/>
      <c r="B491" s="164"/>
      <c r="C491" s="110"/>
      <c r="D491" s="110"/>
      <c r="E491" s="111"/>
      <c r="F491" s="112"/>
      <c r="G491" s="113"/>
      <c r="H491" s="53">
        <f t="shared" si="1"/>
        <v>0</v>
      </c>
      <c r="I491" s="115"/>
      <c r="J491" s="115"/>
      <c r="K491" s="60">
        <f t="shared" si="2"/>
        <v>0</v>
      </c>
      <c r="L491" s="117"/>
    </row>
    <row r="492" ht="15.75" customHeight="1">
      <c r="A492" s="9"/>
      <c r="B492" s="164"/>
      <c r="C492" s="110"/>
      <c r="D492" s="110"/>
      <c r="E492" s="111"/>
      <c r="F492" s="112"/>
      <c r="G492" s="113"/>
      <c r="H492" s="53">
        <f t="shared" si="1"/>
        <v>0</v>
      </c>
      <c r="I492" s="115"/>
      <c r="J492" s="115"/>
      <c r="K492" s="60">
        <f t="shared" si="2"/>
        <v>0</v>
      </c>
      <c r="L492" s="117"/>
    </row>
    <row r="493" ht="15.75" customHeight="1">
      <c r="A493" s="9"/>
      <c r="B493" s="164"/>
      <c r="C493" s="110"/>
      <c r="D493" s="110"/>
      <c r="E493" s="111"/>
      <c r="F493" s="112"/>
      <c r="G493" s="113"/>
      <c r="H493" s="53">
        <f t="shared" si="1"/>
        <v>0</v>
      </c>
      <c r="I493" s="115"/>
      <c r="J493" s="115"/>
      <c r="K493" s="60">
        <f t="shared" si="2"/>
        <v>0</v>
      </c>
      <c r="L493" s="117"/>
    </row>
    <row r="494" ht="15.75" customHeight="1">
      <c r="A494" s="9"/>
      <c r="B494" s="164"/>
      <c r="C494" s="110"/>
      <c r="D494" s="110"/>
      <c r="E494" s="111"/>
      <c r="F494" s="112"/>
      <c r="G494" s="113"/>
      <c r="H494" s="53">
        <f t="shared" si="1"/>
        <v>0</v>
      </c>
      <c r="I494" s="115"/>
      <c r="J494" s="115"/>
      <c r="K494" s="60">
        <f t="shared" si="2"/>
        <v>0</v>
      </c>
      <c r="L494" s="117"/>
    </row>
    <row r="495" ht="15.75" customHeight="1">
      <c r="A495" s="9"/>
      <c r="B495" s="164"/>
      <c r="C495" s="110"/>
      <c r="D495" s="110"/>
      <c r="E495" s="111"/>
      <c r="F495" s="112"/>
      <c r="G495" s="113"/>
      <c r="H495" s="53">
        <f t="shared" si="1"/>
        <v>0</v>
      </c>
      <c r="I495" s="115"/>
      <c r="J495" s="115"/>
      <c r="K495" s="60">
        <f t="shared" si="2"/>
        <v>0</v>
      </c>
      <c r="L495" s="117"/>
    </row>
    <row r="496" ht="15.75" customHeight="1">
      <c r="A496" s="9"/>
      <c r="B496" s="164"/>
      <c r="C496" s="110"/>
      <c r="D496" s="110"/>
      <c r="E496" s="111"/>
      <c r="F496" s="112"/>
      <c r="G496" s="113"/>
      <c r="H496" s="53">
        <f t="shared" si="1"/>
        <v>0</v>
      </c>
      <c r="I496" s="115"/>
      <c r="J496" s="115"/>
      <c r="K496" s="60">
        <f t="shared" si="2"/>
        <v>0</v>
      </c>
      <c r="L496" s="117"/>
    </row>
    <row r="497" ht="15.75" customHeight="1">
      <c r="A497" s="9"/>
      <c r="B497" s="164"/>
      <c r="C497" s="110"/>
      <c r="D497" s="110"/>
      <c r="E497" s="111"/>
      <c r="F497" s="112"/>
      <c r="G497" s="113"/>
      <c r="H497" s="53">
        <f t="shared" si="1"/>
        <v>0</v>
      </c>
      <c r="I497" s="115"/>
      <c r="J497" s="115"/>
      <c r="K497" s="60">
        <f t="shared" si="2"/>
        <v>0</v>
      </c>
      <c r="L497" s="117"/>
    </row>
    <row r="498" ht="15.75" customHeight="1">
      <c r="A498" s="9"/>
      <c r="B498" s="164"/>
      <c r="C498" s="110"/>
      <c r="D498" s="110"/>
      <c r="E498" s="111"/>
      <c r="F498" s="112"/>
      <c r="G498" s="113"/>
      <c r="H498" s="53">
        <f t="shared" si="1"/>
        <v>0</v>
      </c>
      <c r="I498" s="115"/>
      <c r="J498" s="115"/>
      <c r="K498" s="60">
        <f t="shared" si="2"/>
        <v>0</v>
      </c>
      <c r="L498" s="117"/>
    </row>
    <row r="499" ht="15.75" customHeight="1">
      <c r="A499" s="9"/>
      <c r="B499" s="164"/>
      <c r="C499" s="110"/>
      <c r="D499" s="110"/>
      <c r="E499" s="111"/>
      <c r="F499" s="112"/>
      <c r="G499" s="113"/>
      <c r="H499" s="53">
        <f t="shared" si="1"/>
        <v>0</v>
      </c>
      <c r="I499" s="115"/>
      <c r="J499" s="115"/>
      <c r="K499" s="60">
        <f t="shared" si="2"/>
        <v>0</v>
      </c>
      <c r="L499" s="117"/>
    </row>
    <row r="500" ht="15.75" customHeight="1">
      <c r="A500" s="9"/>
      <c r="B500" s="164"/>
      <c r="C500" s="110"/>
      <c r="D500" s="110"/>
      <c r="E500" s="111"/>
      <c r="F500" s="112"/>
      <c r="G500" s="113"/>
      <c r="H500" s="53">
        <f t="shared" si="1"/>
        <v>0</v>
      </c>
      <c r="I500" s="115"/>
      <c r="J500" s="115"/>
      <c r="K500" s="60">
        <f t="shared" si="2"/>
        <v>0</v>
      </c>
      <c r="L500" s="117"/>
    </row>
    <row r="501" ht="15.75" customHeight="1">
      <c r="A501" s="9"/>
      <c r="B501" s="164"/>
      <c r="C501" s="110"/>
      <c r="D501" s="110"/>
      <c r="E501" s="111"/>
      <c r="F501" s="112"/>
      <c r="G501" s="113"/>
      <c r="H501" s="53">
        <f t="shared" si="1"/>
        <v>0</v>
      </c>
      <c r="I501" s="115"/>
      <c r="J501" s="115"/>
      <c r="K501" s="60">
        <f t="shared" si="2"/>
        <v>0</v>
      </c>
      <c r="L501" s="117"/>
    </row>
    <row r="502" ht="15.75" customHeight="1">
      <c r="A502" s="9"/>
      <c r="B502" s="164"/>
      <c r="C502" s="110"/>
      <c r="D502" s="110"/>
      <c r="E502" s="111"/>
      <c r="F502" s="112"/>
      <c r="G502" s="113"/>
      <c r="H502" s="53">
        <f t="shared" si="1"/>
        <v>0</v>
      </c>
      <c r="I502" s="115"/>
      <c r="J502" s="115"/>
      <c r="K502" s="60">
        <f t="shared" si="2"/>
        <v>0</v>
      </c>
      <c r="L502" s="117"/>
    </row>
    <row r="503" ht="15.75" customHeight="1">
      <c r="A503" s="9"/>
      <c r="B503" s="164"/>
      <c r="C503" s="110"/>
      <c r="D503" s="110"/>
      <c r="E503" s="111"/>
      <c r="F503" s="112"/>
      <c r="G503" s="113"/>
      <c r="H503" s="53">
        <f t="shared" si="1"/>
        <v>0</v>
      </c>
      <c r="I503" s="115"/>
      <c r="J503" s="115"/>
      <c r="K503" s="60">
        <f t="shared" si="2"/>
        <v>0</v>
      </c>
      <c r="L503" s="117"/>
    </row>
    <row r="504" ht="15.75" customHeight="1">
      <c r="A504" s="9"/>
      <c r="B504" s="164"/>
      <c r="C504" s="110"/>
      <c r="D504" s="110"/>
      <c r="E504" s="111"/>
      <c r="F504" s="112"/>
      <c r="G504" s="113"/>
      <c r="H504" s="53">
        <f t="shared" si="1"/>
        <v>0</v>
      </c>
      <c r="I504" s="115"/>
      <c r="J504" s="115"/>
      <c r="K504" s="60">
        <f t="shared" si="2"/>
        <v>0</v>
      </c>
      <c r="L504" s="117"/>
    </row>
    <row r="505" ht="15.75" customHeight="1">
      <c r="A505" s="9"/>
      <c r="B505" s="164"/>
      <c r="C505" s="110"/>
      <c r="D505" s="110"/>
      <c r="E505" s="111"/>
      <c r="F505" s="112"/>
      <c r="G505" s="113"/>
      <c r="H505" s="53">
        <f t="shared" si="1"/>
        <v>0</v>
      </c>
      <c r="I505" s="115"/>
      <c r="J505" s="115"/>
      <c r="K505" s="60">
        <f t="shared" si="2"/>
        <v>0</v>
      </c>
      <c r="L505" s="117"/>
    </row>
    <row r="506" ht="15.75" customHeight="1">
      <c r="A506" s="9"/>
      <c r="B506" s="164"/>
      <c r="C506" s="110"/>
      <c r="D506" s="110"/>
      <c r="E506" s="111"/>
      <c r="F506" s="112"/>
      <c r="G506" s="113"/>
      <c r="H506" s="53">
        <f t="shared" si="1"/>
        <v>0</v>
      </c>
      <c r="I506" s="115"/>
      <c r="J506" s="115"/>
      <c r="K506" s="60">
        <f t="shared" si="2"/>
        <v>0</v>
      </c>
      <c r="L506" s="117"/>
    </row>
    <row r="507" ht="15.75" customHeight="1">
      <c r="A507" s="9"/>
      <c r="B507" s="164"/>
      <c r="C507" s="110"/>
      <c r="D507" s="110"/>
      <c r="E507" s="111"/>
      <c r="F507" s="112"/>
      <c r="G507" s="113"/>
      <c r="H507" s="53">
        <f t="shared" si="1"/>
        <v>0</v>
      </c>
      <c r="I507" s="115"/>
      <c r="J507" s="115"/>
      <c r="K507" s="60">
        <f t="shared" si="2"/>
        <v>0</v>
      </c>
      <c r="L507" s="117"/>
    </row>
    <row r="508" ht="15.75" customHeight="1">
      <c r="A508" s="9"/>
      <c r="B508" s="164"/>
      <c r="C508" s="110"/>
      <c r="D508" s="110"/>
      <c r="E508" s="111"/>
      <c r="F508" s="112"/>
      <c r="G508" s="113"/>
      <c r="H508" s="53">
        <f t="shared" si="1"/>
        <v>0</v>
      </c>
      <c r="I508" s="115"/>
      <c r="J508" s="115"/>
      <c r="K508" s="60">
        <f t="shared" si="2"/>
        <v>0</v>
      </c>
      <c r="L508" s="117"/>
    </row>
    <row r="509" ht="15.75" customHeight="1">
      <c r="A509" s="9"/>
      <c r="B509" s="164"/>
      <c r="C509" s="110"/>
      <c r="D509" s="110"/>
      <c r="E509" s="111"/>
      <c r="F509" s="112"/>
      <c r="G509" s="113"/>
      <c r="H509" s="53">
        <f t="shared" si="1"/>
        <v>0</v>
      </c>
      <c r="I509" s="115"/>
      <c r="J509" s="115"/>
      <c r="K509" s="60">
        <f t="shared" si="2"/>
        <v>0</v>
      </c>
      <c r="L509" s="117"/>
    </row>
    <row r="510" ht="15.75" customHeight="1">
      <c r="A510" s="9"/>
      <c r="B510" s="164"/>
      <c r="C510" s="110"/>
      <c r="D510" s="110"/>
      <c r="E510" s="111"/>
      <c r="F510" s="112"/>
      <c r="G510" s="113"/>
      <c r="H510" s="53">
        <f t="shared" si="1"/>
        <v>0</v>
      </c>
      <c r="I510" s="115"/>
      <c r="J510" s="115"/>
      <c r="K510" s="60">
        <f t="shared" si="2"/>
        <v>0</v>
      </c>
      <c r="L510" s="117"/>
    </row>
    <row r="511" ht="15.75" customHeight="1">
      <c r="A511" s="9"/>
      <c r="B511" s="164"/>
      <c r="C511" s="110"/>
      <c r="D511" s="110"/>
      <c r="E511" s="111"/>
      <c r="F511" s="112"/>
      <c r="G511" s="113"/>
      <c r="H511" s="53">
        <f t="shared" si="1"/>
        <v>0</v>
      </c>
      <c r="I511" s="115"/>
      <c r="J511" s="115"/>
      <c r="K511" s="60">
        <f t="shared" si="2"/>
        <v>0</v>
      </c>
      <c r="L511" s="117"/>
    </row>
    <row r="512" ht="15.75" customHeight="1">
      <c r="A512" s="9"/>
      <c r="B512" s="164"/>
      <c r="C512" s="110"/>
      <c r="D512" s="110"/>
      <c r="E512" s="111"/>
      <c r="F512" s="112"/>
      <c r="G512" s="113"/>
      <c r="H512" s="53">
        <f t="shared" si="1"/>
        <v>0</v>
      </c>
      <c r="I512" s="115"/>
      <c r="J512" s="115"/>
      <c r="K512" s="60">
        <f t="shared" si="2"/>
        <v>0</v>
      </c>
      <c r="L512" s="117"/>
    </row>
    <row r="513" ht="15.75" customHeight="1">
      <c r="A513" s="9"/>
      <c r="B513" s="164"/>
      <c r="C513" s="110"/>
      <c r="D513" s="110"/>
      <c r="E513" s="111"/>
      <c r="F513" s="112"/>
      <c r="G513" s="113"/>
      <c r="H513" s="53">
        <f t="shared" si="1"/>
        <v>0</v>
      </c>
      <c r="I513" s="115"/>
      <c r="J513" s="115"/>
      <c r="K513" s="60">
        <f t="shared" si="2"/>
        <v>0</v>
      </c>
      <c r="L513" s="117"/>
    </row>
    <row r="514" ht="15.75" customHeight="1">
      <c r="A514" s="9"/>
      <c r="B514" s="164"/>
      <c r="C514" s="110"/>
      <c r="D514" s="110"/>
      <c r="E514" s="111"/>
      <c r="F514" s="112"/>
      <c r="G514" s="113"/>
      <c r="H514" s="53">
        <f t="shared" si="1"/>
        <v>0</v>
      </c>
      <c r="I514" s="115"/>
      <c r="J514" s="115"/>
      <c r="K514" s="60">
        <f t="shared" si="2"/>
        <v>0</v>
      </c>
      <c r="L514" s="117"/>
    </row>
    <row r="515" ht="15.75" customHeight="1">
      <c r="A515" s="9"/>
      <c r="B515" s="164"/>
      <c r="C515" s="110"/>
      <c r="D515" s="110"/>
      <c r="E515" s="111"/>
      <c r="F515" s="112"/>
      <c r="G515" s="113"/>
      <c r="H515" s="53">
        <f t="shared" si="1"/>
        <v>0</v>
      </c>
      <c r="I515" s="115"/>
      <c r="J515" s="115"/>
      <c r="K515" s="60">
        <f t="shared" si="2"/>
        <v>0</v>
      </c>
      <c r="L515" s="117"/>
    </row>
    <row r="516" ht="15.75" customHeight="1">
      <c r="A516" s="9"/>
      <c r="B516" s="164"/>
      <c r="C516" s="110"/>
      <c r="D516" s="110"/>
      <c r="E516" s="111"/>
      <c r="F516" s="112"/>
      <c r="G516" s="113"/>
      <c r="H516" s="53">
        <f t="shared" si="1"/>
        <v>0</v>
      </c>
      <c r="I516" s="115"/>
      <c r="J516" s="115"/>
      <c r="K516" s="60">
        <f t="shared" si="2"/>
        <v>0</v>
      </c>
      <c r="L516" s="117"/>
    </row>
    <row r="517" ht="15.75" customHeight="1">
      <c r="A517" s="9"/>
      <c r="B517" s="164"/>
      <c r="C517" s="110"/>
      <c r="D517" s="110"/>
      <c r="E517" s="111"/>
      <c r="F517" s="112"/>
      <c r="G517" s="113"/>
      <c r="H517" s="53">
        <f t="shared" si="1"/>
        <v>0</v>
      </c>
      <c r="I517" s="115"/>
      <c r="J517" s="115"/>
      <c r="K517" s="60">
        <f t="shared" si="2"/>
        <v>0</v>
      </c>
      <c r="L517" s="117"/>
    </row>
    <row r="518" ht="15.75" customHeight="1">
      <c r="A518" s="9"/>
      <c r="B518" s="164"/>
      <c r="C518" s="110"/>
      <c r="D518" s="110"/>
      <c r="E518" s="111"/>
      <c r="F518" s="112"/>
      <c r="G518" s="113"/>
      <c r="H518" s="53">
        <f t="shared" si="1"/>
        <v>0</v>
      </c>
      <c r="I518" s="115"/>
      <c r="J518" s="115"/>
      <c r="K518" s="60">
        <f t="shared" si="2"/>
        <v>0</v>
      </c>
      <c r="L518" s="117"/>
    </row>
    <row r="519" ht="15.75" customHeight="1">
      <c r="A519" s="9"/>
      <c r="B519" s="164"/>
      <c r="C519" s="110"/>
      <c r="D519" s="110"/>
      <c r="E519" s="111"/>
      <c r="F519" s="112"/>
      <c r="G519" s="113"/>
      <c r="H519" s="53">
        <f t="shared" si="1"/>
        <v>0</v>
      </c>
      <c r="I519" s="115"/>
      <c r="J519" s="115"/>
      <c r="K519" s="60">
        <f t="shared" si="2"/>
        <v>0</v>
      </c>
      <c r="L519" s="117"/>
    </row>
    <row r="520" ht="15.75" customHeight="1">
      <c r="A520" s="9"/>
      <c r="B520" s="164"/>
      <c r="C520" s="110"/>
      <c r="D520" s="110"/>
      <c r="E520" s="111"/>
      <c r="F520" s="112"/>
      <c r="G520" s="113"/>
      <c r="H520" s="53">
        <f t="shared" si="1"/>
        <v>0</v>
      </c>
      <c r="I520" s="115"/>
      <c r="J520" s="115"/>
      <c r="K520" s="60">
        <f t="shared" si="2"/>
        <v>0</v>
      </c>
      <c r="L520" s="117"/>
    </row>
    <row r="521" ht="15.75" customHeight="1">
      <c r="A521" s="9"/>
      <c r="B521" s="164"/>
      <c r="C521" s="110"/>
      <c r="D521" s="110"/>
      <c r="E521" s="111"/>
      <c r="F521" s="112"/>
      <c r="G521" s="113"/>
      <c r="H521" s="53">
        <f t="shared" si="1"/>
        <v>0</v>
      </c>
      <c r="I521" s="115"/>
      <c r="J521" s="115"/>
      <c r="K521" s="60">
        <f t="shared" si="2"/>
        <v>0</v>
      </c>
      <c r="L521" s="117"/>
    </row>
    <row r="522" ht="15.75" customHeight="1">
      <c r="A522" s="9"/>
      <c r="B522" s="164"/>
      <c r="C522" s="110"/>
      <c r="D522" s="110"/>
      <c r="E522" s="111"/>
      <c r="F522" s="112"/>
      <c r="G522" s="113"/>
      <c r="H522" s="53">
        <f t="shared" si="1"/>
        <v>0</v>
      </c>
      <c r="I522" s="115"/>
      <c r="J522" s="115"/>
      <c r="K522" s="60">
        <f t="shared" si="2"/>
        <v>0</v>
      </c>
      <c r="L522" s="117"/>
    </row>
    <row r="523" ht="15.75" customHeight="1">
      <c r="A523" s="9"/>
      <c r="B523" s="164"/>
      <c r="C523" s="110"/>
      <c r="D523" s="110"/>
      <c r="E523" s="111"/>
      <c r="F523" s="112"/>
      <c r="G523" s="113"/>
      <c r="H523" s="53">
        <f t="shared" si="1"/>
        <v>0</v>
      </c>
      <c r="I523" s="115"/>
      <c r="J523" s="115"/>
      <c r="K523" s="60">
        <f t="shared" si="2"/>
        <v>0</v>
      </c>
      <c r="L523" s="117"/>
    </row>
    <row r="524" ht="15.75" customHeight="1">
      <c r="A524" s="9"/>
      <c r="B524" s="164"/>
      <c r="C524" s="110"/>
      <c r="D524" s="110"/>
      <c r="E524" s="111"/>
      <c r="F524" s="112"/>
      <c r="G524" s="113"/>
      <c r="H524" s="53">
        <f t="shared" si="1"/>
        <v>0</v>
      </c>
      <c r="I524" s="115"/>
      <c r="J524" s="115"/>
      <c r="K524" s="60">
        <f t="shared" si="2"/>
        <v>0</v>
      </c>
      <c r="L524" s="117"/>
    </row>
    <row r="525" ht="15.75" customHeight="1">
      <c r="A525" s="9"/>
      <c r="B525" s="164"/>
      <c r="C525" s="110"/>
      <c r="D525" s="110"/>
      <c r="E525" s="111"/>
      <c r="F525" s="112"/>
      <c r="G525" s="113"/>
      <c r="H525" s="53">
        <f t="shared" si="1"/>
        <v>0</v>
      </c>
      <c r="I525" s="115"/>
      <c r="J525" s="115"/>
      <c r="K525" s="60">
        <f t="shared" si="2"/>
        <v>0</v>
      </c>
      <c r="L525" s="117"/>
    </row>
    <row r="526" ht="15.75" customHeight="1">
      <c r="A526" s="9"/>
      <c r="B526" s="164"/>
      <c r="C526" s="110"/>
      <c r="D526" s="110"/>
      <c r="E526" s="111"/>
      <c r="F526" s="112"/>
      <c r="G526" s="113"/>
      <c r="H526" s="53">
        <f t="shared" si="1"/>
        <v>0</v>
      </c>
      <c r="I526" s="115"/>
      <c r="J526" s="115"/>
      <c r="K526" s="60">
        <f t="shared" si="2"/>
        <v>0</v>
      </c>
      <c r="L526" s="117"/>
    </row>
    <row r="527" ht="15.75" customHeight="1">
      <c r="A527" s="9"/>
      <c r="B527" s="164"/>
      <c r="C527" s="110"/>
      <c r="D527" s="110"/>
      <c r="E527" s="111"/>
      <c r="F527" s="112"/>
      <c r="G527" s="113"/>
      <c r="H527" s="53">
        <f t="shared" si="1"/>
        <v>0</v>
      </c>
      <c r="I527" s="115"/>
      <c r="J527" s="115"/>
      <c r="K527" s="60">
        <f t="shared" si="2"/>
        <v>0</v>
      </c>
      <c r="L527" s="117"/>
    </row>
    <row r="528" ht="15.75" customHeight="1">
      <c r="A528" s="9"/>
      <c r="B528" s="164"/>
      <c r="C528" s="110"/>
      <c r="D528" s="110"/>
      <c r="E528" s="111"/>
      <c r="F528" s="112"/>
      <c r="G528" s="113"/>
      <c r="H528" s="53">
        <f t="shared" si="1"/>
        <v>0</v>
      </c>
      <c r="I528" s="115"/>
      <c r="J528" s="115"/>
      <c r="K528" s="60">
        <f t="shared" si="2"/>
        <v>0</v>
      </c>
      <c r="L528" s="117"/>
    </row>
    <row r="529" ht="15.75" customHeight="1">
      <c r="A529" s="9"/>
      <c r="B529" s="164"/>
      <c r="C529" s="110"/>
      <c r="D529" s="110"/>
      <c r="E529" s="111"/>
      <c r="F529" s="112"/>
      <c r="G529" s="113"/>
      <c r="H529" s="53">
        <f t="shared" si="1"/>
        <v>0</v>
      </c>
      <c r="I529" s="115"/>
      <c r="J529" s="115"/>
      <c r="K529" s="60">
        <f t="shared" si="2"/>
        <v>0</v>
      </c>
      <c r="L529" s="117"/>
    </row>
    <row r="530" ht="15.75" customHeight="1">
      <c r="A530" s="9"/>
      <c r="B530" s="164"/>
      <c r="C530" s="110"/>
      <c r="D530" s="110"/>
      <c r="E530" s="111"/>
      <c r="F530" s="112"/>
      <c r="G530" s="113"/>
      <c r="H530" s="53">
        <f t="shared" si="1"/>
        <v>0</v>
      </c>
      <c r="I530" s="115"/>
      <c r="J530" s="115"/>
      <c r="K530" s="60">
        <f t="shared" si="2"/>
        <v>0</v>
      </c>
      <c r="L530" s="117"/>
    </row>
    <row r="531" ht="15.75" customHeight="1">
      <c r="A531" s="9"/>
      <c r="B531" s="164"/>
      <c r="C531" s="110"/>
      <c r="D531" s="110"/>
      <c r="E531" s="111"/>
      <c r="F531" s="112"/>
      <c r="G531" s="113"/>
      <c r="H531" s="53">
        <f t="shared" si="1"/>
        <v>0</v>
      </c>
      <c r="I531" s="115"/>
      <c r="J531" s="115"/>
      <c r="K531" s="60">
        <f t="shared" si="2"/>
        <v>0</v>
      </c>
      <c r="L531" s="117"/>
    </row>
    <row r="532" ht="15.75" customHeight="1">
      <c r="A532" s="9"/>
      <c r="B532" s="164"/>
      <c r="C532" s="110"/>
      <c r="D532" s="110"/>
      <c r="E532" s="111"/>
      <c r="F532" s="112"/>
      <c r="G532" s="113"/>
      <c r="H532" s="53">
        <f t="shared" si="1"/>
        <v>0</v>
      </c>
      <c r="I532" s="115"/>
      <c r="J532" s="115"/>
      <c r="K532" s="60">
        <f t="shared" si="2"/>
        <v>0</v>
      </c>
      <c r="L532" s="117"/>
    </row>
    <row r="533" ht="15.75" customHeight="1">
      <c r="A533" s="9"/>
      <c r="B533" s="164"/>
      <c r="C533" s="110"/>
      <c r="D533" s="110"/>
      <c r="E533" s="111"/>
      <c r="F533" s="112"/>
      <c r="G533" s="113"/>
      <c r="H533" s="53">
        <f t="shared" si="1"/>
        <v>0</v>
      </c>
      <c r="I533" s="115"/>
      <c r="J533" s="115"/>
      <c r="K533" s="60">
        <f t="shared" si="2"/>
        <v>0</v>
      </c>
      <c r="L533" s="117"/>
    </row>
    <row r="534" ht="15.75" customHeight="1">
      <c r="A534" s="9"/>
      <c r="B534" s="164"/>
      <c r="C534" s="110"/>
      <c r="D534" s="110"/>
      <c r="E534" s="111"/>
      <c r="F534" s="112"/>
      <c r="G534" s="113"/>
      <c r="H534" s="53">
        <f t="shared" si="1"/>
        <v>0</v>
      </c>
      <c r="I534" s="115"/>
      <c r="J534" s="115"/>
      <c r="K534" s="60">
        <f t="shared" si="2"/>
        <v>0</v>
      </c>
      <c r="L534" s="117"/>
    </row>
    <row r="535" ht="15.75" customHeight="1">
      <c r="A535" s="9"/>
      <c r="B535" s="164"/>
      <c r="C535" s="110"/>
      <c r="D535" s="110"/>
      <c r="E535" s="111"/>
      <c r="F535" s="112"/>
      <c r="G535" s="113"/>
      <c r="H535" s="53">
        <f t="shared" si="1"/>
        <v>0</v>
      </c>
      <c r="I535" s="115"/>
      <c r="J535" s="115"/>
      <c r="K535" s="60">
        <f t="shared" si="2"/>
        <v>0</v>
      </c>
      <c r="L535" s="117"/>
    </row>
    <row r="536" ht="15.75" customHeight="1">
      <c r="A536" s="9"/>
      <c r="B536" s="164"/>
      <c r="C536" s="110"/>
      <c r="D536" s="110"/>
      <c r="E536" s="111"/>
      <c r="F536" s="112"/>
      <c r="G536" s="113"/>
      <c r="H536" s="53">
        <f t="shared" si="1"/>
        <v>0</v>
      </c>
      <c r="I536" s="115"/>
      <c r="J536" s="115"/>
      <c r="K536" s="60">
        <f t="shared" si="2"/>
        <v>0</v>
      </c>
      <c r="L536" s="117"/>
    </row>
    <row r="537" ht="15.75" customHeight="1">
      <c r="A537" s="9"/>
      <c r="B537" s="164"/>
      <c r="C537" s="110"/>
      <c r="D537" s="110"/>
      <c r="E537" s="111"/>
      <c r="F537" s="112"/>
      <c r="G537" s="113"/>
      <c r="H537" s="53">
        <f t="shared" si="1"/>
        <v>0</v>
      </c>
      <c r="I537" s="115"/>
      <c r="J537" s="115"/>
      <c r="K537" s="60">
        <f t="shared" si="2"/>
        <v>0</v>
      </c>
      <c r="L537" s="117"/>
    </row>
    <row r="538" ht="15.75" customHeight="1">
      <c r="A538" s="9"/>
      <c r="B538" s="164"/>
      <c r="C538" s="110"/>
      <c r="D538" s="110"/>
      <c r="E538" s="111"/>
      <c r="F538" s="112"/>
      <c r="G538" s="113"/>
      <c r="H538" s="53">
        <f t="shared" si="1"/>
        <v>0</v>
      </c>
      <c r="I538" s="115"/>
      <c r="J538" s="115"/>
      <c r="K538" s="60">
        <f t="shared" si="2"/>
        <v>0</v>
      </c>
      <c r="L538" s="117"/>
    </row>
    <row r="539" ht="15.75" customHeight="1">
      <c r="A539" s="9"/>
      <c r="B539" s="164"/>
      <c r="C539" s="110"/>
      <c r="D539" s="110"/>
      <c r="E539" s="111"/>
      <c r="F539" s="112"/>
      <c r="G539" s="113"/>
      <c r="H539" s="53">
        <f t="shared" si="1"/>
        <v>0</v>
      </c>
      <c r="I539" s="115"/>
      <c r="J539" s="115"/>
      <c r="K539" s="60">
        <f t="shared" si="2"/>
        <v>0</v>
      </c>
      <c r="L539" s="117"/>
    </row>
    <row r="540" ht="15.75" customHeight="1">
      <c r="A540" s="9"/>
      <c r="B540" s="164"/>
      <c r="C540" s="110"/>
      <c r="D540" s="110"/>
      <c r="E540" s="111"/>
      <c r="F540" s="112"/>
      <c r="G540" s="113"/>
      <c r="H540" s="53">
        <f t="shared" si="1"/>
        <v>0</v>
      </c>
      <c r="I540" s="115"/>
      <c r="J540" s="115"/>
      <c r="K540" s="60">
        <f t="shared" si="2"/>
        <v>0</v>
      </c>
      <c r="L540" s="117"/>
    </row>
    <row r="541" ht="15.75" customHeight="1">
      <c r="A541" s="9"/>
      <c r="B541" s="164"/>
      <c r="C541" s="110"/>
      <c r="D541" s="110"/>
      <c r="E541" s="111"/>
      <c r="F541" s="112"/>
      <c r="G541" s="113"/>
      <c r="H541" s="53">
        <f t="shared" si="1"/>
        <v>0</v>
      </c>
      <c r="I541" s="115"/>
      <c r="J541" s="115"/>
      <c r="K541" s="60">
        <f t="shared" si="2"/>
        <v>0</v>
      </c>
      <c r="L541" s="117"/>
    </row>
    <row r="542" ht="15.75" customHeight="1">
      <c r="A542" s="9"/>
      <c r="B542" s="164"/>
      <c r="C542" s="110"/>
      <c r="D542" s="110"/>
      <c r="E542" s="111"/>
      <c r="F542" s="112"/>
      <c r="G542" s="113"/>
      <c r="H542" s="53">
        <f t="shared" si="1"/>
        <v>0</v>
      </c>
      <c r="I542" s="115"/>
      <c r="J542" s="115"/>
      <c r="K542" s="60">
        <f t="shared" si="2"/>
        <v>0</v>
      </c>
      <c r="L542" s="117"/>
    </row>
    <row r="543" ht="15.75" customHeight="1">
      <c r="A543" s="9"/>
      <c r="B543" s="164"/>
      <c r="C543" s="110"/>
      <c r="D543" s="110"/>
      <c r="E543" s="111"/>
      <c r="F543" s="112"/>
      <c r="G543" s="113"/>
      <c r="H543" s="53">
        <f t="shared" si="1"/>
        <v>0</v>
      </c>
      <c r="I543" s="115"/>
      <c r="J543" s="115"/>
      <c r="K543" s="60">
        <f t="shared" si="2"/>
        <v>0</v>
      </c>
      <c r="L543" s="117"/>
    </row>
    <row r="544" ht="15.75" customHeight="1">
      <c r="A544" s="9"/>
      <c r="B544" s="164"/>
      <c r="C544" s="110"/>
      <c r="D544" s="110"/>
      <c r="E544" s="111"/>
      <c r="F544" s="112"/>
      <c r="G544" s="113"/>
      <c r="H544" s="53">
        <f t="shared" si="1"/>
        <v>0</v>
      </c>
      <c r="I544" s="115"/>
      <c r="J544" s="115"/>
      <c r="K544" s="60">
        <f t="shared" si="2"/>
        <v>0</v>
      </c>
      <c r="L544" s="117"/>
    </row>
    <row r="545" ht="15.75" customHeight="1">
      <c r="A545" s="9"/>
      <c r="B545" s="164"/>
      <c r="C545" s="110"/>
      <c r="D545" s="110"/>
      <c r="E545" s="111"/>
      <c r="F545" s="112"/>
      <c r="G545" s="113"/>
      <c r="H545" s="53">
        <f t="shared" si="1"/>
        <v>0</v>
      </c>
      <c r="I545" s="115"/>
      <c r="J545" s="115"/>
      <c r="K545" s="60">
        <f t="shared" si="2"/>
        <v>0</v>
      </c>
      <c r="L545" s="117"/>
    </row>
    <row r="546" ht="15.75" customHeight="1">
      <c r="A546" s="9"/>
      <c r="B546" s="164"/>
      <c r="C546" s="110"/>
      <c r="D546" s="110"/>
      <c r="E546" s="111"/>
      <c r="F546" s="112"/>
      <c r="G546" s="113"/>
      <c r="H546" s="53">
        <f t="shared" si="1"/>
        <v>0</v>
      </c>
      <c r="I546" s="115"/>
      <c r="J546" s="115"/>
      <c r="K546" s="60">
        <f t="shared" si="2"/>
        <v>0</v>
      </c>
      <c r="L546" s="117"/>
    </row>
    <row r="547" ht="15.75" customHeight="1">
      <c r="A547" s="9"/>
      <c r="B547" s="164"/>
      <c r="C547" s="110"/>
      <c r="D547" s="110"/>
      <c r="E547" s="111"/>
      <c r="F547" s="112"/>
      <c r="G547" s="113"/>
      <c r="H547" s="53">
        <f t="shared" si="1"/>
        <v>0</v>
      </c>
      <c r="I547" s="115"/>
      <c r="J547" s="115"/>
      <c r="K547" s="60">
        <f t="shared" si="2"/>
        <v>0</v>
      </c>
      <c r="L547" s="117"/>
    </row>
    <row r="548" ht="15.75" customHeight="1">
      <c r="A548" s="9"/>
      <c r="B548" s="164"/>
      <c r="C548" s="110"/>
      <c r="D548" s="110"/>
      <c r="E548" s="111"/>
      <c r="F548" s="112"/>
      <c r="G548" s="113"/>
      <c r="H548" s="53">
        <f t="shared" si="1"/>
        <v>0</v>
      </c>
      <c r="I548" s="115"/>
      <c r="J548" s="115"/>
      <c r="K548" s="60">
        <f t="shared" si="2"/>
        <v>0</v>
      </c>
      <c r="L548" s="117"/>
    </row>
    <row r="549" ht="15.75" customHeight="1">
      <c r="A549" s="9"/>
      <c r="B549" s="164"/>
      <c r="C549" s="110"/>
      <c r="D549" s="110"/>
      <c r="E549" s="111"/>
      <c r="F549" s="112"/>
      <c r="G549" s="113"/>
      <c r="H549" s="53">
        <f t="shared" si="1"/>
        <v>0</v>
      </c>
      <c r="I549" s="115"/>
      <c r="J549" s="115"/>
      <c r="K549" s="60">
        <f t="shared" si="2"/>
        <v>0</v>
      </c>
      <c r="L549" s="117"/>
    </row>
    <row r="550" ht="15.75" customHeight="1">
      <c r="A550" s="9"/>
      <c r="B550" s="164"/>
      <c r="C550" s="110"/>
      <c r="D550" s="110"/>
      <c r="E550" s="111"/>
      <c r="F550" s="112"/>
      <c r="G550" s="113"/>
      <c r="H550" s="53">
        <f t="shared" si="1"/>
        <v>0</v>
      </c>
      <c r="I550" s="115"/>
      <c r="J550" s="115"/>
      <c r="K550" s="60">
        <f t="shared" si="2"/>
        <v>0</v>
      </c>
      <c r="L550" s="117"/>
    </row>
    <row r="551" ht="15.75" customHeight="1">
      <c r="A551" s="9"/>
      <c r="B551" s="164"/>
      <c r="C551" s="110"/>
      <c r="D551" s="110"/>
      <c r="E551" s="111"/>
      <c r="F551" s="112"/>
      <c r="G551" s="113"/>
      <c r="H551" s="53">
        <f t="shared" si="1"/>
        <v>0</v>
      </c>
      <c r="I551" s="115"/>
      <c r="J551" s="115"/>
      <c r="K551" s="60">
        <f t="shared" si="2"/>
        <v>0</v>
      </c>
      <c r="L551" s="117"/>
    </row>
    <row r="552" ht="15.75" customHeight="1">
      <c r="A552" s="9"/>
      <c r="B552" s="164"/>
      <c r="C552" s="110"/>
      <c r="D552" s="110"/>
      <c r="E552" s="111"/>
      <c r="F552" s="112"/>
      <c r="G552" s="113"/>
      <c r="H552" s="53">
        <f t="shared" si="1"/>
        <v>0</v>
      </c>
      <c r="I552" s="115"/>
      <c r="J552" s="115"/>
      <c r="K552" s="60">
        <f t="shared" si="2"/>
        <v>0</v>
      </c>
      <c r="L552" s="117"/>
    </row>
    <row r="553" ht="15.75" customHeight="1">
      <c r="A553" s="9"/>
      <c r="B553" s="164"/>
      <c r="C553" s="110"/>
      <c r="D553" s="110"/>
      <c r="E553" s="111"/>
      <c r="F553" s="112"/>
      <c r="G553" s="113"/>
      <c r="H553" s="53">
        <f t="shared" si="1"/>
        <v>0</v>
      </c>
      <c r="I553" s="115"/>
      <c r="J553" s="115"/>
      <c r="K553" s="60">
        <f t="shared" si="2"/>
        <v>0</v>
      </c>
      <c r="L553" s="117"/>
    </row>
    <row r="554" ht="15.75" customHeight="1">
      <c r="A554" s="9"/>
      <c r="B554" s="164"/>
      <c r="C554" s="110"/>
      <c r="D554" s="110"/>
      <c r="E554" s="111"/>
      <c r="F554" s="112"/>
      <c r="G554" s="113"/>
      <c r="H554" s="53">
        <f t="shared" si="1"/>
        <v>0</v>
      </c>
      <c r="I554" s="115"/>
      <c r="J554" s="115"/>
      <c r="K554" s="60">
        <f t="shared" si="2"/>
        <v>0</v>
      </c>
      <c r="L554" s="117"/>
    </row>
    <row r="555" ht="15.75" customHeight="1">
      <c r="A555" s="9"/>
      <c r="B555" s="164"/>
      <c r="C555" s="110"/>
      <c r="D555" s="110"/>
      <c r="E555" s="111"/>
      <c r="F555" s="112"/>
      <c r="G555" s="113"/>
      <c r="H555" s="53">
        <f t="shared" si="1"/>
        <v>0</v>
      </c>
      <c r="I555" s="115"/>
      <c r="J555" s="115"/>
      <c r="K555" s="60">
        <f t="shared" si="2"/>
        <v>0</v>
      </c>
      <c r="L555" s="117"/>
    </row>
    <row r="556" ht="15.75" customHeight="1">
      <c r="A556" s="9"/>
      <c r="B556" s="164"/>
      <c r="C556" s="110"/>
      <c r="D556" s="110"/>
      <c r="E556" s="111"/>
      <c r="F556" s="112"/>
      <c r="G556" s="113"/>
      <c r="H556" s="53">
        <f t="shared" si="1"/>
        <v>0</v>
      </c>
      <c r="I556" s="115"/>
      <c r="J556" s="115"/>
      <c r="K556" s="60">
        <f t="shared" si="2"/>
        <v>0</v>
      </c>
      <c r="L556" s="117"/>
    </row>
    <row r="557" ht="15.75" customHeight="1">
      <c r="A557" s="9"/>
      <c r="B557" s="164"/>
      <c r="C557" s="110"/>
      <c r="D557" s="110"/>
      <c r="E557" s="111"/>
      <c r="F557" s="112"/>
      <c r="G557" s="113"/>
      <c r="H557" s="53">
        <f t="shared" si="1"/>
        <v>0</v>
      </c>
      <c r="I557" s="115"/>
      <c r="J557" s="115"/>
      <c r="K557" s="60">
        <f t="shared" si="2"/>
        <v>0</v>
      </c>
      <c r="L557" s="117"/>
    </row>
    <row r="558" ht="15.75" customHeight="1">
      <c r="A558" s="9"/>
      <c r="B558" s="164"/>
      <c r="C558" s="110"/>
      <c r="D558" s="110"/>
      <c r="E558" s="111"/>
      <c r="F558" s="112"/>
      <c r="G558" s="113"/>
      <c r="H558" s="53">
        <f t="shared" si="1"/>
        <v>0</v>
      </c>
      <c r="I558" s="115"/>
      <c r="J558" s="115"/>
      <c r="K558" s="60">
        <f t="shared" si="2"/>
        <v>0</v>
      </c>
      <c r="L558" s="117"/>
    </row>
    <row r="559" ht="15.75" customHeight="1">
      <c r="A559" s="9"/>
      <c r="B559" s="164"/>
      <c r="C559" s="110"/>
      <c r="D559" s="110"/>
      <c r="E559" s="111"/>
      <c r="F559" s="112"/>
      <c r="G559" s="113"/>
      <c r="H559" s="53">
        <f t="shared" si="1"/>
        <v>0</v>
      </c>
      <c r="I559" s="115"/>
      <c r="J559" s="115"/>
      <c r="K559" s="60">
        <f t="shared" si="2"/>
        <v>0</v>
      </c>
      <c r="L559" s="117"/>
    </row>
    <row r="560" ht="15.75" customHeight="1">
      <c r="A560" s="9"/>
      <c r="B560" s="164"/>
      <c r="C560" s="110"/>
      <c r="D560" s="110"/>
      <c r="E560" s="111"/>
      <c r="F560" s="112"/>
      <c r="G560" s="113"/>
      <c r="H560" s="53">
        <f t="shared" si="1"/>
        <v>0</v>
      </c>
      <c r="I560" s="115"/>
      <c r="J560" s="115"/>
      <c r="K560" s="60">
        <f t="shared" si="2"/>
        <v>0</v>
      </c>
      <c r="L560" s="117"/>
    </row>
    <row r="561" ht="15.75" customHeight="1">
      <c r="A561" s="9"/>
      <c r="B561" s="164"/>
      <c r="C561" s="110"/>
      <c r="D561" s="110"/>
      <c r="E561" s="111"/>
      <c r="F561" s="112"/>
      <c r="G561" s="113"/>
      <c r="H561" s="53">
        <f t="shared" si="1"/>
        <v>0</v>
      </c>
      <c r="I561" s="115"/>
      <c r="J561" s="115"/>
      <c r="K561" s="60">
        <f t="shared" si="2"/>
        <v>0</v>
      </c>
      <c r="L561" s="117"/>
    </row>
    <row r="562" ht="15.75" customHeight="1">
      <c r="A562" s="9"/>
      <c r="B562" s="164"/>
      <c r="C562" s="110"/>
      <c r="D562" s="110"/>
      <c r="E562" s="111"/>
      <c r="F562" s="112"/>
      <c r="G562" s="113"/>
      <c r="H562" s="53">
        <f t="shared" si="1"/>
        <v>0</v>
      </c>
      <c r="I562" s="115"/>
      <c r="J562" s="115"/>
      <c r="K562" s="60">
        <f t="shared" si="2"/>
        <v>0</v>
      </c>
      <c r="L562" s="117"/>
    </row>
    <row r="563" ht="15.75" customHeight="1">
      <c r="A563" s="9"/>
      <c r="B563" s="164"/>
      <c r="C563" s="110"/>
      <c r="D563" s="110"/>
      <c r="E563" s="111"/>
      <c r="F563" s="112"/>
      <c r="G563" s="113"/>
      <c r="H563" s="53">
        <f t="shared" si="1"/>
        <v>0</v>
      </c>
      <c r="I563" s="115"/>
      <c r="J563" s="115"/>
      <c r="K563" s="60">
        <f t="shared" si="2"/>
        <v>0</v>
      </c>
      <c r="L563" s="117"/>
    </row>
    <row r="564" ht="15.75" customHeight="1">
      <c r="A564" s="9"/>
      <c r="B564" s="164"/>
      <c r="C564" s="110"/>
      <c r="D564" s="110"/>
      <c r="E564" s="111"/>
      <c r="F564" s="112"/>
      <c r="G564" s="113"/>
      <c r="H564" s="53">
        <f t="shared" si="1"/>
        <v>0</v>
      </c>
      <c r="I564" s="115"/>
      <c r="J564" s="115"/>
      <c r="K564" s="60">
        <f t="shared" si="2"/>
        <v>0</v>
      </c>
      <c r="L564" s="117"/>
    </row>
    <row r="565" ht="15.75" customHeight="1">
      <c r="A565" s="9"/>
      <c r="B565" s="164"/>
      <c r="C565" s="110"/>
      <c r="D565" s="110"/>
      <c r="E565" s="111"/>
      <c r="F565" s="112"/>
      <c r="G565" s="113"/>
      <c r="H565" s="53">
        <f t="shared" si="1"/>
        <v>0</v>
      </c>
      <c r="I565" s="115"/>
      <c r="J565" s="115"/>
      <c r="K565" s="60">
        <f t="shared" si="2"/>
        <v>0</v>
      </c>
      <c r="L565" s="117"/>
    </row>
    <row r="566" ht="15.75" customHeight="1">
      <c r="A566" s="9"/>
      <c r="B566" s="164"/>
      <c r="C566" s="110"/>
      <c r="D566" s="110"/>
      <c r="E566" s="111"/>
      <c r="F566" s="112"/>
      <c r="G566" s="113"/>
      <c r="H566" s="53">
        <f t="shared" si="1"/>
        <v>0</v>
      </c>
      <c r="I566" s="115"/>
      <c r="J566" s="115"/>
      <c r="K566" s="60">
        <f t="shared" si="2"/>
        <v>0</v>
      </c>
      <c r="L566" s="117"/>
    </row>
    <row r="567" ht="15.75" customHeight="1">
      <c r="A567" s="9"/>
      <c r="B567" s="164"/>
      <c r="C567" s="110"/>
      <c r="D567" s="110"/>
      <c r="E567" s="111"/>
      <c r="F567" s="112"/>
      <c r="G567" s="113"/>
      <c r="H567" s="53">
        <f t="shared" si="1"/>
        <v>0</v>
      </c>
      <c r="I567" s="115"/>
      <c r="J567" s="115"/>
      <c r="K567" s="60">
        <f t="shared" si="2"/>
        <v>0</v>
      </c>
      <c r="L567" s="117"/>
    </row>
    <row r="568" ht="15.75" customHeight="1">
      <c r="A568" s="9"/>
      <c r="B568" s="164"/>
      <c r="C568" s="110"/>
      <c r="D568" s="110"/>
      <c r="E568" s="111"/>
      <c r="F568" s="112"/>
      <c r="G568" s="113"/>
      <c r="H568" s="53">
        <f t="shared" si="1"/>
        <v>0</v>
      </c>
      <c r="I568" s="115"/>
      <c r="J568" s="115"/>
      <c r="K568" s="60">
        <f t="shared" si="2"/>
        <v>0</v>
      </c>
      <c r="L568" s="117"/>
    </row>
    <row r="569" ht="15.75" customHeight="1">
      <c r="A569" s="9"/>
      <c r="B569" s="164"/>
      <c r="C569" s="110"/>
      <c r="D569" s="110"/>
      <c r="E569" s="111"/>
      <c r="F569" s="112"/>
      <c r="G569" s="113"/>
      <c r="H569" s="53">
        <f t="shared" si="1"/>
        <v>0</v>
      </c>
      <c r="I569" s="115"/>
      <c r="J569" s="115"/>
      <c r="K569" s="60">
        <f t="shared" si="2"/>
        <v>0</v>
      </c>
      <c r="L569" s="117"/>
    </row>
    <row r="570" ht="15.75" customHeight="1">
      <c r="A570" s="9"/>
      <c r="B570" s="164"/>
      <c r="C570" s="110"/>
      <c r="D570" s="110"/>
      <c r="E570" s="111"/>
      <c r="F570" s="112"/>
      <c r="G570" s="113"/>
      <c r="H570" s="53">
        <f t="shared" si="1"/>
        <v>0</v>
      </c>
      <c r="I570" s="115"/>
      <c r="J570" s="115"/>
      <c r="K570" s="60">
        <f t="shared" si="2"/>
        <v>0</v>
      </c>
      <c r="L570" s="117"/>
    </row>
    <row r="571" ht="15.75" customHeight="1">
      <c r="A571" s="9"/>
      <c r="B571" s="164"/>
      <c r="C571" s="110"/>
      <c r="D571" s="110"/>
      <c r="E571" s="111"/>
      <c r="F571" s="112"/>
      <c r="G571" s="113"/>
      <c r="H571" s="53">
        <f t="shared" si="1"/>
        <v>0</v>
      </c>
      <c r="I571" s="115"/>
      <c r="J571" s="115"/>
      <c r="K571" s="60">
        <f t="shared" si="2"/>
        <v>0</v>
      </c>
      <c r="L571" s="117"/>
    </row>
    <row r="572" ht="15.75" customHeight="1">
      <c r="A572" s="9"/>
      <c r="B572" s="164"/>
      <c r="C572" s="110"/>
      <c r="D572" s="110"/>
      <c r="E572" s="111"/>
      <c r="F572" s="112"/>
      <c r="G572" s="113"/>
      <c r="H572" s="53">
        <f t="shared" si="1"/>
        <v>0</v>
      </c>
      <c r="I572" s="115"/>
      <c r="J572" s="115"/>
      <c r="K572" s="60">
        <f t="shared" si="2"/>
        <v>0</v>
      </c>
      <c r="L572" s="117"/>
    </row>
    <row r="573" ht="15.75" customHeight="1">
      <c r="A573" s="9"/>
      <c r="B573" s="164"/>
      <c r="C573" s="110"/>
      <c r="D573" s="110"/>
      <c r="E573" s="111"/>
      <c r="F573" s="112"/>
      <c r="G573" s="113"/>
      <c r="H573" s="53">
        <f t="shared" si="1"/>
        <v>0</v>
      </c>
      <c r="I573" s="115"/>
      <c r="J573" s="115"/>
      <c r="K573" s="60">
        <f t="shared" si="2"/>
        <v>0</v>
      </c>
      <c r="L573" s="117"/>
    </row>
    <row r="574" ht="15.75" customHeight="1">
      <c r="A574" s="9"/>
      <c r="B574" s="164"/>
      <c r="C574" s="110"/>
      <c r="D574" s="110"/>
      <c r="E574" s="111"/>
      <c r="F574" s="112"/>
      <c r="G574" s="113"/>
      <c r="H574" s="53">
        <f t="shared" si="1"/>
        <v>0</v>
      </c>
      <c r="I574" s="115"/>
      <c r="J574" s="115"/>
      <c r="K574" s="60">
        <f t="shared" si="2"/>
        <v>0</v>
      </c>
      <c r="L574" s="117"/>
    </row>
    <row r="575" ht="15.75" customHeight="1">
      <c r="A575" s="9"/>
      <c r="B575" s="164"/>
      <c r="C575" s="110"/>
      <c r="D575" s="110"/>
      <c r="E575" s="111"/>
      <c r="F575" s="112"/>
      <c r="G575" s="113"/>
      <c r="H575" s="53">
        <f t="shared" si="1"/>
        <v>0</v>
      </c>
      <c r="I575" s="115"/>
      <c r="J575" s="115"/>
      <c r="K575" s="60">
        <f t="shared" si="2"/>
        <v>0</v>
      </c>
      <c r="L575" s="117"/>
    </row>
    <row r="576" ht="15.75" customHeight="1">
      <c r="A576" s="9"/>
      <c r="B576" s="164"/>
      <c r="C576" s="110"/>
      <c r="D576" s="110"/>
      <c r="E576" s="111"/>
      <c r="F576" s="112"/>
      <c r="G576" s="113"/>
      <c r="H576" s="53">
        <f t="shared" si="1"/>
        <v>0</v>
      </c>
      <c r="I576" s="115"/>
      <c r="J576" s="115"/>
      <c r="K576" s="60">
        <f t="shared" si="2"/>
        <v>0</v>
      </c>
      <c r="L576" s="117"/>
    </row>
    <row r="577" ht="15.75" customHeight="1">
      <c r="A577" s="9"/>
      <c r="B577" s="164"/>
      <c r="C577" s="110"/>
      <c r="D577" s="110"/>
      <c r="E577" s="111"/>
      <c r="F577" s="112"/>
      <c r="G577" s="113"/>
      <c r="H577" s="53">
        <f t="shared" si="1"/>
        <v>0</v>
      </c>
      <c r="I577" s="115"/>
      <c r="J577" s="115"/>
      <c r="K577" s="60">
        <f t="shared" si="2"/>
        <v>0</v>
      </c>
      <c r="L577" s="117"/>
    </row>
    <row r="578" ht="15.75" customHeight="1">
      <c r="A578" s="9"/>
      <c r="B578" s="164"/>
      <c r="C578" s="110"/>
      <c r="D578" s="110"/>
      <c r="E578" s="111"/>
      <c r="F578" s="112"/>
      <c r="G578" s="113"/>
      <c r="H578" s="53">
        <f t="shared" si="1"/>
        <v>0</v>
      </c>
      <c r="I578" s="115"/>
      <c r="J578" s="115"/>
      <c r="K578" s="60">
        <f t="shared" si="2"/>
        <v>0</v>
      </c>
      <c r="L578" s="117"/>
    </row>
    <row r="579" ht="15.75" customHeight="1">
      <c r="A579" s="9"/>
      <c r="B579" s="164"/>
      <c r="C579" s="110"/>
      <c r="D579" s="110"/>
      <c r="E579" s="111"/>
      <c r="F579" s="112"/>
      <c r="G579" s="113"/>
      <c r="H579" s="53">
        <f t="shared" si="1"/>
        <v>0</v>
      </c>
      <c r="I579" s="115"/>
      <c r="J579" s="115"/>
      <c r="K579" s="60">
        <f t="shared" si="2"/>
        <v>0</v>
      </c>
      <c r="L579" s="117"/>
    </row>
    <row r="580" ht="15.75" customHeight="1">
      <c r="A580" s="9"/>
      <c r="B580" s="164"/>
      <c r="C580" s="110"/>
      <c r="D580" s="110"/>
      <c r="E580" s="111"/>
      <c r="F580" s="112"/>
      <c r="G580" s="113"/>
      <c r="H580" s="53">
        <f t="shared" si="1"/>
        <v>0</v>
      </c>
      <c r="I580" s="115"/>
      <c r="J580" s="115"/>
      <c r="K580" s="60">
        <f t="shared" si="2"/>
        <v>0</v>
      </c>
      <c r="L580" s="117"/>
    </row>
    <row r="581" ht="15.75" customHeight="1">
      <c r="A581" s="9"/>
      <c r="B581" s="164"/>
      <c r="C581" s="110"/>
      <c r="D581" s="110"/>
      <c r="E581" s="111"/>
      <c r="F581" s="112"/>
      <c r="G581" s="113"/>
      <c r="H581" s="53">
        <f t="shared" si="1"/>
        <v>0</v>
      </c>
      <c r="I581" s="115"/>
      <c r="J581" s="115"/>
      <c r="K581" s="60">
        <f t="shared" si="2"/>
        <v>0</v>
      </c>
      <c r="L581" s="117"/>
    </row>
    <row r="582" ht="15.75" customHeight="1">
      <c r="A582" s="9"/>
      <c r="B582" s="164"/>
      <c r="C582" s="110"/>
      <c r="D582" s="110"/>
      <c r="E582" s="111"/>
      <c r="F582" s="112"/>
      <c r="G582" s="113"/>
      <c r="H582" s="53">
        <f t="shared" si="1"/>
        <v>0</v>
      </c>
      <c r="I582" s="115"/>
      <c r="J582" s="115"/>
      <c r="K582" s="60">
        <f t="shared" si="2"/>
        <v>0</v>
      </c>
      <c r="L582" s="117"/>
    </row>
    <row r="583" ht="15.75" customHeight="1">
      <c r="A583" s="9"/>
      <c r="B583" s="164"/>
      <c r="C583" s="110"/>
      <c r="D583" s="110"/>
      <c r="E583" s="111"/>
      <c r="F583" s="112"/>
      <c r="G583" s="113"/>
      <c r="H583" s="53">
        <f t="shared" si="1"/>
        <v>0</v>
      </c>
      <c r="I583" s="115"/>
      <c r="J583" s="115"/>
      <c r="K583" s="60">
        <f t="shared" si="2"/>
        <v>0</v>
      </c>
      <c r="L583" s="117"/>
    </row>
    <row r="584" ht="15.75" customHeight="1">
      <c r="A584" s="9"/>
      <c r="B584" s="164"/>
      <c r="C584" s="110"/>
      <c r="D584" s="110"/>
      <c r="E584" s="111"/>
      <c r="F584" s="112"/>
      <c r="G584" s="113"/>
      <c r="H584" s="53">
        <f t="shared" si="1"/>
        <v>0</v>
      </c>
      <c r="I584" s="115"/>
      <c r="J584" s="115"/>
      <c r="K584" s="60">
        <f t="shared" si="2"/>
        <v>0</v>
      </c>
      <c r="L584" s="117"/>
    </row>
    <row r="585" ht="15.75" customHeight="1">
      <c r="A585" s="9"/>
      <c r="B585" s="164"/>
      <c r="C585" s="110"/>
      <c r="D585" s="110"/>
      <c r="E585" s="111"/>
      <c r="F585" s="112"/>
      <c r="G585" s="113"/>
      <c r="H585" s="53">
        <f t="shared" si="1"/>
        <v>0</v>
      </c>
      <c r="I585" s="115"/>
      <c r="J585" s="115"/>
      <c r="K585" s="60">
        <f t="shared" si="2"/>
        <v>0</v>
      </c>
      <c r="L585" s="117"/>
    </row>
    <row r="586" ht="15.75" customHeight="1">
      <c r="A586" s="9"/>
      <c r="B586" s="164"/>
      <c r="C586" s="110"/>
      <c r="D586" s="110"/>
      <c r="E586" s="111"/>
      <c r="F586" s="112"/>
      <c r="G586" s="113"/>
      <c r="H586" s="53">
        <f t="shared" si="1"/>
        <v>0</v>
      </c>
      <c r="I586" s="115"/>
      <c r="J586" s="115"/>
      <c r="K586" s="60">
        <f t="shared" si="2"/>
        <v>0</v>
      </c>
      <c r="L586" s="117"/>
    </row>
    <row r="587" ht="15.75" customHeight="1">
      <c r="A587" s="9"/>
      <c r="B587" s="164"/>
      <c r="C587" s="110"/>
      <c r="D587" s="110"/>
      <c r="E587" s="111"/>
      <c r="F587" s="112"/>
      <c r="G587" s="113"/>
      <c r="H587" s="53">
        <f t="shared" si="1"/>
        <v>0</v>
      </c>
      <c r="I587" s="115"/>
      <c r="J587" s="115"/>
      <c r="K587" s="60">
        <f t="shared" si="2"/>
        <v>0</v>
      </c>
      <c r="L587" s="117"/>
    </row>
    <row r="588" ht="15.75" customHeight="1">
      <c r="A588" s="9"/>
      <c r="B588" s="164"/>
      <c r="C588" s="110"/>
      <c r="D588" s="110"/>
      <c r="E588" s="111"/>
      <c r="F588" s="112"/>
      <c r="G588" s="113"/>
      <c r="H588" s="53">
        <f t="shared" si="1"/>
        <v>0</v>
      </c>
      <c r="I588" s="115"/>
      <c r="J588" s="115"/>
      <c r="K588" s="60">
        <f t="shared" si="2"/>
        <v>0</v>
      </c>
      <c r="L588" s="117"/>
    </row>
    <row r="589" ht="15.75" customHeight="1">
      <c r="A589" s="9"/>
      <c r="B589" s="164"/>
      <c r="C589" s="110"/>
      <c r="D589" s="110"/>
      <c r="E589" s="111"/>
      <c r="F589" s="112"/>
      <c r="G589" s="113"/>
      <c r="H589" s="53">
        <f t="shared" si="1"/>
        <v>0</v>
      </c>
      <c r="I589" s="115"/>
      <c r="J589" s="115"/>
      <c r="K589" s="60">
        <f t="shared" si="2"/>
        <v>0</v>
      </c>
      <c r="L589" s="117"/>
    </row>
    <row r="590" ht="15.75" customHeight="1">
      <c r="A590" s="9"/>
      <c r="B590" s="164"/>
      <c r="C590" s="110"/>
      <c r="D590" s="110"/>
      <c r="E590" s="111"/>
      <c r="F590" s="112"/>
      <c r="G590" s="113"/>
      <c r="H590" s="53">
        <f t="shared" si="1"/>
        <v>0</v>
      </c>
      <c r="I590" s="115"/>
      <c r="J590" s="115"/>
      <c r="K590" s="60">
        <f t="shared" si="2"/>
        <v>0</v>
      </c>
      <c r="L590" s="117"/>
    </row>
    <row r="591" ht="15.75" customHeight="1">
      <c r="A591" s="9"/>
      <c r="B591" s="164"/>
      <c r="C591" s="110"/>
      <c r="D591" s="110"/>
      <c r="E591" s="111"/>
      <c r="F591" s="112"/>
      <c r="G591" s="113"/>
      <c r="H591" s="53">
        <f t="shared" si="1"/>
        <v>0</v>
      </c>
      <c r="I591" s="115"/>
      <c r="J591" s="115"/>
      <c r="K591" s="60">
        <f t="shared" si="2"/>
        <v>0</v>
      </c>
      <c r="L591" s="117"/>
    </row>
    <row r="592" ht="15.75" customHeight="1">
      <c r="A592" s="9"/>
      <c r="B592" s="164"/>
      <c r="C592" s="110"/>
      <c r="D592" s="110"/>
      <c r="E592" s="111"/>
      <c r="F592" s="112"/>
      <c r="G592" s="113"/>
      <c r="H592" s="53">
        <f t="shared" si="1"/>
        <v>0</v>
      </c>
      <c r="I592" s="115"/>
      <c r="J592" s="115"/>
      <c r="K592" s="60">
        <f t="shared" si="2"/>
        <v>0</v>
      </c>
      <c r="L592" s="117"/>
    </row>
    <row r="593" ht="15.75" customHeight="1">
      <c r="A593" s="9"/>
      <c r="B593" s="164"/>
      <c r="C593" s="110"/>
      <c r="D593" s="110"/>
      <c r="E593" s="111"/>
      <c r="F593" s="112"/>
      <c r="G593" s="113"/>
      <c r="H593" s="53">
        <f t="shared" si="1"/>
        <v>0</v>
      </c>
      <c r="I593" s="115"/>
      <c r="J593" s="115"/>
      <c r="K593" s="60">
        <f t="shared" si="2"/>
        <v>0</v>
      </c>
      <c r="L593" s="117"/>
    </row>
    <row r="594" ht="15.75" customHeight="1">
      <c r="A594" s="9"/>
      <c r="B594" s="164"/>
      <c r="C594" s="110"/>
      <c r="D594" s="110"/>
      <c r="E594" s="111"/>
      <c r="F594" s="112"/>
      <c r="G594" s="113"/>
      <c r="H594" s="53">
        <f t="shared" si="1"/>
        <v>0</v>
      </c>
      <c r="I594" s="115"/>
      <c r="J594" s="115"/>
      <c r="K594" s="60">
        <f t="shared" si="2"/>
        <v>0</v>
      </c>
      <c r="L594" s="117"/>
    </row>
    <row r="595" ht="15.75" customHeight="1">
      <c r="A595" s="9"/>
      <c r="B595" s="164"/>
      <c r="C595" s="110"/>
      <c r="D595" s="110"/>
      <c r="E595" s="111"/>
      <c r="F595" s="112"/>
      <c r="G595" s="113"/>
      <c r="H595" s="53">
        <f t="shared" si="1"/>
        <v>0</v>
      </c>
      <c r="I595" s="115"/>
      <c r="J595" s="115"/>
      <c r="K595" s="60">
        <f t="shared" si="2"/>
        <v>0</v>
      </c>
      <c r="L595" s="117"/>
    </row>
    <row r="596" ht="15.75" customHeight="1">
      <c r="A596" s="9"/>
      <c r="B596" s="164"/>
      <c r="C596" s="110"/>
      <c r="D596" s="110"/>
      <c r="E596" s="111"/>
      <c r="F596" s="112"/>
      <c r="G596" s="113"/>
      <c r="H596" s="53">
        <f t="shared" si="1"/>
        <v>0</v>
      </c>
      <c r="I596" s="115"/>
      <c r="J596" s="115"/>
      <c r="K596" s="60">
        <f t="shared" si="2"/>
        <v>0</v>
      </c>
      <c r="L596" s="117"/>
    </row>
    <row r="597" ht="15.75" customHeight="1">
      <c r="A597" s="9"/>
      <c r="B597" s="164"/>
      <c r="C597" s="110"/>
      <c r="D597" s="110"/>
      <c r="E597" s="111"/>
      <c r="F597" s="112"/>
      <c r="G597" s="113"/>
      <c r="H597" s="53">
        <f t="shared" si="1"/>
        <v>0</v>
      </c>
      <c r="I597" s="115"/>
      <c r="J597" s="115"/>
      <c r="K597" s="60">
        <f t="shared" si="2"/>
        <v>0</v>
      </c>
      <c r="L597" s="117"/>
    </row>
    <row r="598" ht="15.75" customHeight="1">
      <c r="A598" s="9"/>
      <c r="B598" s="164"/>
      <c r="C598" s="110"/>
      <c r="D598" s="110"/>
      <c r="E598" s="111"/>
      <c r="F598" s="112"/>
      <c r="G598" s="113"/>
      <c r="H598" s="53">
        <f t="shared" si="1"/>
        <v>0</v>
      </c>
      <c r="I598" s="115"/>
      <c r="J598" s="115"/>
      <c r="K598" s="60">
        <f t="shared" si="2"/>
        <v>0</v>
      </c>
      <c r="L598" s="117"/>
    </row>
    <row r="599" ht="15.75" customHeight="1">
      <c r="A599" s="9"/>
      <c r="B599" s="164"/>
      <c r="C599" s="110"/>
      <c r="D599" s="110"/>
      <c r="E599" s="111"/>
      <c r="F599" s="112"/>
      <c r="G599" s="113"/>
      <c r="H599" s="53">
        <f t="shared" si="1"/>
        <v>0</v>
      </c>
      <c r="I599" s="115"/>
      <c r="J599" s="115"/>
      <c r="K599" s="60">
        <f t="shared" si="2"/>
        <v>0</v>
      </c>
      <c r="L599" s="117"/>
    </row>
    <row r="600" ht="15.75" customHeight="1">
      <c r="A600" s="9"/>
      <c r="B600" s="164"/>
      <c r="C600" s="110"/>
      <c r="D600" s="110"/>
      <c r="E600" s="111"/>
      <c r="F600" s="112"/>
      <c r="G600" s="113"/>
      <c r="H600" s="53">
        <f t="shared" si="1"/>
        <v>0</v>
      </c>
      <c r="I600" s="115"/>
      <c r="J600" s="115"/>
      <c r="K600" s="60">
        <f t="shared" si="2"/>
        <v>0</v>
      </c>
      <c r="L600" s="117"/>
    </row>
    <row r="601" ht="15.75" customHeight="1">
      <c r="A601" s="9"/>
      <c r="B601" s="164"/>
      <c r="C601" s="110"/>
      <c r="D601" s="110"/>
      <c r="E601" s="111"/>
      <c r="F601" s="112"/>
      <c r="G601" s="113"/>
      <c r="H601" s="53">
        <f t="shared" si="1"/>
        <v>0</v>
      </c>
      <c r="I601" s="115"/>
      <c r="J601" s="115"/>
      <c r="K601" s="60">
        <f t="shared" si="2"/>
        <v>0</v>
      </c>
      <c r="L601" s="117"/>
    </row>
    <row r="602" ht="15.75" customHeight="1">
      <c r="A602" s="9"/>
      <c r="B602" s="164"/>
      <c r="C602" s="110"/>
      <c r="D602" s="110"/>
      <c r="E602" s="111"/>
      <c r="F602" s="112"/>
      <c r="G602" s="113"/>
      <c r="H602" s="53">
        <f t="shared" si="1"/>
        <v>0</v>
      </c>
      <c r="I602" s="115"/>
      <c r="J602" s="115"/>
      <c r="K602" s="60">
        <f t="shared" si="2"/>
        <v>0</v>
      </c>
      <c r="L602" s="117"/>
    </row>
    <row r="603" ht="15.75" customHeight="1">
      <c r="A603" s="9"/>
      <c r="B603" s="164"/>
      <c r="C603" s="110"/>
      <c r="D603" s="110"/>
      <c r="E603" s="111"/>
      <c r="F603" s="112"/>
      <c r="G603" s="113"/>
      <c r="H603" s="53">
        <f t="shared" si="1"/>
        <v>0</v>
      </c>
      <c r="I603" s="115"/>
      <c r="J603" s="115"/>
      <c r="K603" s="60">
        <f t="shared" si="2"/>
        <v>0</v>
      </c>
      <c r="L603" s="117"/>
    </row>
    <row r="604" ht="15.75" customHeight="1">
      <c r="A604" s="9"/>
      <c r="B604" s="164"/>
      <c r="C604" s="110"/>
      <c r="D604" s="110"/>
      <c r="E604" s="111"/>
      <c r="F604" s="112"/>
      <c r="G604" s="113"/>
      <c r="H604" s="53">
        <f t="shared" si="1"/>
        <v>0</v>
      </c>
      <c r="I604" s="115"/>
      <c r="J604" s="115"/>
      <c r="K604" s="60">
        <f t="shared" si="2"/>
        <v>0</v>
      </c>
      <c r="L604" s="117"/>
    </row>
    <row r="605" ht="15.75" customHeight="1">
      <c r="A605" s="9"/>
      <c r="B605" s="164"/>
      <c r="C605" s="110"/>
      <c r="D605" s="110"/>
      <c r="E605" s="111"/>
      <c r="F605" s="112"/>
      <c r="G605" s="113"/>
      <c r="H605" s="53">
        <f t="shared" si="1"/>
        <v>0</v>
      </c>
      <c r="I605" s="115"/>
      <c r="J605" s="115"/>
      <c r="K605" s="60">
        <f t="shared" si="2"/>
        <v>0</v>
      </c>
      <c r="L605" s="117"/>
    </row>
    <row r="606" ht="15.75" customHeight="1">
      <c r="A606" s="9"/>
      <c r="B606" s="164"/>
      <c r="C606" s="110"/>
      <c r="D606" s="110"/>
      <c r="E606" s="111"/>
      <c r="F606" s="112"/>
      <c r="G606" s="113"/>
      <c r="H606" s="53">
        <f t="shared" si="1"/>
        <v>0</v>
      </c>
      <c r="I606" s="115"/>
      <c r="J606" s="115"/>
      <c r="K606" s="60">
        <f t="shared" si="2"/>
        <v>0</v>
      </c>
      <c r="L606" s="117"/>
    </row>
    <row r="607" ht="15.75" customHeight="1">
      <c r="A607" s="9"/>
      <c r="B607" s="164"/>
      <c r="C607" s="110"/>
      <c r="D607" s="110"/>
      <c r="E607" s="111"/>
      <c r="F607" s="112"/>
      <c r="G607" s="113"/>
      <c r="H607" s="53">
        <f t="shared" si="1"/>
        <v>0</v>
      </c>
      <c r="I607" s="115"/>
      <c r="J607" s="115"/>
      <c r="K607" s="60">
        <f t="shared" si="2"/>
        <v>0</v>
      </c>
      <c r="L607" s="117"/>
    </row>
    <row r="608" ht="15.75" customHeight="1">
      <c r="A608" s="9"/>
      <c r="B608" s="164"/>
      <c r="C608" s="110"/>
      <c r="D608" s="110"/>
      <c r="E608" s="111"/>
      <c r="F608" s="112"/>
      <c r="G608" s="113"/>
      <c r="H608" s="53">
        <f t="shared" si="1"/>
        <v>0</v>
      </c>
      <c r="I608" s="115"/>
      <c r="J608" s="115"/>
      <c r="K608" s="60">
        <f t="shared" si="2"/>
        <v>0</v>
      </c>
      <c r="L608" s="117"/>
    </row>
    <row r="609" ht="15.75" customHeight="1">
      <c r="A609" s="9"/>
      <c r="B609" s="164"/>
      <c r="C609" s="110"/>
      <c r="D609" s="110"/>
      <c r="E609" s="111"/>
      <c r="F609" s="112"/>
      <c r="G609" s="113"/>
      <c r="H609" s="53">
        <f t="shared" si="1"/>
        <v>0</v>
      </c>
      <c r="I609" s="115"/>
      <c r="J609" s="115"/>
      <c r="K609" s="60">
        <f t="shared" si="2"/>
        <v>0</v>
      </c>
      <c r="L609" s="117"/>
    </row>
    <row r="610" ht="15.75" customHeight="1">
      <c r="A610" s="9"/>
      <c r="B610" s="164"/>
      <c r="C610" s="110"/>
      <c r="D610" s="110"/>
      <c r="E610" s="111"/>
      <c r="F610" s="112"/>
      <c r="G610" s="113"/>
      <c r="H610" s="53">
        <f t="shared" si="1"/>
        <v>0</v>
      </c>
      <c r="I610" s="115"/>
      <c r="J610" s="115"/>
      <c r="K610" s="60">
        <f t="shared" si="2"/>
        <v>0</v>
      </c>
      <c r="L610" s="117"/>
    </row>
    <row r="611" ht="15.75" customHeight="1">
      <c r="A611" s="9"/>
      <c r="B611" s="164"/>
      <c r="C611" s="110"/>
      <c r="D611" s="110"/>
      <c r="E611" s="111"/>
      <c r="F611" s="112"/>
      <c r="G611" s="113"/>
      <c r="H611" s="53">
        <f t="shared" si="1"/>
        <v>0</v>
      </c>
      <c r="I611" s="115"/>
      <c r="J611" s="115"/>
      <c r="K611" s="60">
        <f t="shared" si="2"/>
        <v>0</v>
      </c>
      <c r="L611" s="117"/>
    </row>
    <row r="612" ht="15.75" customHeight="1">
      <c r="A612" s="9"/>
      <c r="B612" s="164"/>
      <c r="C612" s="110"/>
      <c r="D612" s="110"/>
      <c r="E612" s="111"/>
      <c r="F612" s="112"/>
      <c r="G612" s="113"/>
      <c r="H612" s="53">
        <f t="shared" si="1"/>
        <v>0</v>
      </c>
      <c r="I612" s="115"/>
      <c r="J612" s="115"/>
      <c r="K612" s="60">
        <f t="shared" si="2"/>
        <v>0</v>
      </c>
      <c r="L612" s="117"/>
    </row>
    <row r="613" ht="15.75" customHeight="1">
      <c r="A613" s="9"/>
      <c r="B613" s="164"/>
      <c r="C613" s="110"/>
      <c r="D613" s="110"/>
      <c r="E613" s="111"/>
      <c r="F613" s="112"/>
      <c r="G613" s="113"/>
      <c r="H613" s="53">
        <f t="shared" si="1"/>
        <v>0</v>
      </c>
      <c r="I613" s="115"/>
      <c r="J613" s="115"/>
      <c r="K613" s="60">
        <f t="shared" si="2"/>
        <v>0</v>
      </c>
      <c r="L613" s="117"/>
    </row>
    <row r="614" ht="15.75" customHeight="1">
      <c r="A614" s="9"/>
      <c r="B614" s="164"/>
      <c r="C614" s="110"/>
      <c r="D614" s="110"/>
      <c r="E614" s="111"/>
      <c r="F614" s="112"/>
      <c r="G614" s="113"/>
      <c r="H614" s="53">
        <f t="shared" si="1"/>
        <v>0</v>
      </c>
      <c r="I614" s="115"/>
      <c r="J614" s="115"/>
      <c r="K614" s="60">
        <f t="shared" si="2"/>
        <v>0</v>
      </c>
      <c r="L614" s="117"/>
    </row>
    <row r="615" ht="15.75" customHeight="1">
      <c r="A615" s="9"/>
      <c r="B615" s="164"/>
      <c r="C615" s="110"/>
      <c r="D615" s="110"/>
      <c r="E615" s="111"/>
      <c r="F615" s="112"/>
      <c r="G615" s="113"/>
      <c r="H615" s="53">
        <f t="shared" si="1"/>
        <v>0</v>
      </c>
      <c r="I615" s="115"/>
      <c r="J615" s="115"/>
      <c r="K615" s="60">
        <f t="shared" si="2"/>
        <v>0</v>
      </c>
      <c r="L615" s="117"/>
    </row>
    <row r="616" ht="15.75" customHeight="1">
      <c r="A616" s="9"/>
      <c r="B616" s="164"/>
      <c r="C616" s="110"/>
      <c r="D616" s="110"/>
      <c r="E616" s="111"/>
      <c r="F616" s="112"/>
      <c r="G616" s="113"/>
      <c r="H616" s="53">
        <f t="shared" si="1"/>
        <v>0</v>
      </c>
      <c r="I616" s="115"/>
      <c r="J616" s="115"/>
      <c r="K616" s="60">
        <f t="shared" si="2"/>
        <v>0</v>
      </c>
      <c r="L616" s="117"/>
    </row>
    <row r="617" ht="15.75" customHeight="1">
      <c r="A617" s="9"/>
      <c r="B617" s="164"/>
      <c r="C617" s="110"/>
      <c r="D617" s="110"/>
      <c r="E617" s="111"/>
      <c r="F617" s="112"/>
      <c r="G617" s="113"/>
      <c r="H617" s="53">
        <f t="shared" si="1"/>
        <v>0</v>
      </c>
      <c r="I617" s="115"/>
      <c r="J617" s="115"/>
      <c r="K617" s="60">
        <f t="shared" si="2"/>
        <v>0</v>
      </c>
      <c r="L617" s="117"/>
    </row>
    <row r="618" ht="15.75" customHeight="1">
      <c r="A618" s="9"/>
      <c r="B618" s="164"/>
      <c r="C618" s="110"/>
      <c r="D618" s="110"/>
      <c r="E618" s="111"/>
      <c r="F618" s="112"/>
      <c r="G618" s="113"/>
      <c r="H618" s="53">
        <f t="shared" si="1"/>
        <v>0</v>
      </c>
      <c r="I618" s="115"/>
      <c r="J618" s="115"/>
      <c r="K618" s="60">
        <f t="shared" si="2"/>
        <v>0</v>
      </c>
      <c r="L618" s="117"/>
    </row>
    <row r="619" ht="15.75" customHeight="1">
      <c r="A619" s="9"/>
      <c r="B619" s="164"/>
      <c r="C619" s="110"/>
      <c r="D619" s="110"/>
      <c r="E619" s="111"/>
      <c r="F619" s="112"/>
      <c r="G619" s="113"/>
      <c r="H619" s="53">
        <f t="shared" si="1"/>
        <v>0</v>
      </c>
      <c r="I619" s="115"/>
      <c r="J619" s="115"/>
      <c r="K619" s="60">
        <f t="shared" si="2"/>
        <v>0</v>
      </c>
      <c r="L619" s="117"/>
    </row>
    <row r="620" ht="15.75" customHeight="1">
      <c r="A620" s="9"/>
      <c r="B620" s="164"/>
      <c r="C620" s="110"/>
      <c r="D620" s="110"/>
      <c r="E620" s="111"/>
      <c r="F620" s="112"/>
      <c r="G620" s="113"/>
      <c r="H620" s="53">
        <f t="shared" si="1"/>
        <v>0</v>
      </c>
      <c r="I620" s="115"/>
      <c r="J620" s="115"/>
      <c r="K620" s="60">
        <f t="shared" si="2"/>
        <v>0</v>
      </c>
      <c r="L620" s="117"/>
    </row>
    <row r="621" ht="15.75" customHeight="1">
      <c r="A621" s="9"/>
      <c r="B621" s="164"/>
      <c r="C621" s="110"/>
      <c r="D621" s="110"/>
      <c r="E621" s="111"/>
      <c r="F621" s="112"/>
      <c r="G621" s="113"/>
      <c r="H621" s="53">
        <f t="shared" si="1"/>
        <v>0</v>
      </c>
      <c r="I621" s="115"/>
      <c r="J621" s="115"/>
      <c r="K621" s="60">
        <f t="shared" si="2"/>
        <v>0</v>
      </c>
      <c r="L621" s="117"/>
    </row>
    <row r="622" ht="15.75" customHeight="1">
      <c r="A622" s="9"/>
      <c r="B622" s="164"/>
      <c r="C622" s="110"/>
      <c r="D622" s="110"/>
      <c r="E622" s="111"/>
      <c r="F622" s="112"/>
      <c r="G622" s="113"/>
      <c r="H622" s="53">
        <f t="shared" si="1"/>
        <v>0</v>
      </c>
      <c r="I622" s="115"/>
      <c r="J622" s="115"/>
      <c r="K622" s="60">
        <f t="shared" si="2"/>
        <v>0</v>
      </c>
      <c r="L622" s="117"/>
    </row>
    <row r="623" ht="15.75" customHeight="1">
      <c r="A623" s="9"/>
      <c r="B623" s="164"/>
      <c r="C623" s="110"/>
      <c r="D623" s="110"/>
      <c r="E623" s="111"/>
      <c r="F623" s="112"/>
      <c r="G623" s="113"/>
      <c r="H623" s="53">
        <f t="shared" si="1"/>
        <v>0</v>
      </c>
      <c r="I623" s="115"/>
      <c r="J623" s="115"/>
      <c r="K623" s="60">
        <f t="shared" si="2"/>
        <v>0</v>
      </c>
      <c r="L623" s="117"/>
    </row>
    <row r="624" ht="15.75" customHeight="1">
      <c r="A624" s="9"/>
      <c r="B624" s="164"/>
      <c r="C624" s="110"/>
      <c r="D624" s="110"/>
      <c r="E624" s="111"/>
      <c r="F624" s="112"/>
      <c r="G624" s="113"/>
      <c r="H624" s="53">
        <f t="shared" si="1"/>
        <v>0</v>
      </c>
      <c r="I624" s="115"/>
      <c r="J624" s="115"/>
      <c r="K624" s="60">
        <f t="shared" si="2"/>
        <v>0</v>
      </c>
      <c r="L624" s="117"/>
    </row>
    <row r="625" ht="15.75" customHeight="1">
      <c r="A625" s="9"/>
      <c r="B625" s="164"/>
      <c r="C625" s="110"/>
      <c r="D625" s="110"/>
      <c r="E625" s="111"/>
      <c r="F625" s="112"/>
      <c r="G625" s="113"/>
      <c r="H625" s="53">
        <f t="shared" si="1"/>
        <v>0</v>
      </c>
      <c r="I625" s="115"/>
      <c r="J625" s="115"/>
      <c r="K625" s="60">
        <f t="shared" si="2"/>
        <v>0</v>
      </c>
      <c r="L625" s="117"/>
    </row>
    <row r="626" ht="15.75" customHeight="1">
      <c r="A626" s="9"/>
      <c r="B626" s="164"/>
      <c r="C626" s="110"/>
      <c r="D626" s="110"/>
      <c r="E626" s="111"/>
      <c r="F626" s="112"/>
      <c r="G626" s="113"/>
      <c r="H626" s="53">
        <f t="shared" si="1"/>
        <v>0</v>
      </c>
      <c r="I626" s="115"/>
      <c r="J626" s="115"/>
      <c r="K626" s="60">
        <f t="shared" si="2"/>
        <v>0</v>
      </c>
      <c r="L626" s="117"/>
    </row>
    <row r="627" ht="15.75" customHeight="1">
      <c r="A627" s="9"/>
      <c r="B627" s="164"/>
      <c r="C627" s="110"/>
      <c r="D627" s="110"/>
      <c r="E627" s="111"/>
      <c r="F627" s="112"/>
      <c r="G627" s="113"/>
      <c r="H627" s="53">
        <f t="shared" si="1"/>
        <v>0</v>
      </c>
      <c r="I627" s="115"/>
      <c r="J627" s="115"/>
      <c r="K627" s="60">
        <f t="shared" si="2"/>
        <v>0</v>
      </c>
      <c r="L627" s="117"/>
    </row>
    <row r="628" ht="15.75" customHeight="1">
      <c r="A628" s="9"/>
      <c r="B628" s="164"/>
      <c r="C628" s="110"/>
      <c r="D628" s="110"/>
      <c r="E628" s="111"/>
      <c r="F628" s="112"/>
      <c r="G628" s="113"/>
      <c r="H628" s="53">
        <f t="shared" si="1"/>
        <v>0</v>
      </c>
      <c r="I628" s="115"/>
      <c r="J628" s="115"/>
      <c r="K628" s="60">
        <f t="shared" si="2"/>
        <v>0</v>
      </c>
      <c r="L628" s="117"/>
    </row>
    <row r="629" ht="15.75" customHeight="1">
      <c r="A629" s="9"/>
      <c r="B629" s="164"/>
      <c r="C629" s="110"/>
      <c r="D629" s="110"/>
      <c r="E629" s="111"/>
      <c r="F629" s="112"/>
      <c r="G629" s="113"/>
      <c r="H629" s="53">
        <f t="shared" si="1"/>
        <v>0</v>
      </c>
      <c r="I629" s="115"/>
      <c r="J629" s="115"/>
      <c r="K629" s="60">
        <f t="shared" si="2"/>
        <v>0</v>
      </c>
      <c r="L629" s="117"/>
    </row>
    <row r="630" ht="15.75" customHeight="1">
      <c r="A630" s="9"/>
      <c r="B630" s="164"/>
      <c r="C630" s="110"/>
      <c r="D630" s="110"/>
      <c r="E630" s="111"/>
      <c r="F630" s="112"/>
      <c r="G630" s="113"/>
      <c r="H630" s="53">
        <f t="shared" si="1"/>
        <v>0</v>
      </c>
      <c r="I630" s="115"/>
      <c r="J630" s="115"/>
      <c r="K630" s="60">
        <f t="shared" si="2"/>
        <v>0</v>
      </c>
      <c r="L630" s="117"/>
    </row>
    <row r="631" ht="15.75" customHeight="1">
      <c r="A631" s="9"/>
      <c r="B631" s="164"/>
      <c r="C631" s="110"/>
      <c r="D631" s="110"/>
      <c r="E631" s="111"/>
      <c r="F631" s="112"/>
      <c r="G631" s="113"/>
      <c r="H631" s="53">
        <f t="shared" si="1"/>
        <v>0</v>
      </c>
      <c r="I631" s="115"/>
      <c r="J631" s="115"/>
      <c r="K631" s="60">
        <f t="shared" si="2"/>
        <v>0</v>
      </c>
      <c r="L631" s="117"/>
    </row>
    <row r="632" ht="15.75" customHeight="1">
      <c r="A632" s="9"/>
      <c r="B632" s="164"/>
      <c r="C632" s="110"/>
      <c r="D632" s="110"/>
      <c r="E632" s="111"/>
      <c r="F632" s="112"/>
      <c r="G632" s="113"/>
      <c r="H632" s="53">
        <f t="shared" si="1"/>
        <v>0</v>
      </c>
      <c r="I632" s="115"/>
      <c r="J632" s="115"/>
      <c r="K632" s="60">
        <f t="shared" si="2"/>
        <v>0</v>
      </c>
      <c r="L632" s="117"/>
    </row>
    <row r="633" ht="15.75" customHeight="1">
      <c r="A633" s="9"/>
      <c r="B633" s="164"/>
      <c r="C633" s="110"/>
      <c r="D633" s="110"/>
      <c r="E633" s="111"/>
      <c r="F633" s="112"/>
      <c r="G633" s="113"/>
      <c r="H633" s="53">
        <f t="shared" si="1"/>
        <v>0</v>
      </c>
      <c r="I633" s="115"/>
      <c r="J633" s="115"/>
      <c r="K633" s="60">
        <f t="shared" si="2"/>
        <v>0</v>
      </c>
      <c r="L633" s="117"/>
    </row>
    <row r="634" ht="15.75" customHeight="1">
      <c r="A634" s="9"/>
      <c r="B634" s="164"/>
      <c r="C634" s="110"/>
      <c r="D634" s="110"/>
      <c r="E634" s="111"/>
      <c r="F634" s="112"/>
      <c r="G634" s="113"/>
      <c r="H634" s="53">
        <f t="shared" si="1"/>
        <v>0</v>
      </c>
      <c r="I634" s="115"/>
      <c r="J634" s="115"/>
      <c r="K634" s="60">
        <f t="shared" si="2"/>
        <v>0</v>
      </c>
      <c r="L634" s="117"/>
    </row>
    <row r="635" ht="15.75" customHeight="1">
      <c r="A635" s="9"/>
      <c r="B635" s="164"/>
      <c r="C635" s="110"/>
      <c r="D635" s="110"/>
      <c r="E635" s="111"/>
      <c r="F635" s="112"/>
      <c r="G635" s="113"/>
      <c r="H635" s="53">
        <f t="shared" si="1"/>
        <v>0</v>
      </c>
      <c r="I635" s="115"/>
      <c r="J635" s="115"/>
      <c r="K635" s="60">
        <f t="shared" si="2"/>
        <v>0</v>
      </c>
      <c r="L635" s="117"/>
    </row>
    <row r="636" ht="15.75" customHeight="1">
      <c r="A636" s="9"/>
      <c r="B636" s="164"/>
      <c r="C636" s="110"/>
      <c r="D636" s="110"/>
      <c r="E636" s="111"/>
      <c r="F636" s="112"/>
      <c r="G636" s="113"/>
      <c r="H636" s="53">
        <f t="shared" si="1"/>
        <v>0</v>
      </c>
      <c r="I636" s="115"/>
      <c r="J636" s="115"/>
      <c r="K636" s="60">
        <f t="shared" si="2"/>
        <v>0</v>
      </c>
      <c r="L636" s="117"/>
    </row>
    <row r="637" ht="15.75" customHeight="1">
      <c r="A637" s="9"/>
      <c r="B637" s="164"/>
      <c r="C637" s="110"/>
      <c r="D637" s="110"/>
      <c r="E637" s="111"/>
      <c r="F637" s="112"/>
      <c r="G637" s="113"/>
      <c r="H637" s="53">
        <f t="shared" si="1"/>
        <v>0</v>
      </c>
      <c r="I637" s="115"/>
      <c r="J637" s="115"/>
      <c r="K637" s="60">
        <f t="shared" si="2"/>
        <v>0</v>
      </c>
      <c r="L637" s="117"/>
    </row>
    <row r="638" ht="15.75" customHeight="1">
      <c r="A638" s="9"/>
      <c r="B638" s="164"/>
      <c r="C638" s="110"/>
      <c r="D638" s="110"/>
      <c r="E638" s="111"/>
      <c r="F638" s="112"/>
      <c r="G638" s="113"/>
      <c r="H638" s="53">
        <f t="shared" si="1"/>
        <v>0</v>
      </c>
      <c r="I638" s="115"/>
      <c r="J638" s="115"/>
      <c r="K638" s="60">
        <f t="shared" si="2"/>
        <v>0</v>
      </c>
      <c r="L638" s="117"/>
    </row>
    <row r="639" ht="15.75" customHeight="1">
      <c r="A639" s="9"/>
      <c r="B639" s="164"/>
      <c r="C639" s="110"/>
      <c r="D639" s="110"/>
      <c r="E639" s="111"/>
      <c r="F639" s="112"/>
      <c r="G639" s="113"/>
      <c r="H639" s="53">
        <f t="shared" si="1"/>
        <v>0</v>
      </c>
      <c r="I639" s="115"/>
      <c r="J639" s="115"/>
      <c r="K639" s="60">
        <f t="shared" si="2"/>
        <v>0</v>
      </c>
      <c r="L639" s="117"/>
    </row>
    <row r="640" ht="15.75" customHeight="1">
      <c r="A640" s="9"/>
      <c r="B640" s="164"/>
      <c r="C640" s="110"/>
      <c r="D640" s="110"/>
      <c r="E640" s="111"/>
      <c r="F640" s="112"/>
      <c r="G640" s="113"/>
      <c r="H640" s="53">
        <f t="shared" si="1"/>
        <v>0</v>
      </c>
      <c r="I640" s="115"/>
      <c r="J640" s="115"/>
      <c r="K640" s="60">
        <f t="shared" si="2"/>
        <v>0</v>
      </c>
      <c r="L640" s="117"/>
    </row>
    <row r="641" ht="15.75" customHeight="1">
      <c r="A641" s="9"/>
      <c r="B641" s="164"/>
      <c r="C641" s="110"/>
      <c r="D641" s="110"/>
      <c r="E641" s="111"/>
      <c r="F641" s="112"/>
      <c r="G641" s="113"/>
      <c r="H641" s="53">
        <f t="shared" si="1"/>
        <v>0</v>
      </c>
      <c r="I641" s="115"/>
      <c r="J641" s="115"/>
      <c r="K641" s="60">
        <f t="shared" si="2"/>
        <v>0</v>
      </c>
      <c r="L641" s="117"/>
    </row>
    <row r="642" ht="15.75" customHeight="1">
      <c r="A642" s="9"/>
      <c r="B642" s="164"/>
      <c r="C642" s="110"/>
      <c r="D642" s="110"/>
      <c r="E642" s="111"/>
      <c r="F642" s="112"/>
      <c r="G642" s="113"/>
      <c r="H642" s="53">
        <f t="shared" si="1"/>
        <v>0</v>
      </c>
      <c r="I642" s="115"/>
      <c r="J642" s="115"/>
      <c r="K642" s="60">
        <f t="shared" si="2"/>
        <v>0</v>
      </c>
      <c r="L642" s="117"/>
    </row>
    <row r="643" ht="15.75" customHeight="1">
      <c r="A643" s="9"/>
      <c r="B643" s="164"/>
      <c r="C643" s="110"/>
      <c r="D643" s="110"/>
      <c r="E643" s="111"/>
      <c r="F643" s="112"/>
      <c r="G643" s="113"/>
      <c r="H643" s="53">
        <f t="shared" si="1"/>
        <v>0</v>
      </c>
      <c r="I643" s="115"/>
      <c r="J643" s="115"/>
      <c r="K643" s="60">
        <f t="shared" si="2"/>
        <v>0</v>
      </c>
      <c r="L643" s="117"/>
    </row>
    <row r="644" ht="15.75" customHeight="1">
      <c r="A644" s="9"/>
      <c r="B644" s="164"/>
      <c r="C644" s="110"/>
      <c r="D644" s="110"/>
      <c r="E644" s="111"/>
      <c r="F644" s="112"/>
      <c r="G644" s="113"/>
      <c r="H644" s="53">
        <f t="shared" si="1"/>
        <v>0</v>
      </c>
      <c r="I644" s="115"/>
      <c r="J644" s="115"/>
      <c r="K644" s="60">
        <f t="shared" si="2"/>
        <v>0</v>
      </c>
      <c r="L644" s="117"/>
    </row>
    <row r="645" ht="15.75" customHeight="1">
      <c r="A645" s="9"/>
      <c r="B645" s="164"/>
      <c r="C645" s="110"/>
      <c r="D645" s="110"/>
      <c r="E645" s="111"/>
      <c r="F645" s="112"/>
      <c r="G645" s="113"/>
      <c r="H645" s="53">
        <f t="shared" si="1"/>
        <v>0</v>
      </c>
      <c r="I645" s="115"/>
      <c r="J645" s="115"/>
      <c r="K645" s="60">
        <f t="shared" si="2"/>
        <v>0</v>
      </c>
      <c r="L645" s="117"/>
    </row>
    <row r="646" ht="15.75" customHeight="1">
      <c r="A646" s="9"/>
      <c r="B646" s="164"/>
      <c r="C646" s="110"/>
      <c r="D646" s="110"/>
      <c r="E646" s="111"/>
      <c r="F646" s="112"/>
      <c r="G646" s="113"/>
      <c r="H646" s="53">
        <f t="shared" si="1"/>
        <v>0</v>
      </c>
      <c r="I646" s="115"/>
      <c r="J646" s="115"/>
      <c r="K646" s="60">
        <f t="shared" si="2"/>
        <v>0</v>
      </c>
      <c r="L646" s="117"/>
    </row>
    <row r="647" ht="15.75" customHeight="1">
      <c r="A647" s="9"/>
      <c r="B647" s="164"/>
      <c r="C647" s="110"/>
      <c r="D647" s="110"/>
      <c r="E647" s="111"/>
      <c r="F647" s="112"/>
      <c r="G647" s="113"/>
      <c r="H647" s="53">
        <f t="shared" si="1"/>
        <v>0</v>
      </c>
      <c r="I647" s="115"/>
      <c r="J647" s="115"/>
      <c r="K647" s="60">
        <f t="shared" si="2"/>
        <v>0</v>
      </c>
      <c r="L647" s="117"/>
    </row>
    <row r="648" ht="15.75" customHeight="1">
      <c r="A648" s="9"/>
      <c r="B648" s="164"/>
      <c r="C648" s="110"/>
      <c r="D648" s="110"/>
      <c r="E648" s="111"/>
      <c r="F648" s="112"/>
      <c r="G648" s="113"/>
      <c r="H648" s="53">
        <f t="shared" si="1"/>
        <v>0</v>
      </c>
      <c r="I648" s="115"/>
      <c r="J648" s="115"/>
      <c r="K648" s="60">
        <f t="shared" si="2"/>
        <v>0</v>
      </c>
      <c r="L648" s="117"/>
    </row>
    <row r="649" ht="15.75" customHeight="1">
      <c r="A649" s="9"/>
      <c r="B649" s="164"/>
      <c r="C649" s="110"/>
      <c r="D649" s="110"/>
      <c r="E649" s="111"/>
      <c r="F649" s="112"/>
      <c r="G649" s="113"/>
      <c r="H649" s="53">
        <f t="shared" si="1"/>
        <v>0</v>
      </c>
      <c r="I649" s="115"/>
      <c r="J649" s="115"/>
      <c r="K649" s="60">
        <f t="shared" si="2"/>
        <v>0</v>
      </c>
      <c r="L649" s="117"/>
    </row>
    <row r="650" ht="15.75" customHeight="1">
      <c r="A650" s="9"/>
      <c r="B650" s="164"/>
      <c r="C650" s="110"/>
      <c r="D650" s="110"/>
      <c r="E650" s="111"/>
      <c r="F650" s="112"/>
      <c r="G650" s="113"/>
      <c r="H650" s="53">
        <f t="shared" si="1"/>
        <v>0</v>
      </c>
      <c r="I650" s="115"/>
      <c r="J650" s="115"/>
      <c r="K650" s="60">
        <f t="shared" si="2"/>
        <v>0</v>
      </c>
      <c r="L650" s="117"/>
    </row>
    <row r="651" ht="15.75" customHeight="1">
      <c r="A651" s="9"/>
      <c r="B651" s="164"/>
      <c r="C651" s="110"/>
      <c r="D651" s="110"/>
      <c r="E651" s="111"/>
      <c r="F651" s="112"/>
      <c r="G651" s="113"/>
      <c r="H651" s="53">
        <f t="shared" si="1"/>
        <v>0</v>
      </c>
      <c r="I651" s="115"/>
      <c r="J651" s="115"/>
      <c r="K651" s="60">
        <f t="shared" si="2"/>
        <v>0</v>
      </c>
      <c r="L651" s="117"/>
    </row>
    <row r="652" ht="15.75" customHeight="1">
      <c r="A652" s="9"/>
      <c r="B652" s="164"/>
      <c r="C652" s="110"/>
      <c r="D652" s="110"/>
      <c r="E652" s="111"/>
      <c r="F652" s="112"/>
      <c r="G652" s="113"/>
      <c r="H652" s="53">
        <f t="shared" si="1"/>
        <v>0</v>
      </c>
      <c r="I652" s="115"/>
      <c r="J652" s="115"/>
      <c r="K652" s="60">
        <f t="shared" si="2"/>
        <v>0</v>
      </c>
      <c r="L652" s="117"/>
    </row>
    <row r="653" ht="15.75" customHeight="1">
      <c r="A653" s="9"/>
      <c r="B653" s="164"/>
      <c r="C653" s="110"/>
      <c r="D653" s="110"/>
      <c r="E653" s="111"/>
      <c r="F653" s="112"/>
      <c r="G653" s="113"/>
      <c r="H653" s="53">
        <f t="shared" si="1"/>
        <v>0</v>
      </c>
      <c r="I653" s="115"/>
      <c r="J653" s="115"/>
      <c r="K653" s="60">
        <f t="shared" si="2"/>
        <v>0</v>
      </c>
      <c r="L653" s="117"/>
    </row>
    <row r="654" ht="15.75" customHeight="1">
      <c r="A654" s="9"/>
      <c r="B654" s="164"/>
      <c r="C654" s="110"/>
      <c r="D654" s="110"/>
      <c r="E654" s="111"/>
      <c r="F654" s="112"/>
      <c r="G654" s="113"/>
      <c r="H654" s="53">
        <f t="shared" si="1"/>
        <v>0</v>
      </c>
      <c r="I654" s="115"/>
      <c r="J654" s="115"/>
      <c r="K654" s="60">
        <f t="shared" si="2"/>
        <v>0</v>
      </c>
      <c r="L654" s="117"/>
    </row>
    <row r="655" ht="15.75" customHeight="1">
      <c r="A655" s="9"/>
      <c r="B655" s="164"/>
      <c r="C655" s="110"/>
      <c r="D655" s="110"/>
      <c r="E655" s="111"/>
      <c r="F655" s="112"/>
      <c r="G655" s="113"/>
      <c r="H655" s="53">
        <f t="shared" si="1"/>
        <v>0</v>
      </c>
      <c r="I655" s="115"/>
      <c r="J655" s="115"/>
      <c r="K655" s="60">
        <f t="shared" si="2"/>
        <v>0</v>
      </c>
      <c r="L655" s="117"/>
    </row>
    <row r="656" ht="15.75" customHeight="1">
      <c r="A656" s="9"/>
      <c r="B656" s="164"/>
      <c r="C656" s="110"/>
      <c r="D656" s="110"/>
      <c r="E656" s="111"/>
      <c r="F656" s="112"/>
      <c r="G656" s="113"/>
      <c r="H656" s="53">
        <f t="shared" si="1"/>
        <v>0</v>
      </c>
      <c r="I656" s="115"/>
      <c r="J656" s="115"/>
      <c r="K656" s="60">
        <f t="shared" si="2"/>
        <v>0</v>
      </c>
      <c r="L656" s="117"/>
    </row>
    <row r="657" ht="15.75" customHeight="1">
      <c r="A657" s="9"/>
      <c r="B657" s="164"/>
      <c r="C657" s="110"/>
      <c r="D657" s="110"/>
      <c r="E657" s="111"/>
      <c r="F657" s="112"/>
      <c r="G657" s="113"/>
      <c r="H657" s="53">
        <f t="shared" si="1"/>
        <v>0</v>
      </c>
      <c r="I657" s="115"/>
      <c r="J657" s="115"/>
      <c r="K657" s="60">
        <f t="shared" si="2"/>
        <v>0</v>
      </c>
      <c r="L657" s="117"/>
    </row>
    <row r="658" ht="15.75" customHeight="1">
      <c r="A658" s="9"/>
      <c r="B658" s="164"/>
      <c r="C658" s="110"/>
      <c r="D658" s="110"/>
      <c r="E658" s="111"/>
      <c r="F658" s="112"/>
      <c r="G658" s="113"/>
      <c r="H658" s="53">
        <f t="shared" si="1"/>
        <v>0</v>
      </c>
      <c r="I658" s="115"/>
      <c r="J658" s="115"/>
      <c r="K658" s="60">
        <f t="shared" si="2"/>
        <v>0</v>
      </c>
      <c r="L658" s="117"/>
    </row>
    <row r="659" ht="15.75" customHeight="1">
      <c r="A659" s="9"/>
      <c r="B659" s="164"/>
      <c r="C659" s="110"/>
      <c r="D659" s="110"/>
      <c r="E659" s="111"/>
      <c r="F659" s="112"/>
      <c r="G659" s="113"/>
      <c r="H659" s="53">
        <f t="shared" si="1"/>
        <v>0</v>
      </c>
      <c r="I659" s="115"/>
      <c r="J659" s="115"/>
      <c r="K659" s="60">
        <f t="shared" si="2"/>
        <v>0</v>
      </c>
      <c r="L659" s="117"/>
    </row>
    <row r="660" ht="15.75" customHeight="1">
      <c r="A660" s="9"/>
      <c r="B660" s="164"/>
      <c r="C660" s="110"/>
      <c r="D660" s="110"/>
      <c r="E660" s="111"/>
      <c r="F660" s="112"/>
      <c r="G660" s="113"/>
      <c r="H660" s="53">
        <f t="shared" si="1"/>
        <v>0</v>
      </c>
      <c r="I660" s="115"/>
      <c r="J660" s="115"/>
      <c r="K660" s="60">
        <f t="shared" si="2"/>
        <v>0</v>
      </c>
      <c r="L660" s="117"/>
    </row>
    <row r="661" ht="15.75" customHeight="1">
      <c r="A661" s="9"/>
      <c r="B661" s="164"/>
      <c r="C661" s="110"/>
      <c r="D661" s="110"/>
      <c r="E661" s="111"/>
      <c r="F661" s="112"/>
      <c r="G661" s="113"/>
      <c r="H661" s="53">
        <f t="shared" si="1"/>
        <v>0</v>
      </c>
      <c r="I661" s="115"/>
      <c r="J661" s="115"/>
      <c r="K661" s="60">
        <f t="shared" si="2"/>
        <v>0</v>
      </c>
      <c r="L661" s="117"/>
    </row>
    <row r="662" ht="15.75" customHeight="1">
      <c r="A662" s="9"/>
      <c r="B662" s="164"/>
      <c r="C662" s="110"/>
      <c r="D662" s="110"/>
      <c r="E662" s="111"/>
      <c r="F662" s="112"/>
      <c r="G662" s="113"/>
      <c r="H662" s="53">
        <f t="shared" si="1"/>
        <v>0</v>
      </c>
      <c r="I662" s="115"/>
      <c r="J662" s="115"/>
      <c r="K662" s="60">
        <f t="shared" si="2"/>
        <v>0</v>
      </c>
      <c r="L662" s="117"/>
    </row>
    <row r="663" ht="15.75" customHeight="1">
      <c r="A663" s="9"/>
      <c r="B663" s="164"/>
      <c r="C663" s="110"/>
      <c r="D663" s="110"/>
      <c r="E663" s="111"/>
      <c r="F663" s="112"/>
      <c r="G663" s="113"/>
      <c r="H663" s="53">
        <f t="shared" si="1"/>
        <v>0</v>
      </c>
      <c r="I663" s="115"/>
      <c r="J663" s="115"/>
      <c r="K663" s="60">
        <f t="shared" si="2"/>
        <v>0</v>
      </c>
      <c r="L663" s="117"/>
    </row>
    <row r="664" ht="15.75" customHeight="1">
      <c r="A664" s="9"/>
      <c r="B664" s="164"/>
      <c r="C664" s="110"/>
      <c r="D664" s="110"/>
      <c r="E664" s="111"/>
      <c r="F664" s="112"/>
      <c r="G664" s="113"/>
      <c r="H664" s="53">
        <f t="shared" si="1"/>
        <v>0</v>
      </c>
      <c r="I664" s="115"/>
      <c r="J664" s="115"/>
      <c r="K664" s="60">
        <f t="shared" si="2"/>
        <v>0</v>
      </c>
      <c r="L664" s="117"/>
    </row>
    <row r="665" ht="15.75" customHeight="1">
      <c r="A665" s="9"/>
      <c r="B665" s="164"/>
      <c r="C665" s="110"/>
      <c r="D665" s="110"/>
      <c r="E665" s="111"/>
      <c r="F665" s="112"/>
      <c r="G665" s="113"/>
      <c r="H665" s="53">
        <f t="shared" si="1"/>
        <v>0</v>
      </c>
      <c r="I665" s="115"/>
      <c r="J665" s="115"/>
      <c r="K665" s="60">
        <f t="shared" si="2"/>
        <v>0</v>
      </c>
      <c r="L665" s="117"/>
    </row>
    <row r="666" ht="15.75" customHeight="1">
      <c r="A666" s="9"/>
      <c r="B666" s="164"/>
      <c r="C666" s="110"/>
      <c r="D666" s="110"/>
      <c r="E666" s="111"/>
      <c r="F666" s="112"/>
      <c r="G666" s="113"/>
      <c r="H666" s="53">
        <f t="shared" si="1"/>
        <v>0</v>
      </c>
      <c r="I666" s="115"/>
      <c r="J666" s="115"/>
      <c r="K666" s="60">
        <f t="shared" si="2"/>
        <v>0</v>
      </c>
      <c r="L666" s="117"/>
    </row>
    <row r="667" ht="15.75" customHeight="1">
      <c r="A667" s="9"/>
      <c r="B667" s="164"/>
      <c r="C667" s="110"/>
      <c r="D667" s="110"/>
      <c r="E667" s="111"/>
      <c r="F667" s="112"/>
      <c r="G667" s="113"/>
      <c r="H667" s="53">
        <f t="shared" si="1"/>
        <v>0</v>
      </c>
      <c r="I667" s="115"/>
      <c r="J667" s="115"/>
      <c r="K667" s="60">
        <f t="shared" si="2"/>
        <v>0</v>
      </c>
      <c r="L667" s="117"/>
    </row>
    <row r="668" ht="15.75" customHeight="1">
      <c r="A668" s="9"/>
      <c r="B668" s="164"/>
      <c r="C668" s="110"/>
      <c r="D668" s="110"/>
      <c r="E668" s="111"/>
      <c r="F668" s="112"/>
      <c r="G668" s="113"/>
      <c r="H668" s="53">
        <f t="shared" si="1"/>
        <v>0</v>
      </c>
      <c r="I668" s="115"/>
      <c r="J668" s="115"/>
      <c r="K668" s="60">
        <f t="shared" si="2"/>
        <v>0</v>
      </c>
      <c r="L668" s="117"/>
    </row>
    <row r="669" ht="15.75" customHeight="1">
      <c r="A669" s="9"/>
      <c r="B669" s="164"/>
      <c r="C669" s="110"/>
      <c r="D669" s="110"/>
      <c r="E669" s="111"/>
      <c r="F669" s="112"/>
      <c r="G669" s="113"/>
      <c r="H669" s="53">
        <f t="shared" si="1"/>
        <v>0</v>
      </c>
      <c r="I669" s="115"/>
      <c r="J669" s="115"/>
      <c r="K669" s="60">
        <f t="shared" si="2"/>
        <v>0</v>
      </c>
      <c r="L669" s="117"/>
    </row>
    <row r="670" ht="15.75" customHeight="1">
      <c r="A670" s="9"/>
      <c r="B670" s="164"/>
      <c r="C670" s="110"/>
      <c r="D670" s="110"/>
      <c r="E670" s="111"/>
      <c r="F670" s="112"/>
      <c r="G670" s="113"/>
      <c r="H670" s="53">
        <f t="shared" si="1"/>
        <v>0</v>
      </c>
      <c r="I670" s="115"/>
      <c r="J670" s="115"/>
      <c r="K670" s="60">
        <f t="shared" si="2"/>
        <v>0</v>
      </c>
      <c r="L670" s="117"/>
    </row>
    <row r="671" ht="15.75" customHeight="1">
      <c r="A671" s="9"/>
      <c r="B671" s="164"/>
      <c r="C671" s="110"/>
      <c r="D671" s="110"/>
      <c r="E671" s="111"/>
      <c r="F671" s="112"/>
      <c r="G671" s="113"/>
      <c r="H671" s="53">
        <f t="shared" si="1"/>
        <v>0</v>
      </c>
      <c r="I671" s="115"/>
      <c r="J671" s="115"/>
      <c r="K671" s="60">
        <f t="shared" si="2"/>
        <v>0</v>
      </c>
      <c r="L671" s="117"/>
    </row>
    <row r="672" ht="15.75" customHeight="1">
      <c r="A672" s="9"/>
      <c r="B672" s="164"/>
      <c r="C672" s="110"/>
      <c r="D672" s="110"/>
      <c r="E672" s="111"/>
      <c r="F672" s="112"/>
      <c r="G672" s="113"/>
      <c r="H672" s="53">
        <f t="shared" si="1"/>
        <v>0</v>
      </c>
      <c r="I672" s="115"/>
      <c r="J672" s="115"/>
      <c r="K672" s="60">
        <f t="shared" si="2"/>
        <v>0</v>
      </c>
      <c r="L672" s="117"/>
    </row>
    <row r="673" ht="15.75" customHeight="1">
      <c r="A673" s="9"/>
      <c r="B673" s="164"/>
      <c r="C673" s="110"/>
      <c r="D673" s="110"/>
      <c r="E673" s="111"/>
      <c r="F673" s="112"/>
      <c r="G673" s="113"/>
      <c r="H673" s="53">
        <f t="shared" si="1"/>
        <v>0</v>
      </c>
      <c r="I673" s="115"/>
      <c r="J673" s="115"/>
      <c r="K673" s="60">
        <f t="shared" si="2"/>
        <v>0</v>
      </c>
      <c r="L673" s="117"/>
    </row>
    <row r="674" ht="15.75" customHeight="1">
      <c r="A674" s="9"/>
      <c r="B674" s="164"/>
      <c r="C674" s="110"/>
      <c r="D674" s="110"/>
      <c r="E674" s="111"/>
      <c r="F674" s="112"/>
      <c r="G674" s="113"/>
      <c r="H674" s="53">
        <f t="shared" si="1"/>
        <v>0</v>
      </c>
      <c r="I674" s="115"/>
      <c r="J674" s="115"/>
      <c r="K674" s="60">
        <f t="shared" si="2"/>
        <v>0</v>
      </c>
      <c r="L674" s="117"/>
    </row>
    <row r="675" ht="15.75" customHeight="1">
      <c r="A675" s="9"/>
      <c r="B675" s="164"/>
      <c r="C675" s="110"/>
      <c r="D675" s="110"/>
      <c r="E675" s="111"/>
      <c r="F675" s="112"/>
      <c r="G675" s="113"/>
      <c r="H675" s="53">
        <f t="shared" si="1"/>
        <v>0</v>
      </c>
      <c r="I675" s="115"/>
      <c r="J675" s="115"/>
      <c r="K675" s="60">
        <f t="shared" si="2"/>
        <v>0</v>
      </c>
      <c r="L675" s="117"/>
    </row>
    <row r="676" ht="15.75" customHeight="1">
      <c r="A676" s="9"/>
      <c r="B676" s="164"/>
      <c r="C676" s="110"/>
      <c r="D676" s="110"/>
      <c r="E676" s="111"/>
      <c r="F676" s="112"/>
      <c r="G676" s="113"/>
      <c r="H676" s="53">
        <f t="shared" si="1"/>
        <v>0</v>
      </c>
      <c r="I676" s="115"/>
      <c r="J676" s="115"/>
      <c r="K676" s="60">
        <f t="shared" si="2"/>
        <v>0</v>
      </c>
      <c r="L676" s="117"/>
    </row>
    <row r="677" ht="15.75" customHeight="1">
      <c r="A677" s="9"/>
      <c r="B677" s="164"/>
      <c r="C677" s="110"/>
      <c r="D677" s="110"/>
      <c r="E677" s="111"/>
      <c r="F677" s="112"/>
      <c r="G677" s="113"/>
      <c r="H677" s="53">
        <f t="shared" si="1"/>
        <v>0</v>
      </c>
      <c r="I677" s="115"/>
      <c r="J677" s="115"/>
      <c r="K677" s="60">
        <f t="shared" si="2"/>
        <v>0</v>
      </c>
      <c r="L677" s="117"/>
    </row>
    <row r="678" ht="15.75" customHeight="1">
      <c r="A678" s="9"/>
      <c r="B678" s="164"/>
      <c r="C678" s="110"/>
      <c r="D678" s="110"/>
      <c r="E678" s="111"/>
      <c r="F678" s="112"/>
      <c r="G678" s="113"/>
      <c r="H678" s="53">
        <f t="shared" si="1"/>
        <v>0</v>
      </c>
      <c r="I678" s="115"/>
      <c r="J678" s="115"/>
      <c r="K678" s="60">
        <f t="shared" si="2"/>
        <v>0</v>
      </c>
      <c r="L678" s="117"/>
    </row>
    <row r="679" ht="15.75" customHeight="1">
      <c r="A679" s="9"/>
      <c r="B679" s="164"/>
      <c r="C679" s="110"/>
      <c r="D679" s="110"/>
      <c r="E679" s="111"/>
      <c r="F679" s="112"/>
      <c r="G679" s="113"/>
      <c r="H679" s="53">
        <f t="shared" si="1"/>
        <v>0</v>
      </c>
      <c r="I679" s="115"/>
      <c r="J679" s="115"/>
      <c r="K679" s="60">
        <f t="shared" si="2"/>
        <v>0</v>
      </c>
      <c r="L679" s="117"/>
    </row>
    <row r="680" ht="15.75" customHeight="1">
      <c r="A680" s="9"/>
      <c r="B680" s="164"/>
      <c r="C680" s="110"/>
      <c r="D680" s="110"/>
      <c r="E680" s="111"/>
      <c r="F680" s="112"/>
      <c r="G680" s="113"/>
      <c r="H680" s="53">
        <f t="shared" si="1"/>
        <v>0</v>
      </c>
      <c r="I680" s="115"/>
      <c r="J680" s="115"/>
      <c r="K680" s="60">
        <f t="shared" si="2"/>
        <v>0</v>
      </c>
      <c r="L680" s="117"/>
    </row>
    <row r="681" ht="15.75" customHeight="1">
      <c r="A681" s="9"/>
      <c r="B681" s="164"/>
      <c r="C681" s="110"/>
      <c r="D681" s="110"/>
      <c r="E681" s="111"/>
      <c r="F681" s="112"/>
      <c r="G681" s="113"/>
      <c r="H681" s="53">
        <f t="shared" si="1"/>
        <v>0</v>
      </c>
      <c r="I681" s="115"/>
      <c r="J681" s="115"/>
      <c r="K681" s="60">
        <f t="shared" si="2"/>
        <v>0</v>
      </c>
      <c r="L681" s="117"/>
    </row>
    <row r="682" ht="15.75" customHeight="1">
      <c r="A682" s="9"/>
      <c r="B682" s="164"/>
      <c r="C682" s="110"/>
      <c r="D682" s="110"/>
      <c r="E682" s="111"/>
      <c r="F682" s="112"/>
      <c r="G682" s="113"/>
      <c r="H682" s="53">
        <f t="shared" si="1"/>
        <v>0</v>
      </c>
      <c r="I682" s="115"/>
      <c r="J682" s="115"/>
      <c r="K682" s="60">
        <f t="shared" si="2"/>
        <v>0</v>
      </c>
      <c r="L682" s="117"/>
    </row>
    <row r="683" ht="15.75" customHeight="1">
      <c r="A683" s="9"/>
      <c r="B683" s="164"/>
      <c r="C683" s="110"/>
      <c r="D683" s="110"/>
      <c r="E683" s="111"/>
      <c r="F683" s="112"/>
      <c r="G683" s="113"/>
      <c r="H683" s="53">
        <f t="shared" si="1"/>
        <v>0</v>
      </c>
      <c r="I683" s="115"/>
      <c r="J683" s="115"/>
      <c r="K683" s="60">
        <f t="shared" si="2"/>
        <v>0</v>
      </c>
      <c r="L683" s="117"/>
    </row>
    <row r="684" ht="15.75" customHeight="1">
      <c r="A684" s="9"/>
      <c r="B684" s="164"/>
      <c r="C684" s="110"/>
      <c r="D684" s="110"/>
      <c r="E684" s="111"/>
      <c r="F684" s="112"/>
      <c r="G684" s="113"/>
      <c r="H684" s="53">
        <f t="shared" si="1"/>
        <v>0</v>
      </c>
      <c r="I684" s="115"/>
      <c r="J684" s="115"/>
      <c r="K684" s="60">
        <f t="shared" si="2"/>
        <v>0</v>
      </c>
      <c r="L684" s="117"/>
    </row>
    <row r="685" ht="15.75" customHeight="1">
      <c r="A685" s="9"/>
      <c r="B685" s="164"/>
      <c r="C685" s="110"/>
      <c r="D685" s="110"/>
      <c r="E685" s="111"/>
      <c r="F685" s="112"/>
      <c r="G685" s="113"/>
      <c r="H685" s="53">
        <f t="shared" si="1"/>
        <v>0</v>
      </c>
      <c r="I685" s="115"/>
      <c r="J685" s="115"/>
      <c r="K685" s="60">
        <f t="shared" si="2"/>
        <v>0</v>
      </c>
      <c r="L685" s="117"/>
    </row>
    <row r="686" ht="15.75" customHeight="1">
      <c r="A686" s="9"/>
      <c r="B686" s="164"/>
      <c r="C686" s="110"/>
      <c r="D686" s="110"/>
      <c r="E686" s="111"/>
      <c r="F686" s="112"/>
      <c r="G686" s="113"/>
      <c r="H686" s="53">
        <f t="shared" si="1"/>
        <v>0</v>
      </c>
      <c r="I686" s="115"/>
      <c r="J686" s="115"/>
      <c r="K686" s="60">
        <f t="shared" si="2"/>
        <v>0</v>
      </c>
      <c r="L686" s="117"/>
    </row>
    <row r="687" ht="15.75" customHeight="1">
      <c r="A687" s="9"/>
      <c r="B687" s="164"/>
      <c r="C687" s="110"/>
      <c r="D687" s="110"/>
      <c r="E687" s="111"/>
      <c r="F687" s="112"/>
      <c r="G687" s="113"/>
      <c r="H687" s="53">
        <f t="shared" si="1"/>
        <v>0</v>
      </c>
      <c r="I687" s="115"/>
      <c r="J687" s="115"/>
      <c r="K687" s="60">
        <f t="shared" si="2"/>
        <v>0</v>
      </c>
      <c r="L687" s="117"/>
    </row>
    <row r="688" ht="15.75" customHeight="1">
      <c r="A688" s="9"/>
      <c r="B688" s="164"/>
      <c r="C688" s="110"/>
      <c r="D688" s="110"/>
      <c r="E688" s="111"/>
      <c r="F688" s="112"/>
      <c r="G688" s="113"/>
      <c r="H688" s="53">
        <f t="shared" si="1"/>
        <v>0</v>
      </c>
      <c r="I688" s="115"/>
      <c r="J688" s="115"/>
      <c r="K688" s="60">
        <f t="shared" si="2"/>
        <v>0</v>
      </c>
      <c r="L688" s="117"/>
    </row>
    <row r="689" ht="15.75" customHeight="1">
      <c r="A689" s="9"/>
      <c r="B689" s="164"/>
      <c r="C689" s="110"/>
      <c r="D689" s="110"/>
      <c r="E689" s="111"/>
      <c r="F689" s="112"/>
      <c r="G689" s="113"/>
      <c r="H689" s="53">
        <f t="shared" si="1"/>
        <v>0</v>
      </c>
      <c r="I689" s="115"/>
      <c r="J689" s="115"/>
      <c r="K689" s="60">
        <f t="shared" si="2"/>
        <v>0</v>
      </c>
      <c r="L689" s="117"/>
    </row>
    <row r="690" ht="15.75" customHeight="1">
      <c r="A690" s="9"/>
      <c r="B690" s="164"/>
      <c r="C690" s="110"/>
      <c r="D690" s="110"/>
      <c r="E690" s="111"/>
      <c r="F690" s="112"/>
      <c r="G690" s="113"/>
      <c r="H690" s="53">
        <f t="shared" si="1"/>
        <v>0</v>
      </c>
      <c r="I690" s="115"/>
      <c r="J690" s="115"/>
      <c r="K690" s="60">
        <f t="shared" si="2"/>
        <v>0</v>
      </c>
      <c r="L690" s="117"/>
    </row>
    <row r="691" ht="15.75" customHeight="1">
      <c r="A691" s="9"/>
      <c r="B691" s="164"/>
      <c r="C691" s="110"/>
      <c r="D691" s="110"/>
      <c r="E691" s="111"/>
      <c r="F691" s="112"/>
      <c r="G691" s="113"/>
      <c r="H691" s="53">
        <f t="shared" si="1"/>
        <v>0</v>
      </c>
      <c r="I691" s="115"/>
      <c r="J691" s="115"/>
      <c r="K691" s="60">
        <f t="shared" si="2"/>
        <v>0</v>
      </c>
      <c r="L691" s="117"/>
    </row>
    <row r="692" ht="15.75" customHeight="1">
      <c r="A692" s="9"/>
      <c r="B692" s="164"/>
      <c r="C692" s="110"/>
      <c r="D692" s="110"/>
      <c r="E692" s="111"/>
      <c r="F692" s="112"/>
      <c r="G692" s="113"/>
      <c r="H692" s="53">
        <f t="shared" si="1"/>
        <v>0</v>
      </c>
      <c r="I692" s="115"/>
      <c r="J692" s="115"/>
      <c r="K692" s="60">
        <f t="shared" si="2"/>
        <v>0</v>
      </c>
      <c r="L692" s="117"/>
    </row>
    <row r="693" ht="15.75" customHeight="1">
      <c r="A693" s="9"/>
      <c r="B693" s="164"/>
      <c r="C693" s="110"/>
      <c r="D693" s="110"/>
      <c r="E693" s="111"/>
      <c r="F693" s="112"/>
      <c r="G693" s="113"/>
      <c r="H693" s="53">
        <f t="shared" si="1"/>
        <v>0</v>
      </c>
      <c r="I693" s="115"/>
      <c r="J693" s="115"/>
      <c r="K693" s="60">
        <f t="shared" si="2"/>
        <v>0</v>
      </c>
      <c r="L693" s="117"/>
    </row>
    <row r="694" ht="15.75" customHeight="1">
      <c r="A694" s="9"/>
      <c r="B694" s="164"/>
      <c r="C694" s="110"/>
      <c r="D694" s="110"/>
      <c r="E694" s="111"/>
      <c r="F694" s="112"/>
      <c r="G694" s="113"/>
      <c r="H694" s="53">
        <f t="shared" si="1"/>
        <v>0</v>
      </c>
      <c r="I694" s="115"/>
      <c r="J694" s="115"/>
      <c r="K694" s="60">
        <f t="shared" si="2"/>
        <v>0</v>
      </c>
      <c r="L694" s="117"/>
    </row>
    <row r="695" ht="15.75" customHeight="1">
      <c r="A695" s="9"/>
      <c r="B695" s="164"/>
      <c r="C695" s="110"/>
      <c r="D695" s="110"/>
      <c r="E695" s="111"/>
      <c r="F695" s="112"/>
      <c r="G695" s="113"/>
      <c r="H695" s="53">
        <f t="shared" si="1"/>
        <v>0</v>
      </c>
      <c r="I695" s="115"/>
      <c r="J695" s="115"/>
      <c r="K695" s="60">
        <f t="shared" si="2"/>
        <v>0</v>
      </c>
      <c r="L695" s="117"/>
    </row>
    <row r="696" ht="15.75" customHeight="1">
      <c r="A696" s="9"/>
      <c r="B696" s="164"/>
      <c r="C696" s="110"/>
      <c r="D696" s="110"/>
      <c r="E696" s="111"/>
      <c r="F696" s="112"/>
      <c r="G696" s="113"/>
      <c r="H696" s="53">
        <f t="shared" si="1"/>
        <v>0</v>
      </c>
      <c r="I696" s="115"/>
      <c r="J696" s="115"/>
      <c r="K696" s="60">
        <f t="shared" si="2"/>
        <v>0</v>
      </c>
      <c r="L696" s="117"/>
    </row>
    <row r="697" ht="15.75" customHeight="1">
      <c r="A697" s="9"/>
      <c r="B697" s="164"/>
      <c r="C697" s="110"/>
      <c r="D697" s="110"/>
      <c r="E697" s="111"/>
      <c r="F697" s="112"/>
      <c r="G697" s="113"/>
      <c r="H697" s="53">
        <f t="shared" si="1"/>
        <v>0</v>
      </c>
      <c r="I697" s="115"/>
      <c r="J697" s="115"/>
      <c r="K697" s="60">
        <f t="shared" si="2"/>
        <v>0</v>
      </c>
      <c r="L697" s="117"/>
    </row>
    <row r="698" ht="15.75" customHeight="1">
      <c r="A698" s="9"/>
      <c r="B698" s="164"/>
      <c r="C698" s="110"/>
      <c r="D698" s="110"/>
      <c r="E698" s="111"/>
      <c r="F698" s="112"/>
      <c r="G698" s="113"/>
      <c r="H698" s="53">
        <f t="shared" si="1"/>
        <v>0</v>
      </c>
      <c r="I698" s="115"/>
      <c r="J698" s="115"/>
      <c r="K698" s="60">
        <f t="shared" si="2"/>
        <v>0</v>
      </c>
      <c r="L698" s="117"/>
    </row>
    <row r="699" ht="15.75" customHeight="1">
      <c r="A699" s="9"/>
      <c r="B699" s="164"/>
      <c r="C699" s="110"/>
      <c r="D699" s="110"/>
      <c r="E699" s="111"/>
      <c r="F699" s="112"/>
      <c r="G699" s="113"/>
      <c r="H699" s="53">
        <f t="shared" si="1"/>
        <v>0</v>
      </c>
      <c r="I699" s="115"/>
      <c r="J699" s="115"/>
      <c r="K699" s="60">
        <f t="shared" si="2"/>
        <v>0</v>
      </c>
      <c r="L699" s="117"/>
    </row>
    <row r="700" ht="15.75" customHeight="1">
      <c r="A700" s="9"/>
      <c r="B700" s="164"/>
      <c r="C700" s="110"/>
      <c r="D700" s="110"/>
      <c r="E700" s="111"/>
      <c r="F700" s="112"/>
      <c r="G700" s="113"/>
      <c r="H700" s="53">
        <f t="shared" si="1"/>
        <v>0</v>
      </c>
      <c r="I700" s="115"/>
      <c r="J700" s="115"/>
      <c r="K700" s="60">
        <f t="shared" si="2"/>
        <v>0</v>
      </c>
      <c r="L700" s="117"/>
    </row>
    <row r="701" ht="15.75" customHeight="1">
      <c r="A701" s="9"/>
      <c r="B701" s="164"/>
      <c r="C701" s="110"/>
      <c r="D701" s="110"/>
      <c r="E701" s="111"/>
      <c r="F701" s="112"/>
      <c r="G701" s="113"/>
      <c r="H701" s="53">
        <f t="shared" si="1"/>
        <v>0</v>
      </c>
      <c r="I701" s="115"/>
      <c r="J701" s="115"/>
      <c r="K701" s="60">
        <f t="shared" si="2"/>
        <v>0</v>
      </c>
      <c r="L701" s="117"/>
    </row>
    <row r="702" ht="15.75" customHeight="1">
      <c r="A702" s="9"/>
      <c r="B702" s="164"/>
      <c r="C702" s="110"/>
      <c r="D702" s="110"/>
      <c r="E702" s="111"/>
      <c r="F702" s="112"/>
      <c r="G702" s="113"/>
      <c r="H702" s="53">
        <f t="shared" si="1"/>
        <v>0</v>
      </c>
      <c r="I702" s="115"/>
      <c r="J702" s="115"/>
      <c r="K702" s="60">
        <f t="shared" si="2"/>
        <v>0</v>
      </c>
      <c r="L702" s="117"/>
    </row>
    <row r="703" ht="15.75" customHeight="1">
      <c r="A703" s="9"/>
      <c r="B703" s="164"/>
      <c r="C703" s="110"/>
      <c r="D703" s="110"/>
      <c r="E703" s="111"/>
      <c r="F703" s="112"/>
      <c r="G703" s="113"/>
      <c r="H703" s="53">
        <f t="shared" si="1"/>
        <v>0</v>
      </c>
      <c r="I703" s="115"/>
      <c r="J703" s="115"/>
      <c r="K703" s="60">
        <f t="shared" si="2"/>
        <v>0</v>
      </c>
      <c r="L703" s="117"/>
    </row>
    <row r="704" ht="15.75" customHeight="1">
      <c r="A704" s="9"/>
      <c r="B704" s="164"/>
      <c r="C704" s="110"/>
      <c r="D704" s="110"/>
      <c r="E704" s="111"/>
      <c r="F704" s="112"/>
      <c r="G704" s="113"/>
      <c r="H704" s="53">
        <f t="shared" si="1"/>
        <v>0</v>
      </c>
      <c r="I704" s="115"/>
      <c r="J704" s="115"/>
      <c r="K704" s="60">
        <f t="shared" si="2"/>
        <v>0</v>
      </c>
      <c r="L704" s="117"/>
    </row>
    <row r="705" ht="15.75" customHeight="1">
      <c r="A705" s="9"/>
      <c r="B705" s="164"/>
      <c r="C705" s="110"/>
      <c r="D705" s="110"/>
      <c r="E705" s="111"/>
      <c r="F705" s="112"/>
      <c r="G705" s="113"/>
      <c r="H705" s="53">
        <f t="shared" si="1"/>
        <v>0</v>
      </c>
      <c r="I705" s="115"/>
      <c r="J705" s="115"/>
      <c r="K705" s="60">
        <f t="shared" si="2"/>
        <v>0</v>
      </c>
      <c r="L705" s="117"/>
    </row>
    <row r="706" ht="15.75" customHeight="1">
      <c r="A706" s="9"/>
      <c r="B706" s="164"/>
      <c r="C706" s="110"/>
      <c r="D706" s="110"/>
      <c r="E706" s="111"/>
      <c r="F706" s="112"/>
      <c r="G706" s="113"/>
      <c r="H706" s="53">
        <f t="shared" si="1"/>
        <v>0</v>
      </c>
      <c r="I706" s="115"/>
      <c r="J706" s="115"/>
      <c r="K706" s="60">
        <f t="shared" si="2"/>
        <v>0</v>
      </c>
      <c r="L706" s="117"/>
    </row>
    <row r="707" ht="15.75" customHeight="1">
      <c r="A707" s="9"/>
      <c r="B707" s="164"/>
      <c r="C707" s="110"/>
      <c r="D707" s="110"/>
      <c r="E707" s="111"/>
      <c r="F707" s="112"/>
      <c r="G707" s="113"/>
      <c r="H707" s="53">
        <f t="shared" si="1"/>
        <v>0</v>
      </c>
      <c r="I707" s="115"/>
      <c r="J707" s="115"/>
      <c r="K707" s="60">
        <f t="shared" si="2"/>
        <v>0</v>
      </c>
      <c r="L707" s="117"/>
    </row>
    <row r="708" ht="15.75" customHeight="1">
      <c r="A708" s="9"/>
      <c r="B708" s="164"/>
      <c r="C708" s="110"/>
      <c r="D708" s="110"/>
      <c r="E708" s="111"/>
      <c r="F708" s="112"/>
      <c r="G708" s="113"/>
      <c r="H708" s="53">
        <f t="shared" si="1"/>
        <v>0</v>
      </c>
      <c r="I708" s="115"/>
      <c r="J708" s="115"/>
      <c r="K708" s="60">
        <f t="shared" si="2"/>
        <v>0</v>
      </c>
      <c r="L708" s="117"/>
    </row>
    <row r="709" ht="15.75" customHeight="1">
      <c r="A709" s="9"/>
      <c r="B709" s="164"/>
      <c r="C709" s="110"/>
      <c r="D709" s="110"/>
      <c r="E709" s="111"/>
      <c r="F709" s="112"/>
      <c r="G709" s="113"/>
      <c r="H709" s="53">
        <f t="shared" si="1"/>
        <v>0</v>
      </c>
      <c r="I709" s="115"/>
      <c r="J709" s="115"/>
      <c r="K709" s="60">
        <f t="shared" si="2"/>
        <v>0</v>
      </c>
      <c r="L709" s="117"/>
    </row>
    <row r="710" ht="15.75" customHeight="1">
      <c r="A710" s="9"/>
      <c r="B710" s="164"/>
      <c r="C710" s="110"/>
      <c r="D710" s="110"/>
      <c r="E710" s="111"/>
      <c r="F710" s="112"/>
      <c r="G710" s="113"/>
      <c r="H710" s="53">
        <f t="shared" si="1"/>
        <v>0</v>
      </c>
      <c r="I710" s="115"/>
      <c r="J710" s="115"/>
      <c r="K710" s="60">
        <f t="shared" si="2"/>
        <v>0</v>
      </c>
      <c r="L710" s="117"/>
    </row>
    <row r="711" ht="15.75" customHeight="1">
      <c r="A711" s="9"/>
      <c r="B711" s="164"/>
      <c r="C711" s="110"/>
      <c r="D711" s="110"/>
      <c r="E711" s="111"/>
      <c r="F711" s="112"/>
      <c r="G711" s="113"/>
      <c r="H711" s="53">
        <f t="shared" si="1"/>
        <v>0</v>
      </c>
      <c r="I711" s="115"/>
      <c r="J711" s="115"/>
      <c r="K711" s="60">
        <f t="shared" si="2"/>
        <v>0</v>
      </c>
      <c r="L711" s="117"/>
    </row>
    <row r="712" ht="15.75" customHeight="1">
      <c r="A712" s="9"/>
      <c r="B712" s="164"/>
      <c r="C712" s="110"/>
      <c r="D712" s="110"/>
      <c r="E712" s="111"/>
      <c r="F712" s="112"/>
      <c r="G712" s="113"/>
      <c r="H712" s="53">
        <f t="shared" si="1"/>
        <v>0</v>
      </c>
      <c r="I712" s="115"/>
      <c r="J712" s="115"/>
      <c r="K712" s="60">
        <f t="shared" si="2"/>
        <v>0</v>
      </c>
      <c r="L712" s="117"/>
    </row>
    <row r="713" ht="15.75" customHeight="1">
      <c r="A713" s="9"/>
      <c r="B713" s="164"/>
      <c r="C713" s="110"/>
      <c r="D713" s="110"/>
      <c r="E713" s="111"/>
      <c r="F713" s="112"/>
      <c r="G713" s="113"/>
      <c r="H713" s="53">
        <f t="shared" si="1"/>
        <v>0</v>
      </c>
      <c r="I713" s="115"/>
      <c r="J713" s="115"/>
      <c r="K713" s="60">
        <f t="shared" si="2"/>
        <v>0</v>
      </c>
      <c r="L713" s="117"/>
    </row>
    <row r="714" ht="15.75" customHeight="1">
      <c r="A714" s="9"/>
      <c r="B714" s="164"/>
      <c r="C714" s="110"/>
      <c r="D714" s="110"/>
      <c r="E714" s="111"/>
      <c r="F714" s="112"/>
      <c r="G714" s="113"/>
      <c r="H714" s="53">
        <f t="shared" si="1"/>
        <v>0</v>
      </c>
      <c r="I714" s="115"/>
      <c r="J714" s="115"/>
      <c r="K714" s="60">
        <f t="shared" si="2"/>
        <v>0</v>
      </c>
      <c r="L714" s="117"/>
    </row>
    <row r="715" ht="15.75" customHeight="1">
      <c r="A715" s="9"/>
      <c r="B715" s="164"/>
      <c r="C715" s="110"/>
      <c r="D715" s="110"/>
      <c r="E715" s="111"/>
      <c r="F715" s="112"/>
      <c r="G715" s="113"/>
      <c r="H715" s="53">
        <f t="shared" si="1"/>
        <v>0</v>
      </c>
      <c r="I715" s="115"/>
      <c r="J715" s="115"/>
      <c r="K715" s="60">
        <f t="shared" si="2"/>
        <v>0</v>
      </c>
      <c r="L715" s="117"/>
    </row>
    <row r="716" ht="15.75" customHeight="1">
      <c r="A716" s="9"/>
      <c r="B716" s="164"/>
      <c r="C716" s="110"/>
      <c r="D716" s="110"/>
      <c r="E716" s="111"/>
      <c r="F716" s="112"/>
      <c r="G716" s="113"/>
      <c r="H716" s="53">
        <f t="shared" si="1"/>
        <v>0</v>
      </c>
      <c r="I716" s="115"/>
      <c r="J716" s="115"/>
      <c r="K716" s="60">
        <f t="shared" si="2"/>
        <v>0</v>
      </c>
      <c r="L716" s="117"/>
    </row>
    <row r="717" ht="15.75" customHeight="1">
      <c r="A717" s="9"/>
      <c r="B717" s="164"/>
      <c r="C717" s="110"/>
      <c r="D717" s="110"/>
      <c r="E717" s="111"/>
      <c r="F717" s="112"/>
      <c r="G717" s="113"/>
      <c r="H717" s="53">
        <f t="shared" si="1"/>
        <v>0</v>
      </c>
      <c r="I717" s="115"/>
      <c r="J717" s="115"/>
      <c r="K717" s="60">
        <f t="shared" si="2"/>
        <v>0</v>
      </c>
      <c r="L717" s="117"/>
    </row>
    <row r="718" ht="15.75" customHeight="1">
      <c r="A718" s="9"/>
      <c r="B718" s="164"/>
      <c r="C718" s="110"/>
      <c r="D718" s="110"/>
      <c r="E718" s="111"/>
      <c r="F718" s="112"/>
      <c r="G718" s="113"/>
      <c r="H718" s="53">
        <f t="shared" si="1"/>
        <v>0</v>
      </c>
      <c r="I718" s="115"/>
      <c r="J718" s="115"/>
      <c r="K718" s="60">
        <f t="shared" si="2"/>
        <v>0</v>
      </c>
      <c r="L718" s="117"/>
    </row>
    <row r="719" ht="15.75" customHeight="1">
      <c r="A719" s="9"/>
      <c r="B719" s="164"/>
      <c r="C719" s="110"/>
      <c r="D719" s="110"/>
      <c r="E719" s="111"/>
      <c r="F719" s="112"/>
      <c r="G719" s="113"/>
      <c r="H719" s="53">
        <f t="shared" si="1"/>
        <v>0</v>
      </c>
      <c r="I719" s="115"/>
      <c r="J719" s="115"/>
      <c r="K719" s="60">
        <f t="shared" si="2"/>
        <v>0</v>
      </c>
      <c r="L719" s="117"/>
    </row>
    <row r="720" ht="15.75" customHeight="1">
      <c r="A720" s="9"/>
      <c r="B720" s="164"/>
      <c r="C720" s="110"/>
      <c r="D720" s="110"/>
      <c r="E720" s="111"/>
      <c r="F720" s="112"/>
      <c r="G720" s="113"/>
      <c r="H720" s="53">
        <f t="shared" si="1"/>
        <v>0</v>
      </c>
      <c r="I720" s="115"/>
      <c r="J720" s="115"/>
      <c r="K720" s="60">
        <f t="shared" si="2"/>
        <v>0</v>
      </c>
      <c r="L720" s="117"/>
    </row>
    <row r="721" ht="15.75" customHeight="1">
      <c r="A721" s="9"/>
      <c r="B721" s="164"/>
      <c r="C721" s="110"/>
      <c r="D721" s="110"/>
      <c r="E721" s="111"/>
      <c r="F721" s="112"/>
      <c r="G721" s="113"/>
      <c r="H721" s="53">
        <f t="shared" si="1"/>
        <v>0</v>
      </c>
      <c r="I721" s="115"/>
      <c r="J721" s="115"/>
      <c r="K721" s="60">
        <f t="shared" si="2"/>
        <v>0</v>
      </c>
      <c r="L721" s="117"/>
    </row>
    <row r="722" ht="15.75" customHeight="1">
      <c r="A722" s="9"/>
      <c r="B722" s="164"/>
      <c r="C722" s="110"/>
      <c r="D722" s="110"/>
      <c r="E722" s="111"/>
      <c r="F722" s="112"/>
      <c r="G722" s="113"/>
      <c r="H722" s="53">
        <f t="shared" si="1"/>
        <v>0</v>
      </c>
      <c r="I722" s="115"/>
      <c r="J722" s="115"/>
      <c r="K722" s="60">
        <f t="shared" si="2"/>
        <v>0</v>
      </c>
      <c r="L722" s="117"/>
    </row>
    <row r="723" ht="15.75" customHeight="1">
      <c r="A723" s="9"/>
      <c r="B723" s="164"/>
      <c r="C723" s="110"/>
      <c r="D723" s="110"/>
      <c r="E723" s="111"/>
      <c r="F723" s="112"/>
      <c r="G723" s="113"/>
      <c r="H723" s="53">
        <f t="shared" si="1"/>
        <v>0</v>
      </c>
      <c r="I723" s="115"/>
      <c r="J723" s="115"/>
      <c r="K723" s="60">
        <f t="shared" si="2"/>
        <v>0</v>
      </c>
      <c r="L723" s="117"/>
    </row>
    <row r="724" ht="15.75" customHeight="1">
      <c r="A724" s="9"/>
      <c r="B724" s="164"/>
      <c r="C724" s="110"/>
      <c r="D724" s="110"/>
      <c r="E724" s="111"/>
      <c r="F724" s="112"/>
      <c r="G724" s="113"/>
      <c r="H724" s="53">
        <f t="shared" si="1"/>
        <v>0</v>
      </c>
      <c r="I724" s="115"/>
      <c r="J724" s="115"/>
      <c r="K724" s="60">
        <f t="shared" si="2"/>
        <v>0</v>
      </c>
      <c r="L724" s="117"/>
    </row>
    <row r="725" ht="15.75" customHeight="1">
      <c r="A725" s="9"/>
      <c r="B725" s="164"/>
      <c r="C725" s="110"/>
      <c r="D725" s="110"/>
      <c r="E725" s="111"/>
      <c r="F725" s="112"/>
      <c r="G725" s="113"/>
      <c r="H725" s="53">
        <f t="shared" si="1"/>
        <v>0</v>
      </c>
      <c r="I725" s="115"/>
      <c r="J725" s="115"/>
      <c r="K725" s="60">
        <f t="shared" si="2"/>
        <v>0</v>
      </c>
      <c r="L725" s="117"/>
    </row>
    <row r="726" ht="15.75" customHeight="1">
      <c r="A726" s="9"/>
      <c r="B726" s="164"/>
      <c r="C726" s="110"/>
      <c r="D726" s="110"/>
      <c r="E726" s="111"/>
      <c r="F726" s="112"/>
      <c r="G726" s="113"/>
      <c r="H726" s="53">
        <f t="shared" si="1"/>
        <v>0</v>
      </c>
      <c r="I726" s="115"/>
      <c r="J726" s="115"/>
      <c r="K726" s="60">
        <f t="shared" si="2"/>
        <v>0</v>
      </c>
      <c r="L726" s="117"/>
    </row>
    <row r="727" ht="15.75" customHeight="1">
      <c r="A727" s="9"/>
      <c r="B727" s="164"/>
      <c r="C727" s="110"/>
      <c r="D727" s="110"/>
      <c r="E727" s="111"/>
      <c r="F727" s="112"/>
      <c r="G727" s="113"/>
      <c r="H727" s="53">
        <f t="shared" si="1"/>
        <v>0</v>
      </c>
      <c r="I727" s="115"/>
      <c r="J727" s="115"/>
      <c r="K727" s="60">
        <f t="shared" si="2"/>
        <v>0</v>
      </c>
      <c r="L727" s="117"/>
    </row>
    <row r="728" ht="15.75" customHeight="1">
      <c r="A728" s="9"/>
      <c r="B728" s="164"/>
      <c r="C728" s="110"/>
      <c r="D728" s="110"/>
      <c r="E728" s="111"/>
      <c r="F728" s="112"/>
      <c r="G728" s="113"/>
      <c r="H728" s="53">
        <f t="shared" si="1"/>
        <v>0</v>
      </c>
      <c r="I728" s="115"/>
      <c r="J728" s="115"/>
      <c r="K728" s="60">
        <f t="shared" si="2"/>
        <v>0</v>
      </c>
      <c r="L728" s="117"/>
    </row>
    <row r="729" ht="15.75" customHeight="1">
      <c r="A729" s="9"/>
      <c r="B729" s="164"/>
      <c r="C729" s="110"/>
      <c r="D729" s="110"/>
      <c r="E729" s="111"/>
      <c r="F729" s="112"/>
      <c r="G729" s="113"/>
      <c r="H729" s="53">
        <f t="shared" si="1"/>
        <v>0</v>
      </c>
      <c r="I729" s="115"/>
      <c r="J729" s="115"/>
      <c r="K729" s="60">
        <f t="shared" si="2"/>
        <v>0</v>
      </c>
      <c r="L729" s="117"/>
    </row>
    <row r="730" ht="15.75" customHeight="1">
      <c r="A730" s="9"/>
      <c r="B730" s="164"/>
      <c r="C730" s="110"/>
      <c r="D730" s="110"/>
      <c r="E730" s="111"/>
      <c r="F730" s="112"/>
      <c r="G730" s="113"/>
      <c r="H730" s="53">
        <f t="shared" si="1"/>
        <v>0</v>
      </c>
      <c r="I730" s="115"/>
      <c r="J730" s="115"/>
      <c r="K730" s="60">
        <f t="shared" si="2"/>
        <v>0</v>
      </c>
      <c r="L730" s="117"/>
    </row>
    <row r="731" ht="15.75" customHeight="1">
      <c r="A731" s="9"/>
      <c r="B731" s="164"/>
      <c r="C731" s="110"/>
      <c r="D731" s="110"/>
      <c r="E731" s="111"/>
      <c r="F731" s="112"/>
      <c r="G731" s="113"/>
      <c r="H731" s="53">
        <f t="shared" si="1"/>
        <v>0</v>
      </c>
      <c r="I731" s="115"/>
      <c r="J731" s="115"/>
      <c r="K731" s="60">
        <f t="shared" si="2"/>
        <v>0</v>
      </c>
      <c r="L731" s="117"/>
    </row>
    <row r="732" ht="15.75" customHeight="1">
      <c r="A732" s="9"/>
      <c r="B732" s="164"/>
      <c r="C732" s="110"/>
      <c r="D732" s="110"/>
      <c r="E732" s="111"/>
      <c r="F732" s="112"/>
      <c r="G732" s="113"/>
      <c r="H732" s="53">
        <f t="shared" si="1"/>
        <v>0</v>
      </c>
      <c r="I732" s="115"/>
      <c r="J732" s="115"/>
      <c r="K732" s="60">
        <f t="shared" si="2"/>
        <v>0</v>
      </c>
      <c r="L732" s="117"/>
    </row>
    <row r="733" ht="15.75" customHeight="1">
      <c r="A733" s="9"/>
      <c r="B733" s="164"/>
      <c r="C733" s="110"/>
      <c r="D733" s="110"/>
      <c r="E733" s="111"/>
      <c r="F733" s="112"/>
      <c r="G733" s="113"/>
      <c r="H733" s="53">
        <f t="shared" si="1"/>
        <v>0</v>
      </c>
      <c r="I733" s="115"/>
      <c r="J733" s="115"/>
      <c r="K733" s="60">
        <f t="shared" si="2"/>
        <v>0</v>
      </c>
      <c r="L733" s="117"/>
    </row>
    <row r="734" ht="15.75" customHeight="1">
      <c r="A734" s="9"/>
      <c r="B734" s="164"/>
      <c r="C734" s="110"/>
      <c r="D734" s="110"/>
      <c r="E734" s="111"/>
      <c r="F734" s="112"/>
      <c r="G734" s="113"/>
      <c r="H734" s="53">
        <f t="shared" si="1"/>
        <v>0</v>
      </c>
      <c r="I734" s="115"/>
      <c r="J734" s="115"/>
      <c r="K734" s="60">
        <f t="shared" si="2"/>
        <v>0</v>
      </c>
      <c r="L734" s="117"/>
    </row>
    <row r="735" ht="15.75" customHeight="1">
      <c r="A735" s="9"/>
      <c r="B735" s="164"/>
      <c r="C735" s="110"/>
      <c r="D735" s="110"/>
      <c r="E735" s="111"/>
      <c r="F735" s="112"/>
      <c r="G735" s="113"/>
      <c r="H735" s="53">
        <f t="shared" si="1"/>
        <v>0</v>
      </c>
      <c r="I735" s="115"/>
      <c r="J735" s="115"/>
      <c r="K735" s="60">
        <f t="shared" si="2"/>
        <v>0</v>
      </c>
      <c r="L735" s="117"/>
    </row>
    <row r="736" ht="15.75" customHeight="1">
      <c r="A736" s="9"/>
      <c r="B736" s="164"/>
      <c r="C736" s="110"/>
      <c r="D736" s="110"/>
      <c r="E736" s="111"/>
      <c r="F736" s="112"/>
      <c r="G736" s="113"/>
      <c r="H736" s="53">
        <f t="shared" si="1"/>
        <v>0</v>
      </c>
      <c r="I736" s="115"/>
      <c r="J736" s="115"/>
      <c r="K736" s="60">
        <f t="shared" si="2"/>
        <v>0</v>
      </c>
      <c r="L736" s="117"/>
    </row>
    <row r="737" ht="15.75" customHeight="1">
      <c r="A737" s="9"/>
      <c r="B737" s="164"/>
      <c r="C737" s="110"/>
      <c r="D737" s="110"/>
      <c r="E737" s="111"/>
      <c r="F737" s="112"/>
      <c r="G737" s="113"/>
      <c r="H737" s="53">
        <f t="shared" si="1"/>
        <v>0</v>
      </c>
      <c r="I737" s="115"/>
      <c r="J737" s="115"/>
      <c r="K737" s="60">
        <f t="shared" si="2"/>
        <v>0</v>
      </c>
      <c r="L737" s="117"/>
    </row>
    <row r="738" ht="15.75" customHeight="1">
      <c r="A738" s="9"/>
      <c r="B738" s="164"/>
      <c r="C738" s="110"/>
      <c r="D738" s="110"/>
      <c r="E738" s="111"/>
      <c r="F738" s="112"/>
      <c r="G738" s="113"/>
      <c r="H738" s="53">
        <f t="shared" si="1"/>
        <v>0</v>
      </c>
      <c r="I738" s="115"/>
      <c r="J738" s="115"/>
      <c r="K738" s="60">
        <f t="shared" si="2"/>
        <v>0</v>
      </c>
      <c r="L738" s="117"/>
    </row>
    <row r="739" ht="15.75" customHeight="1">
      <c r="A739" s="9"/>
      <c r="B739" s="164"/>
      <c r="C739" s="110"/>
      <c r="D739" s="110"/>
      <c r="E739" s="111"/>
      <c r="F739" s="112"/>
      <c r="G739" s="113"/>
      <c r="H739" s="53">
        <f t="shared" si="1"/>
        <v>0</v>
      </c>
      <c r="I739" s="115"/>
      <c r="J739" s="115"/>
      <c r="K739" s="60">
        <f t="shared" si="2"/>
        <v>0</v>
      </c>
      <c r="L739" s="117"/>
    </row>
    <row r="740" ht="15.75" customHeight="1">
      <c r="A740" s="9"/>
      <c r="B740" s="164"/>
      <c r="C740" s="110"/>
      <c r="D740" s="110"/>
      <c r="E740" s="111"/>
      <c r="F740" s="112"/>
      <c r="G740" s="113"/>
      <c r="H740" s="53">
        <f t="shared" si="1"/>
        <v>0</v>
      </c>
      <c r="I740" s="115"/>
      <c r="J740" s="115"/>
      <c r="K740" s="60">
        <f t="shared" si="2"/>
        <v>0</v>
      </c>
      <c r="L740" s="117"/>
    </row>
    <row r="741" ht="15.75" customHeight="1">
      <c r="A741" s="9"/>
      <c r="B741" s="164"/>
      <c r="C741" s="110"/>
      <c r="D741" s="110"/>
      <c r="E741" s="111"/>
      <c r="F741" s="112"/>
      <c r="G741" s="113"/>
      <c r="H741" s="53">
        <f t="shared" si="1"/>
        <v>0</v>
      </c>
      <c r="I741" s="115"/>
      <c r="J741" s="115"/>
      <c r="K741" s="60">
        <f t="shared" si="2"/>
        <v>0</v>
      </c>
      <c r="L741" s="117"/>
    </row>
    <row r="742" ht="15.75" customHeight="1">
      <c r="A742" s="9"/>
      <c r="B742" s="164"/>
      <c r="C742" s="110"/>
      <c r="D742" s="110"/>
      <c r="E742" s="111"/>
      <c r="F742" s="112"/>
      <c r="G742" s="113"/>
      <c r="H742" s="53">
        <f t="shared" si="1"/>
        <v>0</v>
      </c>
      <c r="I742" s="115"/>
      <c r="J742" s="115"/>
      <c r="K742" s="60">
        <f t="shared" si="2"/>
        <v>0</v>
      </c>
      <c r="L742" s="117"/>
    </row>
    <row r="743" ht="15.75" customHeight="1">
      <c r="A743" s="9"/>
      <c r="B743" s="164"/>
      <c r="C743" s="110"/>
      <c r="D743" s="110"/>
      <c r="E743" s="111"/>
      <c r="F743" s="112"/>
      <c r="G743" s="113"/>
      <c r="H743" s="53">
        <f t="shared" si="1"/>
        <v>0</v>
      </c>
      <c r="I743" s="115"/>
      <c r="J743" s="115"/>
      <c r="K743" s="60">
        <f t="shared" si="2"/>
        <v>0</v>
      </c>
      <c r="L743" s="117"/>
    </row>
    <row r="744" ht="15.75" customHeight="1">
      <c r="A744" s="9"/>
      <c r="B744" s="164"/>
      <c r="C744" s="110"/>
      <c r="D744" s="110"/>
      <c r="E744" s="111"/>
      <c r="F744" s="112"/>
      <c r="G744" s="113"/>
      <c r="H744" s="53">
        <f t="shared" si="1"/>
        <v>0</v>
      </c>
      <c r="I744" s="115"/>
      <c r="J744" s="115"/>
      <c r="K744" s="60">
        <f t="shared" si="2"/>
        <v>0</v>
      </c>
      <c r="L744" s="117"/>
    </row>
    <row r="745" ht="15.75" customHeight="1">
      <c r="A745" s="9"/>
      <c r="B745" s="164"/>
      <c r="C745" s="110"/>
      <c r="D745" s="110"/>
      <c r="E745" s="111"/>
      <c r="F745" s="112"/>
      <c r="G745" s="113"/>
      <c r="H745" s="53">
        <f t="shared" si="1"/>
        <v>0</v>
      </c>
      <c r="I745" s="115"/>
      <c r="J745" s="115"/>
      <c r="K745" s="60">
        <f t="shared" si="2"/>
        <v>0</v>
      </c>
      <c r="L745" s="117"/>
    </row>
    <row r="746" ht="15.75" customHeight="1">
      <c r="A746" s="9"/>
      <c r="B746" s="164"/>
      <c r="C746" s="110"/>
      <c r="D746" s="110"/>
      <c r="E746" s="111"/>
      <c r="F746" s="112"/>
      <c r="G746" s="113"/>
      <c r="H746" s="53">
        <f t="shared" si="1"/>
        <v>0</v>
      </c>
      <c r="I746" s="115"/>
      <c r="J746" s="115"/>
      <c r="K746" s="60">
        <f t="shared" si="2"/>
        <v>0</v>
      </c>
      <c r="L746" s="117"/>
    </row>
    <row r="747" ht="15.75" customHeight="1">
      <c r="A747" s="9"/>
      <c r="B747" s="164"/>
      <c r="C747" s="110"/>
      <c r="D747" s="110"/>
      <c r="E747" s="111"/>
      <c r="F747" s="112"/>
      <c r="G747" s="113"/>
      <c r="H747" s="53">
        <f t="shared" si="1"/>
        <v>0</v>
      </c>
      <c r="I747" s="115"/>
      <c r="J747" s="115"/>
      <c r="K747" s="60">
        <f t="shared" si="2"/>
        <v>0</v>
      </c>
      <c r="L747" s="117"/>
    </row>
    <row r="748" ht="15.75" customHeight="1">
      <c r="A748" s="9"/>
      <c r="B748" s="164"/>
      <c r="C748" s="110"/>
      <c r="D748" s="110"/>
      <c r="E748" s="111"/>
      <c r="F748" s="112"/>
      <c r="G748" s="113"/>
      <c r="H748" s="53">
        <f t="shared" si="1"/>
        <v>0</v>
      </c>
      <c r="I748" s="115"/>
      <c r="J748" s="115"/>
      <c r="K748" s="60">
        <f t="shared" si="2"/>
        <v>0</v>
      </c>
      <c r="L748" s="117"/>
    </row>
    <row r="749" ht="15.75" customHeight="1">
      <c r="A749" s="9"/>
      <c r="B749" s="164"/>
      <c r="C749" s="110"/>
      <c r="D749" s="110"/>
      <c r="E749" s="111"/>
      <c r="F749" s="112"/>
      <c r="G749" s="113"/>
      <c r="H749" s="53">
        <f t="shared" si="1"/>
        <v>0</v>
      </c>
      <c r="I749" s="115"/>
      <c r="J749" s="115"/>
      <c r="K749" s="60">
        <f t="shared" si="2"/>
        <v>0</v>
      </c>
      <c r="L749" s="117"/>
    </row>
    <row r="750" ht="15.75" customHeight="1">
      <c r="A750" s="9"/>
      <c r="B750" s="164"/>
      <c r="C750" s="110"/>
      <c r="D750" s="110"/>
      <c r="E750" s="111"/>
      <c r="F750" s="112"/>
      <c r="G750" s="113"/>
      <c r="H750" s="53">
        <f t="shared" si="1"/>
        <v>0</v>
      </c>
      <c r="I750" s="115"/>
      <c r="J750" s="115"/>
      <c r="K750" s="60">
        <f t="shared" si="2"/>
        <v>0</v>
      </c>
      <c r="L750" s="117"/>
    </row>
    <row r="751" ht="15.75" customHeight="1">
      <c r="A751" s="9"/>
      <c r="B751" s="164"/>
      <c r="C751" s="110"/>
      <c r="D751" s="110"/>
      <c r="E751" s="111"/>
      <c r="F751" s="112"/>
      <c r="G751" s="113"/>
      <c r="H751" s="53">
        <f t="shared" si="1"/>
        <v>0</v>
      </c>
      <c r="I751" s="115"/>
      <c r="J751" s="115"/>
      <c r="K751" s="60">
        <f t="shared" si="2"/>
        <v>0</v>
      </c>
      <c r="L751" s="117"/>
    </row>
    <row r="752" ht="15.75" customHeight="1">
      <c r="A752" s="9"/>
      <c r="B752" s="164"/>
      <c r="C752" s="110"/>
      <c r="D752" s="110"/>
      <c r="E752" s="111"/>
      <c r="F752" s="112"/>
      <c r="G752" s="113"/>
      <c r="H752" s="53">
        <f t="shared" si="1"/>
        <v>0</v>
      </c>
      <c r="I752" s="115"/>
      <c r="J752" s="115"/>
      <c r="K752" s="60">
        <f t="shared" si="2"/>
        <v>0</v>
      </c>
      <c r="L752" s="117"/>
    </row>
    <row r="753" ht="15.75" customHeight="1">
      <c r="A753" s="9"/>
      <c r="B753" s="164"/>
      <c r="C753" s="110"/>
      <c r="D753" s="110"/>
      <c r="E753" s="111"/>
      <c r="F753" s="112"/>
      <c r="G753" s="113"/>
      <c r="H753" s="53">
        <f t="shared" si="1"/>
        <v>0</v>
      </c>
      <c r="I753" s="115"/>
      <c r="J753" s="115"/>
      <c r="K753" s="60">
        <f t="shared" si="2"/>
        <v>0</v>
      </c>
      <c r="L753" s="117"/>
    </row>
    <row r="754" ht="15.75" customHeight="1">
      <c r="A754" s="9"/>
      <c r="B754" s="164"/>
      <c r="C754" s="110"/>
      <c r="D754" s="110"/>
      <c r="E754" s="111"/>
      <c r="F754" s="112"/>
      <c r="G754" s="113"/>
      <c r="H754" s="53">
        <f t="shared" si="1"/>
        <v>0</v>
      </c>
      <c r="I754" s="115"/>
      <c r="J754" s="115"/>
      <c r="K754" s="60">
        <f t="shared" si="2"/>
        <v>0</v>
      </c>
      <c r="L754" s="117"/>
    </row>
    <row r="755" ht="15.75" customHeight="1">
      <c r="A755" s="9"/>
      <c r="B755" s="164"/>
      <c r="C755" s="110"/>
      <c r="D755" s="110"/>
      <c r="E755" s="111"/>
      <c r="F755" s="112"/>
      <c r="G755" s="113"/>
      <c r="H755" s="53">
        <f t="shared" si="1"/>
        <v>0</v>
      </c>
      <c r="I755" s="115"/>
      <c r="J755" s="115"/>
      <c r="K755" s="60">
        <f t="shared" si="2"/>
        <v>0</v>
      </c>
      <c r="L755" s="117"/>
    </row>
    <row r="756" ht="15.75" customHeight="1">
      <c r="A756" s="9"/>
      <c r="B756" s="164"/>
      <c r="C756" s="110"/>
      <c r="D756" s="110"/>
      <c r="E756" s="111"/>
      <c r="F756" s="112"/>
      <c r="G756" s="113"/>
      <c r="H756" s="53">
        <f t="shared" si="1"/>
        <v>0</v>
      </c>
      <c r="I756" s="115"/>
      <c r="J756" s="115"/>
      <c r="K756" s="60">
        <f t="shared" si="2"/>
        <v>0</v>
      </c>
      <c r="L756" s="117"/>
    </row>
    <row r="757" ht="15.75" customHeight="1">
      <c r="A757" s="9"/>
      <c r="B757" s="164"/>
      <c r="C757" s="110"/>
      <c r="D757" s="110"/>
      <c r="E757" s="111"/>
      <c r="F757" s="112"/>
      <c r="G757" s="113"/>
      <c r="H757" s="53">
        <f t="shared" si="1"/>
        <v>0</v>
      </c>
      <c r="I757" s="115"/>
      <c r="J757" s="115"/>
      <c r="K757" s="60">
        <f t="shared" si="2"/>
        <v>0</v>
      </c>
      <c r="L757" s="117"/>
    </row>
    <row r="758" ht="15.75" customHeight="1">
      <c r="A758" s="9"/>
      <c r="B758" s="164"/>
      <c r="C758" s="110"/>
      <c r="D758" s="110"/>
      <c r="E758" s="111"/>
      <c r="F758" s="112"/>
      <c r="G758" s="113"/>
      <c r="H758" s="53">
        <f t="shared" si="1"/>
        <v>0</v>
      </c>
      <c r="I758" s="115"/>
      <c r="J758" s="115"/>
      <c r="K758" s="60">
        <f t="shared" si="2"/>
        <v>0</v>
      </c>
      <c r="L758" s="117"/>
    </row>
    <row r="759" ht="15.75" customHeight="1">
      <c r="A759" s="9"/>
      <c r="B759" s="164"/>
      <c r="C759" s="110"/>
      <c r="D759" s="110"/>
      <c r="E759" s="111"/>
      <c r="F759" s="112"/>
      <c r="G759" s="113"/>
      <c r="H759" s="53">
        <f t="shared" si="1"/>
        <v>0</v>
      </c>
      <c r="I759" s="115"/>
      <c r="J759" s="115"/>
      <c r="K759" s="60">
        <f t="shared" si="2"/>
        <v>0</v>
      </c>
      <c r="L759" s="117"/>
    </row>
    <row r="760" ht="15.75" customHeight="1">
      <c r="A760" s="9"/>
      <c r="B760" s="164"/>
      <c r="C760" s="110"/>
      <c r="D760" s="110"/>
      <c r="E760" s="111"/>
      <c r="F760" s="112"/>
      <c r="G760" s="113"/>
      <c r="H760" s="53">
        <f t="shared" si="1"/>
        <v>0</v>
      </c>
      <c r="I760" s="115"/>
      <c r="J760" s="115"/>
      <c r="K760" s="60">
        <f t="shared" si="2"/>
        <v>0</v>
      </c>
      <c r="L760" s="117"/>
    </row>
    <row r="761" ht="15.75" customHeight="1">
      <c r="A761" s="9"/>
      <c r="B761" s="164"/>
      <c r="C761" s="110"/>
      <c r="D761" s="110"/>
      <c r="E761" s="111"/>
      <c r="F761" s="112"/>
      <c r="G761" s="113"/>
      <c r="H761" s="53">
        <f t="shared" si="1"/>
        <v>0</v>
      </c>
      <c r="I761" s="115"/>
      <c r="J761" s="115"/>
      <c r="K761" s="60">
        <f t="shared" si="2"/>
        <v>0</v>
      </c>
      <c r="L761" s="117"/>
    </row>
    <row r="762" ht="15.75" customHeight="1">
      <c r="A762" s="9"/>
      <c r="B762" s="164"/>
      <c r="C762" s="110"/>
      <c r="D762" s="110"/>
      <c r="E762" s="111"/>
      <c r="F762" s="112"/>
      <c r="G762" s="113"/>
      <c r="H762" s="53">
        <f t="shared" si="1"/>
        <v>0</v>
      </c>
      <c r="I762" s="115"/>
      <c r="J762" s="115"/>
      <c r="K762" s="60">
        <f t="shared" si="2"/>
        <v>0</v>
      </c>
      <c r="L762" s="117"/>
    </row>
    <row r="763" ht="15.75" customHeight="1">
      <c r="A763" s="9"/>
      <c r="B763" s="164"/>
      <c r="C763" s="110"/>
      <c r="D763" s="110"/>
      <c r="E763" s="111"/>
      <c r="F763" s="112"/>
      <c r="G763" s="113"/>
      <c r="H763" s="53">
        <f t="shared" si="1"/>
        <v>0</v>
      </c>
      <c r="I763" s="115"/>
      <c r="J763" s="115"/>
      <c r="K763" s="60">
        <f t="shared" si="2"/>
        <v>0</v>
      </c>
      <c r="L763" s="117"/>
    </row>
    <row r="764" ht="15.75" customHeight="1">
      <c r="A764" s="9"/>
      <c r="B764" s="164"/>
      <c r="C764" s="110"/>
      <c r="D764" s="110"/>
      <c r="E764" s="111"/>
      <c r="F764" s="112"/>
      <c r="G764" s="113"/>
      <c r="H764" s="53">
        <f t="shared" si="1"/>
        <v>0</v>
      </c>
      <c r="I764" s="115"/>
      <c r="J764" s="115"/>
      <c r="K764" s="60">
        <f t="shared" si="2"/>
        <v>0</v>
      </c>
      <c r="L764" s="117"/>
    </row>
    <row r="765" ht="15.75" customHeight="1">
      <c r="A765" s="9"/>
      <c r="B765" s="164"/>
      <c r="C765" s="110"/>
      <c r="D765" s="110"/>
      <c r="E765" s="111"/>
      <c r="F765" s="112"/>
      <c r="G765" s="113"/>
      <c r="H765" s="53">
        <f t="shared" si="1"/>
        <v>0</v>
      </c>
      <c r="I765" s="115"/>
      <c r="J765" s="115"/>
      <c r="K765" s="60">
        <f t="shared" si="2"/>
        <v>0</v>
      </c>
      <c r="L765" s="117"/>
    </row>
    <row r="766" ht="15.75" customHeight="1">
      <c r="A766" s="9"/>
      <c r="B766" s="164"/>
      <c r="C766" s="110"/>
      <c r="D766" s="110"/>
      <c r="E766" s="111"/>
      <c r="F766" s="112"/>
      <c r="G766" s="113"/>
      <c r="H766" s="53">
        <f t="shared" si="1"/>
        <v>0</v>
      </c>
      <c r="I766" s="115"/>
      <c r="J766" s="115"/>
      <c r="K766" s="60">
        <f t="shared" si="2"/>
        <v>0</v>
      </c>
      <c r="L766" s="117"/>
    </row>
    <row r="767" ht="15.75" customHeight="1">
      <c r="A767" s="9"/>
      <c r="B767" s="164"/>
      <c r="C767" s="110"/>
      <c r="D767" s="110"/>
      <c r="E767" s="111"/>
      <c r="F767" s="112"/>
      <c r="G767" s="113"/>
      <c r="H767" s="53">
        <f t="shared" si="1"/>
        <v>0</v>
      </c>
      <c r="I767" s="115"/>
      <c r="J767" s="115"/>
      <c r="K767" s="60">
        <f t="shared" si="2"/>
        <v>0</v>
      </c>
      <c r="L767" s="117"/>
    </row>
    <row r="768" ht="15.75" customHeight="1">
      <c r="A768" s="9"/>
      <c r="B768" s="164"/>
      <c r="C768" s="110"/>
      <c r="D768" s="110"/>
      <c r="E768" s="111"/>
      <c r="F768" s="112"/>
      <c r="G768" s="113"/>
      <c r="H768" s="53">
        <f t="shared" si="1"/>
        <v>0</v>
      </c>
      <c r="I768" s="115"/>
      <c r="J768" s="115"/>
      <c r="K768" s="60">
        <f t="shared" si="2"/>
        <v>0</v>
      </c>
      <c r="L768" s="117"/>
    </row>
    <row r="769" ht="15.75" customHeight="1">
      <c r="A769" s="9"/>
      <c r="B769" s="164"/>
      <c r="C769" s="110"/>
      <c r="D769" s="110"/>
      <c r="E769" s="111"/>
      <c r="F769" s="112"/>
      <c r="G769" s="113"/>
      <c r="H769" s="53">
        <f t="shared" si="1"/>
        <v>0</v>
      </c>
      <c r="I769" s="115"/>
      <c r="J769" s="115"/>
      <c r="K769" s="60">
        <f t="shared" si="2"/>
        <v>0</v>
      </c>
      <c r="L769" s="117"/>
    </row>
    <row r="770" ht="15.75" customHeight="1">
      <c r="A770" s="9"/>
      <c r="B770" s="164"/>
      <c r="C770" s="110"/>
      <c r="D770" s="110"/>
      <c r="E770" s="111"/>
      <c r="F770" s="112"/>
      <c r="G770" s="113"/>
      <c r="H770" s="53">
        <f t="shared" si="1"/>
        <v>0</v>
      </c>
      <c r="I770" s="115"/>
      <c r="J770" s="115"/>
      <c r="K770" s="60">
        <f t="shared" si="2"/>
        <v>0</v>
      </c>
      <c r="L770" s="117"/>
    </row>
    <row r="771" ht="15.75" customHeight="1">
      <c r="A771" s="9"/>
      <c r="B771" s="164"/>
      <c r="C771" s="110"/>
      <c r="D771" s="110"/>
      <c r="E771" s="111"/>
      <c r="F771" s="112"/>
      <c r="G771" s="113"/>
      <c r="H771" s="53">
        <f t="shared" si="1"/>
        <v>0</v>
      </c>
      <c r="I771" s="115"/>
      <c r="J771" s="115"/>
      <c r="K771" s="60">
        <f t="shared" si="2"/>
        <v>0</v>
      </c>
      <c r="L771" s="117"/>
    </row>
    <row r="772" ht="15.75" customHeight="1">
      <c r="A772" s="9"/>
      <c r="B772" s="164"/>
      <c r="C772" s="110"/>
      <c r="D772" s="110"/>
      <c r="E772" s="111"/>
      <c r="F772" s="112"/>
      <c r="G772" s="113"/>
      <c r="H772" s="53">
        <f t="shared" si="1"/>
        <v>0</v>
      </c>
      <c r="I772" s="115"/>
      <c r="J772" s="115"/>
      <c r="K772" s="60">
        <f t="shared" si="2"/>
        <v>0</v>
      </c>
      <c r="L772" s="117"/>
    </row>
    <row r="773" ht="15.75" customHeight="1">
      <c r="A773" s="9"/>
      <c r="B773" s="164"/>
      <c r="C773" s="110"/>
      <c r="D773" s="110"/>
      <c r="E773" s="111"/>
      <c r="F773" s="112"/>
      <c r="G773" s="113"/>
      <c r="H773" s="53">
        <f t="shared" si="1"/>
        <v>0</v>
      </c>
      <c r="I773" s="115"/>
      <c r="J773" s="115"/>
      <c r="K773" s="60">
        <f t="shared" si="2"/>
        <v>0</v>
      </c>
      <c r="L773" s="117"/>
    </row>
    <row r="774" ht="15.75" customHeight="1">
      <c r="A774" s="9"/>
      <c r="B774" s="164"/>
      <c r="C774" s="110"/>
      <c r="D774" s="110"/>
      <c r="E774" s="111"/>
      <c r="F774" s="112"/>
      <c r="G774" s="113"/>
      <c r="H774" s="53">
        <f t="shared" si="1"/>
        <v>0</v>
      </c>
      <c r="I774" s="115"/>
      <c r="J774" s="115"/>
      <c r="K774" s="60">
        <f t="shared" si="2"/>
        <v>0</v>
      </c>
      <c r="L774" s="117"/>
    </row>
    <row r="775" ht="15.75" customHeight="1">
      <c r="A775" s="9"/>
      <c r="B775" s="164"/>
      <c r="C775" s="110"/>
      <c r="D775" s="110"/>
      <c r="E775" s="111"/>
      <c r="F775" s="112"/>
      <c r="G775" s="113"/>
      <c r="H775" s="53">
        <f t="shared" si="1"/>
        <v>0</v>
      </c>
      <c r="I775" s="115"/>
      <c r="J775" s="115"/>
      <c r="K775" s="60">
        <f t="shared" si="2"/>
        <v>0</v>
      </c>
      <c r="L775" s="117"/>
    </row>
    <row r="776" ht="15.75" customHeight="1">
      <c r="A776" s="9"/>
      <c r="B776" s="164"/>
      <c r="C776" s="110"/>
      <c r="D776" s="110"/>
      <c r="E776" s="111"/>
      <c r="F776" s="112"/>
      <c r="G776" s="113"/>
      <c r="H776" s="53">
        <f t="shared" si="1"/>
        <v>0</v>
      </c>
      <c r="I776" s="115"/>
      <c r="J776" s="115"/>
      <c r="K776" s="60">
        <f t="shared" si="2"/>
        <v>0</v>
      </c>
      <c r="L776" s="117"/>
    </row>
    <row r="777" ht="15.75" customHeight="1">
      <c r="A777" s="9"/>
      <c r="B777" s="164"/>
      <c r="C777" s="110"/>
      <c r="D777" s="110"/>
      <c r="E777" s="111"/>
      <c r="F777" s="112"/>
      <c r="G777" s="113"/>
      <c r="H777" s="53">
        <f t="shared" si="1"/>
        <v>0</v>
      </c>
      <c r="I777" s="115"/>
      <c r="J777" s="115"/>
      <c r="K777" s="60">
        <f t="shared" si="2"/>
        <v>0</v>
      </c>
      <c r="L777" s="117"/>
    </row>
    <row r="778" ht="15.75" customHeight="1">
      <c r="A778" s="9"/>
      <c r="B778" s="164"/>
      <c r="C778" s="110"/>
      <c r="D778" s="110"/>
      <c r="E778" s="111"/>
      <c r="F778" s="112"/>
      <c r="G778" s="113"/>
      <c r="H778" s="53">
        <f t="shared" si="1"/>
        <v>0</v>
      </c>
      <c r="I778" s="115"/>
      <c r="J778" s="115"/>
      <c r="K778" s="60">
        <f t="shared" si="2"/>
        <v>0</v>
      </c>
      <c r="L778" s="117"/>
    </row>
    <row r="779" ht="15.75" customHeight="1">
      <c r="A779" s="9"/>
      <c r="B779" s="164"/>
      <c r="C779" s="110"/>
      <c r="D779" s="110"/>
      <c r="E779" s="111"/>
      <c r="F779" s="112"/>
      <c r="G779" s="113"/>
      <c r="H779" s="53">
        <f t="shared" si="1"/>
        <v>0</v>
      </c>
      <c r="I779" s="115"/>
      <c r="J779" s="115"/>
      <c r="K779" s="60">
        <f t="shared" si="2"/>
        <v>0</v>
      </c>
      <c r="L779" s="117"/>
    </row>
    <row r="780" ht="15.75" customHeight="1">
      <c r="A780" s="9"/>
      <c r="B780" s="164"/>
      <c r="C780" s="110"/>
      <c r="D780" s="110"/>
      <c r="E780" s="111"/>
      <c r="F780" s="112"/>
      <c r="G780" s="113"/>
      <c r="H780" s="53">
        <f t="shared" si="1"/>
        <v>0</v>
      </c>
      <c r="I780" s="115"/>
      <c r="J780" s="115"/>
      <c r="K780" s="60">
        <f t="shared" si="2"/>
        <v>0</v>
      </c>
      <c r="L780" s="117"/>
    </row>
    <row r="781" ht="15.75" customHeight="1">
      <c r="A781" s="9"/>
      <c r="B781" s="164"/>
      <c r="C781" s="110"/>
      <c r="D781" s="110"/>
      <c r="E781" s="111"/>
      <c r="F781" s="112"/>
      <c r="G781" s="113"/>
      <c r="H781" s="53">
        <f t="shared" si="1"/>
        <v>0</v>
      </c>
      <c r="I781" s="115"/>
      <c r="J781" s="115"/>
      <c r="K781" s="60">
        <f t="shared" si="2"/>
        <v>0</v>
      </c>
      <c r="L781" s="117"/>
    </row>
    <row r="782" ht="15.75" customHeight="1">
      <c r="A782" s="9"/>
      <c r="B782" s="164"/>
      <c r="C782" s="110"/>
      <c r="D782" s="110"/>
      <c r="E782" s="111"/>
      <c r="F782" s="112"/>
      <c r="G782" s="113"/>
      <c r="H782" s="53">
        <f t="shared" si="1"/>
        <v>0</v>
      </c>
      <c r="I782" s="115"/>
      <c r="J782" s="115"/>
      <c r="K782" s="60">
        <f t="shared" si="2"/>
        <v>0</v>
      </c>
      <c r="L782" s="117"/>
    </row>
    <row r="783" ht="15.75" customHeight="1">
      <c r="A783" s="9"/>
      <c r="B783" s="164"/>
      <c r="C783" s="110"/>
      <c r="D783" s="110"/>
      <c r="E783" s="111"/>
      <c r="F783" s="112"/>
      <c r="G783" s="113"/>
      <c r="H783" s="53">
        <f t="shared" si="1"/>
        <v>0</v>
      </c>
      <c r="I783" s="115"/>
      <c r="J783" s="115"/>
      <c r="K783" s="60">
        <f t="shared" si="2"/>
        <v>0</v>
      </c>
      <c r="L783" s="117"/>
    </row>
    <row r="784" ht="15.75" customHeight="1">
      <c r="A784" s="9"/>
      <c r="B784" s="164"/>
      <c r="C784" s="110"/>
      <c r="D784" s="110"/>
      <c r="E784" s="111"/>
      <c r="F784" s="112"/>
      <c r="G784" s="113"/>
      <c r="H784" s="53">
        <f t="shared" si="1"/>
        <v>0</v>
      </c>
      <c r="I784" s="115"/>
      <c r="J784" s="115"/>
      <c r="K784" s="60">
        <f t="shared" si="2"/>
        <v>0</v>
      </c>
      <c r="L784" s="117"/>
    </row>
    <row r="785" ht="15.75" customHeight="1">
      <c r="A785" s="9"/>
      <c r="B785" s="164"/>
      <c r="C785" s="110"/>
      <c r="D785" s="110"/>
      <c r="E785" s="111"/>
      <c r="F785" s="112"/>
      <c r="G785" s="113"/>
      <c r="H785" s="53">
        <f t="shared" si="1"/>
        <v>0</v>
      </c>
      <c r="I785" s="115"/>
      <c r="J785" s="115"/>
      <c r="K785" s="60">
        <f t="shared" si="2"/>
        <v>0</v>
      </c>
      <c r="L785" s="117"/>
    </row>
    <row r="786" ht="15.75" customHeight="1">
      <c r="A786" s="9"/>
      <c r="B786" s="164"/>
      <c r="C786" s="110"/>
      <c r="D786" s="110"/>
      <c r="E786" s="111"/>
      <c r="F786" s="112"/>
      <c r="G786" s="113"/>
      <c r="H786" s="53">
        <f t="shared" si="1"/>
        <v>0</v>
      </c>
      <c r="I786" s="115"/>
      <c r="J786" s="115"/>
      <c r="K786" s="60">
        <f t="shared" si="2"/>
        <v>0</v>
      </c>
      <c r="L786" s="117"/>
    </row>
    <row r="787" ht="15.75" customHeight="1">
      <c r="A787" s="9"/>
      <c r="B787" s="164"/>
      <c r="C787" s="110"/>
      <c r="D787" s="110"/>
      <c r="E787" s="111"/>
      <c r="F787" s="112"/>
      <c r="G787" s="113"/>
      <c r="H787" s="53">
        <f t="shared" si="1"/>
        <v>0</v>
      </c>
      <c r="I787" s="115"/>
      <c r="J787" s="115"/>
      <c r="K787" s="60">
        <f t="shared" si="2"/>
        <v>0</v>
      </c>
      <c r="L787" s="117"/>
    </row>
    <row r="788" ht="15.75" customHeight="1">
      <c r="A788" s="9"/>
      <c r="B788" s="164"/>
      <c r="C788" s="110"/>
      <c r="D788" s="110"/>
      <c r="E788" s="111"/>
      <c r="F788" s="112"/>
      <c r="G788" s="113"/>
      <c r="H788" s="53">
        <f t="shared" si="1"/>
        <v>0</v>
      </c>
      <c r="I788" s="115"/>
      <c r="J788" s="115"/>
      <c r="K788" s="60">
        <f t="shared" si="2"/>
        <v>0</v>
      </c>
      <c r="L788" s="117"/>
    </row>
    <row r="789" ht="15.75" customHeight="1">
      <c r="A789" s="9"/>
      <c r="B789" s="164"/>
      <c r="C789" s="110"/>
      <c r="D789" s="110"/>
      <c r="E789" s="111"/>
      <c r="F789" s="112"/>
      <c r="G789" s="113"/>
      <c r="H789" s="53">
        <f t="shared" si="1"/>
        <v>0</v>
      </c>
      <c r="I789" s="115"/>
      <c r="J789" s="115"/>
      <c r="K789" s="60">
        <f t="shared" si="2"/>
        <v>0</v>
      </c>
      <c r="L789" s="117"/>
    </row>
    <row r="790" ht="15.75" customHeight="1">
      <c r="A790" s="9"/>
      <c r="B790" s="164"/>
      <c r="C790" s="110"/>
      <c r="D790" s="110"/>
      <c r="E790" s="111"/>
      <c r="F790" s="112"/>
      <c r="G790" s="113"/>
      <c r="H790" s="53">
        <f t="shared" si="1"/>
        <v>0</v>
      </c>
      <c r="I790" s="115"/>
      <c r="J790" s="115"/>
      <c r="K790" s="60">
        <f t="shared" si="2"/>
        <v>0</v>
      </c>
      <c r="L790" s="117"/>
    </row>
    <row r="791" ht="15.75" customHeight="1">
      <c r="A791" s="9"/>
      <c r="B791" s="164"/>
      <c r="C791" s="110"/>
      <c r="D791" s="110"/>
      <c r="E791" s="111"/>
      <c r="F791" s="112"/>
      <c r="G791" s="113"/>
      <c r="H791" s="53">
        <f t="shared" si="1"/>
        <v>0</v>
      </c>
      <c r="I791" s="115"/>
      <c r="J791" s="115"/>
      <c r="K791" s="60">
        <f t="shared" si="2"/>
        <v>0</v>
      </c>
      <c r="L791" s="117"/>
    </row>
    <row r="792" ht="15.75" customHeight="1">
      <c r="A792" s="9"/>
      <c r="B792" s="164"/>
      <c r="C792" s="110"/>
      <c r="D792" s="110"/>
      <c r="E792" s="111"/>
      <c r="F792" s="112"/>
      <c r="G792" s="113"/>
      <c r="H792" s="53">
        <f t="shared" si="1"/>
        <v>0</v>
      </c>
      <c r="I792" s="115"/>
      <c r="J792" s="115"/>
      <c r="K792" s="60">
        <f t="shared" si="2"/>
        <v>0</v>
      </c>
      <c r="L792" s="117"/>
    </row>
    <row r="793" ht="15.75" customHeight="1">
      <c r="A793" s="9"/>
      <c r="B793" s="164"/>
      <c r="C793" s="110"/>
      <c r="D793" s="110"/>
      <c r="E793" s="111"/>
      <c r="F793" s="112"/>
      <c r="G793" s="113"/>
      <c r="H793" s="53">
        <f t="shared" si="1"/>
        <v>0</v>
      </c>
      <c r="I793" s="115"/>
      <c r="J793" s="115"/>
      <c r="K793" s="60">
        <f t="shared" si="2"/>
        <v>0</v>
      </c>
      <c r="L793" s="117"/>
    </row>
    <row r="794" ht="15.75" customHeight="1">
      <c r="A794" s="9"/>
      <c r="B794" s="164"/>
      <c r="C794" s="110"/>
      <c r="D794" s="110"/>
      <c r="E794" s="111"/>
      <c r="F794" s="112"/>
      <c r="G794" s="113"/>
      <c r="H794" s="53">
        <f t="shared" si="1"/>
        <v>0</v>
      </c>
      <c r="I794" s="115"/>
      <c r="J794" s="115"/>
      <c r="K794" s="60">
        <f t="shared" si="2"/>
        <v>0</v>
      </c>
      <c r="L794" s="117"/>
    </row>
    <row r="795" ht="15.75" customHeight="1">
      <c r="A795" s="9"/>
      <c r="B795" s="164"/>
      <c r="C795" s="110"/>
      <c r="D795" s="110"/>
      <c r="E795" s="111"/>
      <c r="F795" s="112"/>
      <c r="G795" s="113"/>
      <c r="H795" s="53">
        <f t="shared" si="1"/>
        <v>0</v>
      </c>
      <c r="I795" s="115"/>
      <c r="J795" s="115"/>
      <c r="K795" s="60">
        <f t="shared" si="2"/>
        <v>0</v>
      </c>
      <c r="L795" s="117"/>
    </row>
    <row r="796" ht="15.75" customHeight="1">
      <c r="A796" s="9"/>
      <c r="B796" s="164"/>
      <c r="C796" s="110"/>
      <c r="D796" s="110"/>
      <c r="E796" s="111"/>
      <c r="F796" s="112"/>
      <c r="G796" s="113"/>
      <c r="H796" s="53">
        <f t="shared" si="1"/>
        <v>0</v>
      </c>
      <c r="I796" s="115"/>
      <c r="J796" s="115"/>
      <c r="K796" s="60">
        <f t="shared" si="2"/>
        <v>0</v>
      </c>
      <c r="L796" s="117"/>
    </row>
    <row r="797" ht="15.75" customHeight="1">
      <c r="A797" s="9"/>
      <c r="B797" s="164"/>
      <c r="C797" s="110"/>
      <c r="D797" s="110"/>
      <c r="E797" s="111"/>
      <c r="F797" s="112"/>
      <c r="G797" s="113"/>
      <c r="H797" s="53">
        <f t="shared" si="1"/>
        <v>0</v>
      </c>
      <c r="I797" s="115"/>
      <c r="J797" s="115"/>
      <c r="K797" s="60">
        <f t="shared" si="2"/>
        <v>0</v>
      </c>
      <c r="L797" s="117"/>
    </row>
    <row r="798" ht="15.75" customHeight="1">
      <c r="A798" s="9"/>
      <c r="B798" s="164"/>
      <c r="C798" s="110"/>
      <c r="D798" s="110"/>
      <c r="E798" s="111"/>
      <c r="F798" s="112"/>
      <c r="G798" s="113"/>
      <c r="H798" s="53">
        <f t="shared" si="1"/>
        <v>0</v>
      </c>
      <c r="I798" s="115"/>
      <c r="J798" s="115"/>
      <c r="K798" s="60">
        <f t="shared" si="2"/>
        <v>0</v>
      </c>
      <c r="L798" s="117"/>
    </row>
    <row r="799" ht="15.75" customHeight="1">
      <c r="A799" s="9"/>
      <c r="B799" s="164"/>
      <c r="C799" s="110"/>
      <c r="D799" s="110"/>
      <c r="E799" s="111"/>
      <c r="F799" s="112"/>
      <c r="G799" s="113"/>
      <c r="H799" s="53">
        <f t="shared" si="1"/>
        <v>0</v>
      </c>
      <c r="I799" s="115"/>
      <c r="J799" s="115"/>
      <c r="K799" s="60">
        <f t="shared" si="2"/>
        <v>0</v>
      </c>
      <c r="L799" s="117"/>
    </row>
    <row r="800" ht="15.75" customHeight="1">
      <c r="A800" s="9"/>
      <c r="B800" s="164"/>
      <c r="C800" s="110"/>
      <c r="D800" s="110"/>
      <c r="E800" s="111"/>
      <c r="F800" s="112"/>
      <c r="G800" s="113"/>
      <c r="H800" s="53">
        <f t="shared" si="1"/>
        <v>0</v>
      </c>
      <c r="I800" s="115"/>
      <c r="J800" s="115"/>
      <c r="K800" s="60">
        <f t="shared" si="2"/>
        <v>0</v>
      </c>
      <c r="L800" s="117"/>
    </row>
    <row r="801" ht="15.75" customHeight="1">
      <c r="A801" s="9"/>
      <c r="B801" s="164"/>
      <c r="C801" s="110"/>
      <c r="D801" s="110"/>
      <c r="E801" s="111"/>
      <c r="F801" s="112"/>
      <c r="G801" s="113"/>
      <c r="H801" s="53">
        <f t="shared" si="1"/>
        <v>0</v>
      </c>
      <c r="I801" s="115"/>
      <c r="J801" s="115"/>
      <c r="K801" s="60">
        <f t="shared" si="2"/>
        <v>0</v>
      </c>
      <c r="L801" s="117"/>
    </row>
    <row r="802" ht="15.75" customHeight="1">
      <c r="A802" s="9"/>
      <c r="B802" s="164"/>
      <c r="C802" s="110"/>
      <c r="D802" s="110"/>
      <c r="E802" s="111"/>
      <c r="F802" s="112"/>
      <c r="G802" s="113"/>
      <c r="H802" s="53">
        <f t="shared" si="1"/>
        <v>0</v>
      </c>
      <c r="I802" s="115"/>
      <c r="J802" s="115"/>
      <c r="K802" s="60">
        <f t="shared" si="2"/>
        <v>0</v>
      </c>
      <c r="L802" s="117"/>
    </row>
    <row r="803" ht="15.75" customHeight="1">
      <c r="A803" s="9"/>
      <c r="B803" s="164"/>
      <c r="C803" s="110"/>
      <c r="D803" s="110"/>
      <c r="E803" s="111"/>
      <c r="F803" s="112"/>
      <c r="G803" s="113"/>
      <c r="H803" s="53">
        <f t="shared" si="1"/>
        <v>0</v>
      </c>
      <c r="I803" s="115"/>
      <c r="J803" s="115"/>
      <c r="K803" s="60">
        <f t="shared" si="2"/>
        <v>0</v>
      </c>
      <c r="L803" s="117"/>
    </row>
    <row r="804" ht="15.75" customHeight="1">
      <c r="A804" s="9"/>
      <c r="B804" s="164"/>
      <c r="C804" s="110"/>
      <c r="D804" s="110"/>
      <c r="E804" s="111"/>
      <c r="F804" s="112"/>
      <c r="G804" s="113"/>
      <c r="H804" s="53">
        <f t="shared" si="1"/>
        <v>0</v>
      </c>
      <c r="I804" s="115"/>
      <c r="J804" s="115"/>
      <c r="K804" s="60">
        <f t="shared" si="2"/>
        <v>0</v>
      </c>
      <c r="L804" s="117"/>
    </row>
    <row r="805" ht="15.75" customHeight="1">
      <c r="A805" s="9"/>
      <c r="B805" s="164"/>
      <c r="C805" s="110"/>
      <c r="D805" s="110"/>
      <c r="E805" s="111"/>
      <c r="F805" s="112"/>
      <c r="G805" s="113"/>
      <c r="H805" s="53">
        <f t="shared" si="1"/>
        <v>0</v>
      </c>
      <c r="I805" s="115"/>
      <c r="J805" s="115"/>
      <c r="K805" s="60">
        <f t="shared" si="2"/>
        <v>0</v>
      </c>
      <c r="L805" s="117"/>
    </row>
    <row r="806" ht="15.75" customHeight="1">
      <c r="A806" s="9"/>
      <c r="B806" s="164"/>
      <c r="C806" s="110"/>
      <c r="D806" s="110"/>
      <c r="E806" s="111"/>
      <c r="F806" s="112"/>
      <c r="G806" s="113"/>
      <c r="H806" s="53">
        <f t="shared" si="1"/>
        <v>0</v>
      </c>
      <c r="I806" s="115"/>
      <c r="J806" s="115"/>
      <c r="K806" s="60">
        <f t="shared" si="2"/>
        <v>0</v>
      </c>
      <c r="L806" s="117"/>
    </row>
    <row r="807" ht="15.75" customHeight="1">
      <c r="A807" s="9"/>
      <c r="B807" s="164"/>
      <c r="C807" s="110"/>
      <c r="D807" s="110"/>
      <c r="E807" s="111"/>
      <c r="F807" s="112"/>
      <c r="G807" s="113"/>
      <c r="H807" s="53">
        <f t="shared" si="1"/>
        <v>0</v>
      </c>
      <c r="I807" s="115"/>
      <c r="J807" s="115"/>
      <c r="K807" s="60">
        <f t="shared" si="2"/>
        <v>0</v>
      </c>
      <c r="L807" s="117"/>
    </row>
    <row r="808" ht="15.75" customHeight="1">
      <c r="A808" s="9"/>
      <c r="B808" s="164"/>
      <c r="C808" s="110"/>
      <c r="D808" s="110"/>
      <c r="E808" s="111"/>
      <c r="F808" s="112"/>
      <c r="G808" s="113"/>
      <c r="H808" s="53">
        <f t="shared" si="1"/>
        <v>0</v>
      </c>
      <c r="I808" s="115"/>
      <c r="J808" s="115"/>
      <c r="K808" s="60">
        <f t="shared" si="2"/>
        <v>0</v>
      </c>
      <c r="L808" s="117"/>
    </row>
    <row r="809" ht="15.75" customHeight="1">
      <c r="A809" s="9"/>
      <c r="B809" s="164"/>
      <c r="C809" s="110"/>
      <c r="D809" s="110"/>
      <c r="E809" s="111"/>
      <c r="F809" s="112"/>
      <c r="G809" s="113"/>
      <c r="H809" s="53">
        <f t="shared" si="1"/>
        <v>0</v>
      </c>
      <c r="I809" s="115"/>
      <c r="J809" s="115"/>
      <c r="K809" s="60">
        <f t="shared" si="2"/>
        <v>0</v>
      </c>
      <c r="L809" s="117"/>
    </row>
    <row r="810" ht="15.75" customHeight="1">
      <c r="A810" s="9"/>
      <c r="B810" s="164"/>
      <c r="C810" s="110"/>
      <c r="D810" s="110"/>
      <c r="E810" s="111"/>
      <c r="F810" s="112"/>
      <c r="G810" s="113"/>
      <c r="H810" s="53">
        <f t="shared" si="1"/>
        <v>0</v>
      </c>
      <c r="I810" s="115"/>
      <c r="J810" s="115"/>
      <c r="K810" s="60">
        <f t="shared" si="2"/>
        <v>0</v>
      </c>
      <c r="L810" s="117"/>
    </row>
    <row r="811" ht="15.75" customHeight="1">
      <c r="A811" s="9"/>
      <c r="B811" s="164"/>
      <c r="C811" s="110"/>
      <c r="D811" s="110"/>
      <c r="E811" s="111"/>
      <c r="F811" s="112"/>
      <c r="G811" s="113"/>
      <c r="H811" s="53">
        <f t="shared" si="1"/>
        <v>0</v>
      </c>
      <c r="I811" s="115"/>
      <c r="J811" s="115"/>
      <c r="K811" s="60">
        <f t="shared" si="2"/>
        <v>0</v>
      </c>
      <c r="L811" s="117"/>
    </row>
    <row r="812" ht="15.75" customHeight="1">
      <c r="A812" s="9"/>
      <c r="B812" s="164"/>
      <c r="C812" s="110"/>
      <c r="D812" s="110"/>
      <c r="E812" s="111"/>
      <c r="F812" s="112"/>
      <c r="G812" s="113"/>
      <c r="H812" s="53">
        <f t="shared" si="1"/>
        <v>0</v>
      </c>
      <c r="I812" s="115"/>
      <c r="J812" s="115"/>
      <c r="K812" s="60">
        <f t="shared" si="2"/>
        <v>0</v>
      </c>
      <c r="L812" s="117"/>
    </row>
    <row r="813" ht="15.75" customHeight="1">
      <c r="A813" s="9"/>
      <c r="B813" s="164"/>
      <c r="C813" s="110"/>
      <c r="D813" s="110"/>
      <c r="E813" s="111"/>
      <c r="F813" s="112"/>
      <c r="G813" s="113"/>
      <c r="H813" s="53">
        <f t="shared" si="1"/>
        <v>0</v>
      </c>
      <c r="I813" s="115"/>
      <c r="J813" s="115"/>
      <c r="K813" s="60">
        <f t="shared" si="2"/>
        <v>0</v>
      </c>
      <c r="L813" s="117"/>
    </row>
    <row r="814" ht="15.75" customHeight="1">
      <c r="A814" s="9"/>
      <c r="B814" s="164"/>
      <c r="C814" s="110"/>
      <c r="D814" s="110"/>
      <c r="E814" s="111"/>
      <c r="F814" s="112"/>
      <c r="G814" s="113"/>
      <c r="H814" s="53">
        <f t="shared" si="1"/>
        <v>0</v>
      </c>
      <c r="I814" s="115"/>
      <c r="J814" s="115"/>
      <c r="K814" s="60">
        <f t="shared" si="2"/>
        <v>0</v>
      </c>
      <c r="L814" s="117"/>
    </row>
    <row r="815" ht="15.75" customHeight="1">
      <c r="A815" s="9"/>
      <c r="B815" s="164"/>
      <c r="C815" s="110"/>
      <c r="D815" s="110"/>
      <c r="E815" s="111"/>
      <c r="F815" s="112"/>
      <c r="G815" s="113"/>
      <c r="H815" s="53">
        <f t="shared" si="1"/>
        <v>0</v>
      </c>
      <c r="I815" s="115"/>
      <c r="J815" s="115"/>
      <c r="K815" s="60">
        <f t="shared" si="2"/>
        <v>0</v>
      </c>
      <c r="L815" s="117"/>
    </row>
    <row r="816" ht="15.75" customHeight="1">
      <c r="A816" s="9"/>
      <c r="B816" s="164"/>
      <c r="C816" s="110"/>
      <c r="D816" s="110"/>
      <c r="E816" s="111"/>
      <c r="F816" s="112"/>
      <c r="G816" s="113"/>
      <c r="H816" s="53">
        <f t="shared" si="1"/>
        <v>0</v>
      </c>
      <c r="I816" s="115"/>
      <c r="J816" s="115"/>
      <c r="K816" s="60">
        <f t="shared" si="2"/>
        <v>0</v>
      </c>
      <c r="L816" s="117"/>
    </row>
    <row r="817" ht="15.75" customHeight="1">
      <c r="A817" s="9"/>
      <c r="B817" s="164"/>
      <c r="C817" s="110"/>
      <c r="D817" s="110"/>
      <c r="E817" s="111"/>
      <c r="F817" s="112"/>
      <c r="G817" s="113"/>
      <c r="H817" s="53">
        <f t="shared" si="1"/>
        <v>0</v>
      </c>
      <c r="I817" s="115"/>
      <c r="J817" s="115"/>
      <c r="K817" s="60">
        <f t="shared" si="2"/>
        <v>0</v>
      </c>
      <c r="L817" s="117"/>
    </row>
    <row r="818" ht="15.75" customHeight="1">
      <c r="A818" s="9"/>
      <c r="B818" s="164"/>
      <c r="C818" s="110"/>
      <c r="D818" s="110"/>
      <c r="E818" s="111"/>
      <c r="F818" s="112"/>
      <c r="G818" s="113"/>
      <c r="H818" s="53">
        <f t="shared" si="1"/>
        <v>0</v>
      </c>
      <c r="I818" s="115"/>
      <c r="J818" s="115"/>
      <c r="K818" s="60">
        <f t="shared" si="2"/>
        <v>0</v>
      </c>
      <c r="L818" s="117"/>
    </row>
    <row r="819" ht="15.75" customHeight="1">
      <c r="A819" s="9"/>
      <c r="B819" s="164"/>
      <c r="C819" s="110"/>
      <c r="D819" s="110"/>
      <c r="E819" s="111"/>
      <c r="F819" s="112"/>
      <c r="G819" s="113"/>
      <c r="H819" s="53">
        <f t="shared" si="1"/>
        <v>0</v>
      </c>
      <c r="I819" s="115"/>
      <c r="J819" s="115"/>
      <c r="K819" s="60">
        <f t="shared" si="2"/>
        <v>0</v>
      </c>
      <c r="L819" s="117"/>
    </row>
    <row r="820" ht="15.75" customHeight="1">
      <c r="A820" s="9"/>
      <c r="B820" s="164"/>
      <c r="C820" s="110"/>
      <c r="D820" s="110"/>
      <c r="E820" s="111"/>
      <c r="F820" s="112"/>
      <c r="G820" s="113"/>
      <c r="H820" s="53">
        <f t="shared" si="1"/>
        <v>0</v>
      </c>
      <c r="I820" s="115"/>
      <c r="J820" s="115"/>
      <c r="K820" s="60">
        <f t="shared" si="2"/>
        <v>0</v>
      </c>
      <c r="L820" s="117"/>
    </row>
    <row r="821" ht="15.75" customHeight="1">
      <c r="A821" s="9"/>
      <c r="B821" s="164"/>
      <c r="C821" s="110"/>
      <c r="D821" s="110"/>
      <c r="E821" s="111"/>
      <c r="F821" s="112"/>
      <c r="G821" s="113"/>
      <c r="H821" s="53">
        <f t="shared" si="1"/>
        <v>0</v>
      </c>
      <c r="I821" s="115"/>
      <c r="J821" s="115"/>
      <c r="K821" s="60">
        <f t="shared" si="2"/>
        <v>0</v>
      </c>
      <c r="L821" s="117"/>
    </row>
    <row r="822" ht="15.75" customHeight="1">
      <c r="A822" s="9"/>
      <c r="B822" s="164"/>
      <c r="C822" s="110"/>
      <c r="D822" s="110"/>
      <c r="E822" s="111"/>
      <c r="F822" s="112"/>
      <c r="G822" s="113"/>
      <c r="H822" s="53">
        <f t="shared" si="1"/>
        <v>0</v>
      </c>
      <c r="I822" s="115"/>
      <c r="J822" s="115"/>
      <c r="K822" s="60">
        <f t="shared" si="2"/>
        <v>0</v>
      </c>
      <c r="L822" s="117"/>
    </row>
    <row r="823" ht="15.75" customHeight="1">
      <c r="A823" s="9"/>
      <c r="B823" s="164"/>
      <c r="C823" s="110"/>
      <c r="D823" s="110"/>
      <c r="E823" s="111"/>
      <c r="F823" s="112"/>
      <c r="G823" s="113"/>
      <c r="H823" s="53">
        <f t="shared" si="1"/>
        <v>0</v>
      </c>
      <c r="I823" s="115"/>
      <c r="J823" s="115"/>
      <c r="K823" s="60">
        <f t="shared" si="2"/>
        <v>0</v>
      </c>
      <c r="L823" s="117"/>
    </row>
    <row r="824" ht="15.75" customHeight="1">
      <c r="A824" s="9"/>
      <c r="B824" s="164"/>
      <c r="C824" s="110"/>
      <c r="D824" s="110"/>
      <c r="E824" s="111"/>
      <c r="F824" s="112"/>
      <c r="G824" s="113"/>
      <c r="H824" s="53">
        <f t="shared" si="1"/>
        <v>0</v>
      </c>
      <c r="I824" s="115"/>
      <c r="J824" s="115"/>
      <c r="K824" s="60">
        <f t="shared" si="2"/>
        <v>0</v>
      </c>
      <c r="L824" s="117"/>
    </row>
    <row r="825" ht="15.75" customHeight="1">
      <c r="A825" s="9"/>
      <c r="B825" s="164"/>
      <c r="C825" s="110"/>
      <c r="D825" s="110"/>
      <c r="E825" s="111"/>
      <c r="F825" s="112"/>
      <c r="G825" s="113"/>
      <c r="H825" s="53">
        <f t="shared" si="1"/>
        <v>0</v>
      </c>
      <c r="I825" s="115"/>
      <c r="J825" s="115"/>
      <c r="K825" s="60">
        <f t="shared" si="2"/>
        <v>0</v>
      </c>
      <c r="L825" s="117"/>
    </row>
    <row r="826" ht="15.75" customHeight="1">
      <c r="A826" s="9"/>
      <c r="B826" s="164"/>
      <c r="C826" s="110"/>
      <c r="D826" s="110"/>
      <c r="E826" s="111"/>
      <c r="F826" s="112"/>
      <c r="G826" s="113"/>
      <c r="H826" s="53">
        <f t="shared" si="1"/>
        <v>0</v>
      </c>
      <c r="I826" s="115"/>
      <c r="J826" s="115"/>
      <c r="K826" s="60">
        <f t="shared" si="2"/>
        <v>0</v>
      </c>
      <c r="L826" s="117"/>
    </row>
    <row r="827" ht="15.75" customHeight="1">
      <c r="A827" s="9"/>
      <c r="B827" s="164"/>
      <c r="C827" s="110"/>
      <c r="D827" s="110"/>
      <c r="E827" s="111"/>
      <c r="F827" s="112"/>
      <c r="G827" s="113"/>
      <c r="H827" s="53">
        <f t="shared" si="1"/>
        <v>0</v>
      </c>
      <c r="I827" s="115"/>
      <c r="J827" s="115"/>
      <c r="K827" s="60">
        <f t="shared" si="2"/>
        <v>0</v>
      </c>
      <c r="L827" s="117"/>
    </row>
    <row r="828" ht="15.75" customHeight="1">
      <c r="A828" s="9"/>
      <c r="B828" s="164"/>
      <c r="C828" s="110"/>
      <c r="D828" s="110"/>
      <c r="E828" s="111"/>
      <c r="F828" s="112"/>
      <c r="G828" s="113"/>
      <c r="H828" s="53">
        <f t="shared" si="1"/>
        <v>0</v>
      </c>
      <c r="I828" s="115"/>
      <c r="J828" s="115"/>
      <c r="K828" s="60">
        <f t="shared" si="2"/>
        <v>0</v>
      </c>
      <c r="L828" s="117"/>
    </row>
    <row r="829" ht="15.75" customHeight="1">
      <c r="A829" s="9"/>
      <c r="B829" s="164"/>
      <c r="C829" s="110"/>
      <c r="D829" s="110"/>
      <c r="E829" s="111"/>
      <c r="F829" s="112"/>
      <c r="G829" s="113"/>
      <c r="H829" s="53">
        <f t="shared" si="1"/>
        <v>0</v>
      </c>
      <c r="I829" s="115"/>
      <c r="J829" s="115"/>
      <c r="K829" s="60">
        <f t="shared" si="2"/>
        <v>0</v>
      </c>
      <c r="L829" s="117"/>
    </row>
    <row r="830" ht="15.75" customHeight="1">
      <c r="A830" s="9"/>
      <c r="B830" s="164"/>
      <c r="C830" s="110"/>
      <c r="D830" s="110"/>
      <c r="E830" s="111"/>
      <c r="F830" s="112"/>
      <c r="G830" s="113"/>
      <c r="H830" s="53">
        <f t="shared" si="1"/>
        <v>0</v>
      </c>
      <c r="I830" s="115"/>
      <c r="J830" s="115"/>
      <c r="K830" s="60">
        <f t="shared" si="2"/>
        <v>0</v>
      </c>
      <c r="L830" s="117"/>
    </row>
    <row r="831" ht="15.75" customHeight="1">
      <c r="A831" s="9"/>
      <c r="B831" s="164"/>
      <c r="C831" s="110"/>
      <c r="D831" s="110"/>
      <c r="E831" s="111"/>
      <c r="F831" s="112"/>
      <c r="G831" s="113"/>
      <c r="H831" s="53">
        <f t="shared" si="1"/>
        <v>0</v>
      </c>
      <c r="I831" s="115"/>
      <c r="J831" s="115"/>
      <c r="K831" s="60">
        <f t="shared" si="2"/>
        <v>0</v>
      </c>
      <c r="L831" s="117"/>
    </row>
    <row r="832" ht="15.75" customHeight="1">
      <c r="A832" s="9"/>
      <c r="B832" s="164"/>
      <c r="C832" s="110"/>
      <c r="D832" s="110"/>
      <c r="E832" s="111"/>
      <c r="F832" s="112"/>
      <c r="G832" s="113"/>
      <c r="H832" s="53">
        <f t="shared" si="1"/>
        <v>0</v>
      </c>
      <c r="I832" s="115"/>
      <c r="J832" s="115"/>
      <c r="K832" s="60">
        <f t="shared" si="2"/>
        <v>0</v>
      </c>
      <c r="L832" s="117"/>
    </row>
    <row r="833" ht="15.75" customHeight="1">
      <c r="A833" s="9"/>
      <c r="B833" s="164"/>
      <c r="C833" s="110"/>
      <c r="D833" s="110"/>
      <c r="E833" s="111"/>
      <c r="F833" s="112"/>
      <c r="G833" s="113"/>
      <c r="H833" s="53">
        <f t="shared" si="1"/>
        <v>0</v>
      </c>
      <c r="I833" s="115"/>
      <c r="J833" s="115"/>
      <c r="K833" s="60">
        <f t="shared" si="2"/>
        <v>0</v>
      </c>
      <c r="L833" s="117"/>
    </row>
    <row r="834" ht="15.75" customHeight="1">
      <c r="A834" s="9"/>
      <c r="B834" s="164"/>
      <c r="C834" s="110"/>
      <c r="D834" s="110"/>
      <c r="E834" s="111"/>
      <c r="F834" s="112"/>
      <c r="G834" s="113"/>
      <c r="H834" s="53">
        <f t="shared" si="1"/>
        <v>0</v>
      </c>
      <c r="I834" s="115"/>
      <c r="J834" s="115"/>
      <c r="K834" s="60">
        <f t="shared" si="2"/>
        <v>0</v>
      </c>
      <c r="L834" s="117"/>
    </row>
    <row r="835" ht="15.75" customHeight="1">
      <c r="A835" s="9"/>
      <c r="B835" s="164"/>
      <c r="C835" s="110"/>
      <c r="D835" s="110"/>
      <c r="E835" s="111"/>
      <c r="F835" s="112"/>
      <c r="G835" s="113"/>
      <c r="H835" s="53">
        <f t="shared" si="1"/>
        <v>0</v>
      </c>
      <c r="I835" s="115"/>
      <c r="J835" s="115"/>
      <c r="K835" s="60">
        <f t="shared" si="2"/>
        <v>0</v>
      </c>
      <c r="L835" s="117"/>
    </row>
    <row r="836" ht="15.75" customHeight="1">
      <c r="A836" s="9"/>
      <c r="B836" s="164"/>
      <c r="C836" s="110"/>
      <c r="D836" s="110"/>
      <c r="E836" s="111"/>
      <c r="F836" s="112"/>
      <c r="G836" s="113"/>
      <c r="H836" s="53">
        <f t="shared" si="1"/>
        <v>0</v>
      </c>
      <c r="I836" s="115"/>
      <c r="J836" s="115"/>
      <c r="K836" s="60">
        <f t="shared" si="2"/>
        <v>0</v>
      </c>
      <c r="L836" s="117"/>
    </row>
    <row r="837" ht="15.75" customHeight="1">
      <c r="A837" s="9"/>
      <c r="B837" s="164"/>
      <c r="C837" s="110"/>
      <c r="D837" s="110"/>
      <c r="E837" s="111"/>
      <c r="F837" s="112"/>
      <c r="G837" s="113"/>
      <c r="H837" s="53">
        <f t="shared" si="1"/>
        <v>0</v>
      </c>
      <c r="I837" s="115"/>
      <c r="J837" s="115"/>
      <c r="K837" s="60">
        <f t="shared" si="2"/>
        <v>0</v>
      </c>
      <c r="L837" s="117"/>
    </row>
    <row r="838" ht="15.75" customHeight="1">
      <c r="A838" s="9"/>
      <c r="B838" s="164"/>
      <c r="C838" s="110"/>
      <c r="D838" s="110"/>
      <c r="E838" s="111"/>
      <c r="F838" s="112"/>
      <c r="G838" s="113"/>
      <c r="H838" s="53">
        <f t="shared" si="1"/>
        <v>0</v>
      </c>
      <c r="I838" s="115"/>
      <c r="J838" s="115"/>
      <c r="K838" s="60">
        <f t="shared" si="2"/>
        <v>0</v>
      </c>
      <c r="L838" s="117"/>
    </row>
    <row r="839" ht="15.75" customHeight="1">
      <c r="A839" s="9"/>
      <c r="B839" s="164"/>
      <c r="C839" s="110"/>
      <c r="D839" s="110"/>
      <c r="E839" s="111"/>
      <c r="F839" s="112"/>
      <c r="G839" s="113"/>
      <c r="H839" s="53">
        <f t="shared" si="1"/>
        <v>0</v>
      </c>
      <c r="I839" s="115"/>
      <c r="J839" s="115"/>
      <c r="K839" s="60">
        <f t="shared" si="2"/>
        <v>0</v>
      </c>
      <c r="L839" s="117"/>
    </row>
    <row r="840" ht="15.75" customHeight="1">
      <c r="A840" s="9"/>
      <c r="B840" s="164"/>
      <c r="C840" s="110"/>
      <c r="D840" s="110"/>
      <c r="E840" s="111"/>
      <c r="F840" s="112"/>
      <c r="G840" s="113"/>
      <c r="H840" s="53">
        <f t="shared" si="1"/>
        <v>0</v>
      </c>
      <c r="I840" s="115"/>
      <c r="J840" s="115"/>
      <c r="K840" s="60">
        <f t="shared" si="2"/>
        <v>0</v>
      </c>
      <c r="L840" s="117"/>
    </row>
    <row r="841" ht="15.75" customHeight="1">
      <c r="A841" s="9"/>
      <c r="B841" s="164"/>
      <c r="C841" s="110"/>
      <c r="D841" s="110"/>
      <c r="E841" s="111"/>
      <c r="F841" s="112"/>
      <c r="G841" s="113"/>
      <c r="H841" s="53">
        <f t="shared" si="1"/>
        <v>0</v>
      </c>
      <c r="I841" s="115"/>
      <c r="J841" s="115"/>
      <c r="K841" s="60">
        <f t="shared" si="2"/>
        <v>0</v>
      </c>
      <c r="L841" s="117"/>
    </row>
    <row r="842" ht="15.75" customHeight="1">
      <c r="A842" s="9"/>
      <c r="B842" s="164"/>
      <c r="C842" s="110"/>
      <c r="D842" s="110"/>
      <c r="E842" s="111"/>
      <c r="F842" s="112"/>
      <c r="G842" s="113"/>
      <c r="H842" s="53">
        <f t="shared" si="1"/>
        <v>0</v>
      </c>
      <c r="I842" s="115"/>
      <c r="J842" s="115"/>
      <c r="K842" s="60">
        <f t="shared" si="2"/>
        <v>0</v>
      </c>
      <c r="L842" s="117"/>
    </row>
    <row r="843" ht="15.75" customHeight="1">
      <c r="A843" s="9"/>
      <c r="B843" s="164"/>
      <c r="C843" s="110"/>
      <c r="D843" s="110"/>
      <c r="E843" s="111"/>
      <c r="F843" s="112"/>
      <c r="G843" s="113"/>
      <c r="H843" s="53">
        <f t="shared" si="1"/>
        <v>0</v>
      </c>
      <c r="I843" s="115"/>
      <c r="J843" s="115"/>
      <c r="K843" s="60">
        <f t="shared" si="2"/>
        <v>0</v>
      </c>
      <c r="L843" s="117"/>
    </row>
    <row r="844" ht="15.75" customHeight="1">
      <c r="A844" s="9"/>
      <c r="B844" s="164"/>
      <c r="C844" s="110"/>
      <c r="D844" s="110"/>
      <c r="E844" s="111"/>
      <c r="F844" s="112"/>
      <c r="G844" s="113"/>
      <c r="H844" s="53">
        <f t="shared" si="1"/>
        <v>0</v>
      </c>
      <c r="I844" s="115"/>
      <c r="J844" s="115"/>
      <c r="K844" s="60">
        <f t="shared" si="2"/>
        <v>0</v>
      </c>
      <c r="L844" s="117"/>
    </row>
    <row r="845" ht="15.75" customHeight="1">
      <c r="A845" s="9"/>
      <c r="B845" s="164"/>
      <c r="C845" s="110"/>
      <c r="D845" s="110"/>
      <c r="E845" s="111"/>
      <c r="F845" s="112"/>
      <c r="G845" s="113"/>
      <c r="H845" s="53">
        <f t="shared" si="1"/>
        <v>0</v>
      </c>
      <c r="I845" s="115"/>
      <c r="J845" s="115"/>
      <c r="K845" s="60">
        <f t="shared" si="2"/>
        <v>0</v>
      </c>
      <c r="L845" s="117"/>
    </row>
    <row r="846" ht="15.75" customHeight="1">
      <c r="A846" s="9"/>
      <c r="B846" s="164"/>
      <c r="C846" s="110"/>
      <c r="D846" s="110"/>
      <c r="E846" s="111"/>
      <c r="F846" s="112"/>
      <c r="G846" s="113"/>
      <c r="H846" s="53">
        <f t="shared" si="1"/>
        <v>0</v>
      </c>
      <c r="I846" s="115"/>
      <c r="J846" s="115"/>
      <c r="K846" s="60">
        <f t="shared" si="2"/>
        <v>0</v>
      </c>
      <c r="L846" s="117"/>
    </row>
    <row r="847" ht="15.75" customHeight="1">
      <c r="A847" s="9"/>
      <c r="B847" s="164"/>
      <c r="C847" s="110"/>
      <c r="D847" s="110"/>
      <c r="E847" s="111"/>
      <c r="F847" s="112"/>
      <c r="G847" s="113"/>
      <c r="H847" s="53">
        <f t="shared" si="1"/>
        <v>0</v>
      </c>
      <c r="I847" s="115"/>
      <c r="J847" s="115"/>
      <c r="K847" s="60">
        <f t="shared" si="2"/>
        <v>0</v>
      </c>
      <c r="L847" s="117"/>
    </row>
    <row r="848" ht="15.75" customHeight="1">
      <c r="A848" s="9"/>
      <c r="B848" s="164"/>
      <c r="C848" s="110"/>
      <c r="D848" s="110"/>
      <c r="E848" s="111"/>
      <c r="F848" s="112"/>
      <c r="G848" s="113"/>
      <c r="H848" s="53">
        <f t="shared" si="1"/>
        <v>0</v>
      </c>
      <c r="I848" s="115"/>
      <c r="J848" s="115"/>
      <c r="K848" s="60">
        <f t="shared" si="2"/>
        <v>0</v>
      </c>
      <c r="L848" s="117"/>
    </row>
    <row r="849" ht="15.75" customHeight="1">
      <c r="A849" s="9"/>
      <c r="B849" s="164"/>
      <c r="C849" s="110"/>
      <c r="D849" s="110"/>
      <c r="E849" s="111"/>
      <c r="F849" s="112"/>
      <c r="G849" s="113"/>
      <c r="H849" s="53">
        <f t="shared" si="1"/>
        <v>0</v>
      </c>
      <c r="I849" s="115"/>
      <c r="J849" s="115"/>
      <c r="K849" s="60">
        <f t="shared" si="2"/>
        <v>0</v>
      </c>
      <c r="L849" s="117"/>
    </row>
    <row r="850" ht="15.75" customHeight="1">
      <c r="A850" s="9"/>
      <c r="B850" s="164"/>
      <c r="C850" s="110"/>
      <c r="D850" s="110"/>
      <c r="E850" s="111"/>
      <c r="F850" s="112"/>
      <c r="G850" s="113"/>
      <c r="H850" s="53">
        <f t="shared" si="1"/>
        <v>0</v>
      </c>
      <c r="I850" s="115"/>
      <c r="J850" s="115"/>
      <c r="K850" s="60">
        <f t="shared" si="2"/>
        <v>0</v>
      </c>
      <c r="L850" s="117"/>
    </row>
    <row r="851" ht="15.75" customHeight="1">
      <c r="A851" s="9"/>
      <c r="B851" s="164"/>
      <c r="C851" s="110"/>
      <c r="D851" s="110"/>
      <c r="E851" s="111"/>
      <c r="F851" s="112"/>
      <c r="G851" s="113"/>
      <c r="H851" s="53">
        <f t="shared" si="1"/>
        <v>0</v>
      </c>
      <c r="I851" s="115"/>
      <c r="J851" s="115"/>
      <c r="K851" s="60">
        <f t="shared" si="2"/>
        <v>0</v>
      </c>
      <c r="L851" s="117"/>
    </row>
    <row r="852" ht="15.75" customHeight="1">
      <c r="A852" s="9"/>
      <c r="B852" s="164"/>
      <c r="C852" s="110"/>
      <c r="D852" s="110"/>
      <c r="E852" s="111"/>
      <c r="F852" s="112"/>
      <c r="G852" s="113"/>
      <c r="H852" s="53">
        <f t="shared" si="1"/>
        <v>0</v>
      </c>
      <c r="I852" s="115"/>
      <c r="J852" s="115"/>
      <c r="K852" s="60">
        <f t="shared" si="2"/>
        <v>0</v>
      </c>
      <c r="L852" s="117"/>
    </row>
    <row r="853" ht="15.75" customHeight="1">
      <c r="A853" s="9"/>
      <c r="B853" s="164"/>
      <c r="C853" s="110"/>
      <c r="D853" s="110"/>
      <c r="E853" s="111"/>
      <c r="F853" s="112"/>
      <c r="G853" s="113"/>
      <c r="H853" s="53">
        <f t="shared" si="1"/>
        <v>0</v>
      </c>
      <c r="I853" s="115"/>
      <c r="J853" s="115"/>
      <c r="K853" s="60">
        <f t="shared" si="2"/>
        <v>0</v>
      </c>
      <c r="L853" s="117"/>
    </row>
    <row r="854" ht="15.75" customHeight="1">
      <c r="A854" s="9"/>
      <c r="B854" s="164"/>
      <c r="C854" s="110"/>
      <c r="D854" s="110"/>
      <c r="E854" s="111"/>
      <c r="F854" s="112"/>
      <c r="G854" s="113"/>
      <c r="H854" s="53">
        <f t="shared" si="1"/>
        <v>0</v>
      </c>
      <c r="I854" s="115"/>
      <c r="J854" s="115"/>
      <c r="K854" s="60">
        <f t="shared" si="2"/>
        <v>0</v>
      </c>
      <c r="L854" s="117"/>
    </row>
    <row r="855" ht="15.75" customHeight="1">
      <c r="A855" s="9"/>
      <c r="B855" s="164"/>
      <c r="C855" s="110"/>
      <c r="D855" s="110"/>
      <c r="E855" s="111"/>
      <c r="F855" s="112"/>
      <c r="G855" s="113"/>
      <c r="H855" s="53">
        <f t="shared" si="1"/>
        <v>0</v>
      </c>
      <c r="I855" s="115"/>
      <c r="J855" s="115"/>
      <c r="K855" s="60">
        <f t="shared" si="2"/>
        <v>0</v>
      </c>
      <c r="L855" s="117"/>
    </row>
    <row r="856" ht="15.75" customHeight="1">
      <c r="A856" s="9"/>
      <c r="B856" s="164"/>
      <c r="C856" s="110"/>
      <c r="D856" s="110"/>
      <c r="E856" s="111"/>
      <c r="F856" s="112"/>
      <c r="G856" s="113"/>
      <c r="H856" s="53">
        <f t="shared" si="1"/>
        <v>0</v>
      </c>
      <c r="I856" s="115"/>
      <c r="J856" s="115"/>
      <c r="K856" s="60">
        <f t="shared" si="2"/>
        <v>0</v>
      </c>
      <c r="L856" s="117"/>
    </row>
    <row r="857" ht="15.75" customHeight="1">
      <c r="A857" s="9"/>
      <c r="B857" s="164"/>
      <c r="C857" s="110"/>
      <c r="D857" s="110"/>
      <c r="E857" s="111"/>
      <c r="F857" s="112"/>
      <c r="G857" s="113"/>
      <c r="H857" s="53">
        <f t="shared" si="1"/>
        <v>0</v>
      </c>
      <c r="I857" s="115"/>
      <c r="J857" s="115"/>
      <c r="K857" s="60">
        <f t="shared" si="2"/>
        <v>0</v>
      </c>
      <c r="L857" s="117"/>
    </row>
    <row r="858" ht="15.75" customHeight="1">
      <c r="A858" s="9"/>
      <c r="B858" s="164"/>
      <c r="C858" s="110"/>
      <c r="D858" s="110"/>
      <c r="E858" s="111"/>
      <c r="F858" s="112"/>
      <c r="G858" s="113"/>
      <c r="H858" s="53">
        <f t="shared" si="1"/>
        <v>0</v>
      </c>
      <c r="I858" s="115"/>
      <c r="J858" s="115"/>
      <c r="K858" s="60">
        <f t="shared" si="2"/>
        <v>0</v>
      </c>
      <c r="L858" s="117"/>
    </row>
    <row r="859" ht="15.75" customHeight="1">
      <c r="A859" s="9"/>
      <c r="B859" s="164"/>
      <c r="C859" s="110"/>
      <c r="D859" s="110"/>
      <c r="E859" s="111"/>
      <c r="F859" s="112"/>
      <c r="G859" s="113"/>
      <c r="H859" s="53">
        <f t="shared" si="1"/>
        <v>0</v>
      </c>
      <c r="I859" s="115"/>
      <c r="J859" s="115"/>
      <c r="K859" s="60">
        <f t="shared" si="2"/>
        <v>0</v>
      </c>
      <c r="L859" s="117"/>
    </row>
    <row r="860" ht="15.75" customHeight="1">
      <c r="A860" s="9"/>
      <c r="B860" s="164"/>
      <c r="C860" s="110"/>
      <c r="D860" s="110"/>
      <c r="E860" s="111"/>
      <c r="F860" s="112"/>
      <c r="G860" s="113"/>
      <c r="H860" s="53">
        <f t="shared" si="1"/>
        <v>0</v>
      </c>
      <c r="I860" s="115"/>
      <c r="J860" s="115"/>
      <c r="K860" s="60">
        <f t="shared" si="2"/>
        <v>0</v>
      </c>
      <c r="L860" s="117"/>
    </row>
    <row r="861" ht="15.75" customHeight="1">
      <c r="A861" s="9"/>
      <c r="B861" s="164"/>
      <c r="C861" s="110"/>
      <c r="D861" s="110"/>
      <c r="E861" s="111"/>
      <c r="F861" s="112"/>
      <c r="G861" s="113"/>
      <c r="H861" s="53">
        <f t="shared" si="1"/>
        <v>0</v>
      </c>
      <c r="I861" s="115"/>
      <c r="J861" s="115"/>
      <c r="K861" s="60">
        <f t="shared" si="2"/>
        <v>0</v>
      </c>
      <c r="L861" s="117"/>
    </row>
    <row r="862" ht="15.75" customHeight="1">
      <c r="A862" s="9"/>
      <c r="B862" s="164"/>
      <c r="C862" s="110"/>
      <c r="D862" s="110"/>
      <c r="E862" s="111"/>
      <c r="F862" s="112"/>
      <c r="G862" s="113"/>
      <c r="H862" s="53">
        <f t="shared" si="1"/>
        <v>0</v>
      </c>
      <c r="I862" s="115"/>
      <c r="J862" s="115"/>
      <c r="K862" s="60">
        <f t="shared" si="2"/>
        <v>0</v>
      </c>
      <c r="L862" s="117"/>
    </row>
    <row r="863" ht="15.75" customHeight="1">
      <c r="A863" s="9"/>
      <c r="B863" s="164"/>
      <c r="C863" s="110"/>
      <c r="D863" s="110"/>
      <c r="E863" s="111"/>
      <c r="F863" s="112"/>
      <c r="G863" s="113"/>
      <c r="H863" s="53">
        <f t="shared" si="1"/>
        <v>0</v>
      </c>
      <c r="I863" s="115"/>
      <c r="J863" s="115"/>
      <c r="K863" s="60">
        <f t="shared" si="2"/>
        <v>0</v>
      </c>
      <c r="L863" s="117"/>
    </row>
    <row r="864" ht="15.75" customHeight="1">
      <c r="A864" s="9"/>
      <c r="B864" s="164"/>
      <c r="C864" s="110"/>
      <c r="D864" s="110"/>
      <c r="E864" s="111"/>
      <c r="F864" s="112"/>
      <c r="G864" s="113"/>
      <c r="H864" s="53">
        <f t="shared" si="1"/>
        <v>0</v>
      </c>
      <c r="I864" s="115"/>
      <c r="J864" s="115"/>
      <c r="K864" s="60">
        <f t="shared" si="2"/>
        <v>0</v>
      </c>
      <c r="L864" s="117"/>
    </row>
    <row r="865" ht="15.75" customHeight="1">
      <c r="A865" s="9"/>
      <c r="B865" s="164"/>
      <c r="C865" s="110"/>
      <c r="D865" s="110"/>
      <c r="E865" s="111"/>
      <c r="F865" s="112"/>
      <c r="G865" s="113"/>
      <c r="H865" s="53">
        <f t="shared" si="1"/>
        <v>0</v>
      </c>
      <c r="I865" s="115"/>
      <c r="J865" s="115"/>
      <c r="K865" s="60">
        <f t="shared" si="2"/>
        <v>0</v>
      </c>
      <c r="L865" s="117"/>
    </row>
    <row r="866" ht="15.75" customHeight="1">
      <c r="A866" s="9"/>
      <c r="B866" s="164"/>
      <c r="C866" s="110"/>
      <c r="D866" s="110"/>
      <c r="E866" s="111"/>
      <c r="F866" s="112"/>
      <c r="G866" s="113"/>
      <c r="H866" s="53">
        <f t="shared" si="1"/>
        <v>0</v>
      </c>
      <c r="I866" s="115"/>
      <c r="J866" s="115"/>
      <c r="K866" s="60">
        <f t="shared" si="2"/>
        <v>0</v>
      </c>
      <c r="L866" s="117"/>
    </row>
    <row r="867" ht="15.75" customHeight="1">
      <c r="A867" s="9"/>
      <c r="B867" s="164"/>
      <c r="C867" s="110"/>
      <c r="D867" s="110"/>
      <c r="E867" s="111"/>
      <c r="F867" s="112"/>
      <c r="G867" s="113"/>
      <c r="H867" s="53">
        <f t="shared" si="1"/>
        <v>0</v>
      </c>
      <c r="I867" s="115"/>
      <c r="J867" s="115"/>
      <c r="K867" s="60">
        <f t="shared" si="2"/>
        <v>0</v>
      </c>
      <c r="L867" s="117"/>
    </row>
    <row r="868" ht="15.75" customHeight="1">
      <c r="A868" s="9"/>
      <c r="B868" s="164"/>
      <c r="C868" s="110"/>
      <c r="D868" s="110"/>
      <c r="E868" s="111"/>
      <c r="F868" s="112"/>
      <c r="G868" s="113"/>
      <c r="H868" s="53">
        <f t="shared" si="1"/>
        <v>0</v>
      </c>
      <c r="I868" s="115"/>
      <c r="J868" s="115"/>
      <c r="K868" s="60">
        <f t="shared" si="2"/>
        <v>0</v>
      </c>
      <c r="L868" s="117"/>
    </row>
    <row r="869" ht="15.75" customHeight="1">
      <c r="A869" s="9"/>
      <c r="B869" s="164"/>
      <c r="C869" s="110"/>
      <c r="D869" s="110"/>
      <c r="E869" s="111"/>
      <c r="F869" s="112"/>
      <c r="G869" s="113"/>
      <c r="H869" s="53">
        <f t="shared" si="1"/>
        <v>0</v>
      </c>
      <c r="I869" s="115"/>
      <c r="J869" s="115"/>
      <c r="K869" s="60">
        <f t="shared" si="2"/>
        <v>0</v>
      </c>
      <c r="L869" s="117"/>
    </row>
    <row r="870" ht="15.75" customHeight="1">
      <c r="A870" s="9"/>
      <c r="B870" s="164"/>
      <c r="C870" s="110"/>
      <c r="D870" s="110"/>
      <c r="E870" s="111"/>
      <c r="F870" s="112"/>
      <c r="G870" s="113"/>
      <c r="H870" s="53">
        <f t="shared" si="1"/>
        <v>0</v>
      </c>
      <c r="I870" s="115"/>
      <c r="J870" s="115"/>
      <c r="K870" s="60">
        <f t="shared" si="2"/>
        <v>0</v>
      </c>
      <c r="L870" s="117"/>
    </row>
    <row r="871" ht="15.75" customHeight="1">
      <c r="A871" s="9"/>
      <c r="B871" s="164"/>
      <c r="C871" s="110"/>
      <c r="D871" s="110"/>
      <c r="E871" s="111"/>
      <c r="F871" s="112"/>
      <c r="G871" s="113"/>
      <c r="H871" s="53">
        <f t="shared" si="1"/>
        <v>0</v>
      </c>
      <c r="I871" s="115"/>
      <c r="J871" s="115"/>
      <c r="K871" s="60">
        <f t="shared" si="2"/>
        <v>0</v>
      </c>
      <c r="L871" s="117"/>
    </row>
    <row r="872" ht="15.75" customHeight="1">
      <c r="A872" s="9"/>
      <c r="B872" s="164"/>
      <c r="C872" s="110"/>
      <c r="D872" s="110"/>
      <c r="E872" s="111"/>
      <c r="F872" s="112"/>
      <c r="G872" s="113"/>
      <c r="H872" s="53">
        <f t="shared" si="1"/>
        <v>0</v>
      </c>
      <c r="I872" s="115"/>
      <c r="J872" s="115"/>
      <c r="K872" s="60">
        <f t="shared" si="2"/>
        <v>0</v>
      </c>
      <c r="L872" s="117"/>
    </row>
    <row r="873" ht="15.75" customHeight="1">
      <c r="A873" s="9"/>
      <c r="B873" s="164"/>
      <c r="C873" s="110"/>
      <c r="D873" s="110"/>
      <c r="E873" s="111"/>
      <c r="F873" s="112"/>
      <c r="G873" s="113"/>
      <c r="H873" s="53">
        <f t="shared" si="1"/>
        <v>0</v>
      </c>
      <c r="I873" s="115"/>
      <c r="J873" s="115"/>
      <c r="K873" s="60">
        <f t="shared" si="2"/>
        <v>0</v>
      </c>
      <c r="L873" s="117"/>
    </row>
    <row r="874" ht="15.75" customHeight="1">
      <c r="A874" s="9"/>
      <c r="B874" s="164"/>
      <c r="C874" s="110"/>
      <c r="D874" s="110"/>
      <c r="E874" s="111"/>
      <c r="F874" s="112"/>
      <c r="G874" s="113"/>
      <c r="H874" s="53">
        <f t="shared" si="1"/>
        <v>0</v>
      </c>
      <c r="I874" s="115"/>
      <c r="J874" s="115"/>
      <c r="K874" s="60">
        <f t="shared" si="2"/>
        <v>0</v>
      </c>
      <c r="L874" s="117"/>
    </row>
    <row r="875" ht="15.75" customHeight="1">
      <c r="A875" s="9"/>
      <c r="B875" s="164"/>
      <c r="C875" s="110"/>
      <c r="D875" s="110"/>
      <c r="E875" s="111"/>
      <c r="F875" s="112"/>
      <c r="G875" s="113"/>
      <c r="H875" s="53">
        <f t="shared" si="1"/>
        <v>0</v>
      </c>
      <c r="I875" s="115"/>
      <c r="J875" s="115"/>
      <c r="K875" s="60">
        <f t="shared" si="2"/>
        <v>0</v>
      </c>
      <c r="L875" s="117"/>
    </row>
    <row r="876" ht="15.75" customHeight="1">
      <c r="A876" s="9"/>
      <c r="B876" s="164"/>
      <c r="C876" s="110"/>
      <c r="D876" s="110"/>
      <c r="E876" s="111"/>
      <c r="F876" s="112"/>
      <c r="G876" s="113"/>
      <c r="H876" s="53">
        <f t="shared" si="1"/>
        <v>0</v>
      </c>
      <c r="I876" s="115"/>
      <c r="J876" s="115"/>
      <c r="K876" s="60">
        <f t="shared" si="2"/>
        <v>0</v>
      </c>
      <c r="L876" s="117"/>
    </row>
    <row r="877" ht="15.75" customHeight="1">
      <c r="A877" s="9"/>
      <c r="B877" s="164"/>
      <c r="C877" s="110"/>
      <c r="D877" s="110"/>
      <c r="E877" s="111"/>
      <c r="F877" s="112"/>
      <c r="G877" s="113"/>
      <c r="H877" s="53">
        <f t="shared" si="1"/>
        <v>0</v>
      </c>
      <c r="I877" s="115"/>
      <c r="J877" s="115"/>
      <c r="K877" s="60">
        <f t="shared" si="2"/>
        <v>0</v>
      </c>
      <c r="L877" s="117"/>
    </row>
    <row r="878" ht="15.75" customHeight="1">
      <c r="A878" s="9"/>
      <c r="B878" s="164"/>
      <c r="C878" s="110"/>
      <c r="D878" s="110"/>
      <c r="E878" s="111"/>
      <c r="F878" s="112"/>
      <c r="G878" s="113"/>
      <c r="H878" s="53">
        <f t="shared" si="1"/>
        <v>0</v>
      </c>
      <c r="I878" s="115"/>
      <c r="J878" s="115"/>
      <c r="K878" s="60">
        <f t="shared" si="2"/>
        <v>0</v>
      </c>
      <c r="L878" s="117"/>
    </row>
    <row r="879" ht="15.75" customHeight="1">
      <c r="A879" s="9"/>
      <c r="B879" s="164"/>
      <c r="C879" s="110"/>
      <c r="D879" s="110"/>
      <c r="E879" s="111"/>
      <c r="F879" s="112"/>
      <c r="G879" s="113"/>
      <c r="H879" s="53">
        <f t="shared" si="1"/>
        <v>0</v>
      </c>
      <c r="I879" s="115"/>
      <c r="J879" s="115"/>
      <c r="K879" s="60">
        <f t="shared" si="2"/>
        <v>0</v>
      </c>
      <c r="L879" s="117"/>
    </row>
    <row r="880" ht="15.75" customHeight="1">
      <c r="A880" s="9"/>
      <c r="B880" s="164"/>
      <c r="C880" s="110"/>
      <c r="D880" s="110"/>
      <c r="E880" s="111"/>
      <c r="F880" s="112"/>
      <c r="G880" s="113"/>
      <c r="H880" s="53">
        <f t="shared" si="1"/>
        <v>0</v>
      </c>
      <c r="I880" s="115"/>
      <c r="J880" s="115"/>
      <c r="K880" s="60">
        <f t="shared" si="2"/>
        <v>0</v>
      </c>
      <c r="L880" s="117"/>
    </row>
    <row r="881" ht="15.75" customHeight="1">
      <c r="A881" s="9"/>
      <c r="B881" s="164"/>
      <c r="C881" s="110"/>
      <c r="D881" s="110"/>
      <c r="E881" s="111"/>
      <c r="F881" s="112"/>
      <c r="G881" s="113"/>
      <c r="H881" s="53">
        <f t="shared" si="1"/>
        <v>0</v>
      </c>
      <c r="I881" s="115"/>
      <c r="J881" s="115"/>
      <c r="K881" s="60">
        <f t="shared" si="2"/>
        <v>0</v>
      </c>
      <c r="L881" s="117"/>
    </row>
    <row r="882" ht="15.75" customHeight="1">
      <c r="A882" s="9"/>
      <c r="B882" s="164"/>
      <c r="C882" s="110"/>
      <c r="D882" s="110"/>
      <c r="E882" s="111"/>
      <c r="F882" s="112"/>
      <c r="G882" s="113"/>
      <c r="H882" s="53">
        <f t="shared" si="1"/>
        <v>0</v>
      </c>
      <c r="I882" s="115"/>
      <c r="J882" s="115"/>
      <c r="K882" s="60">
        <f t="shared" si="2"/>
        <v>0</v>
      </c>
      <c r="L882" s="117"/>
    </row>
    <row r="883" ht="15.75" customHeight="1">
      <c r="A883" s="9"/>
      <c r="B883" s="164"/>
      <c r="C883" s="110"/>
      <c r="D883" s="110"/>
      <c r="E883" s="111"/>
      <c r="F883" s="112"/>
      <c r="G883" s="113"/>
      <c r="H883" s="53">
        <f t="shared" si="1"/>
        <v>0</v>
      </c>
      <c r="I883" s="115"/>
      <c r="J883" s="115"/>
      <c r="K883" s="60">
        <f t="shared" si="2"/>
        <v>0</v>
      </c>
      <c r="L883" s="117"/>
    </row>
    <row r="884" ht="15.75" customHeight="1">
      <c r="A884" s="9"/>
      <c r="B884" s="164"/>
      <c r="C884" s="110"/>
      <c r="D884" s="110"/>
      <c r="E884" s="111"/>
      <c r="F884" s="112"/>
      <c r="G884" s="113"/>
      <c r="H884" s="53">
        <f t="shared" si="1"/>
        <v>0</v>
      </c>
      <c r="I884" s="115"/>
      <c r="J884" s="115"/>
      <c r="K884" s="60">
        <f t="shared" si="2"/>
        <v>0</v>
      </c>
      <c r="L884" s="117"/>
    </row>
    <row r="885" ht="15.75" customHeight="1">
      <c r="A885" s="9"/>
      <c r="B885" s="164"/>
      <c r="C885" s="110"/>
      <c r="D885" s="110"/>
      <c r="E885" s="111"/>
      <c r="F885" s="112"/>
      <c r="G885" s="113"/>
      <c r="H885" s="53">
        <f t="shared" si="1"/>
        <v>0</v>
      </c>
      <c r="I885" s="115"/>
      <c r="J885" s="115"/>
      <c r="K885" s="60">
        <f t="shared" si="2"/>
        <v>0</v>
      </c>
      <c r="L885" s="117"/>
    </row>
    <row r="886" ht="15.75" customHeight="1">
      <c r="A886" s="9"/>
      <c r="B886" s="164"/>
      <c r="C886" s="110"/>
      <c r="D886" s="110"/>
      <c r="E886" s="111"/>
      <c r="F886" s="112"/>
      <c r="G886" s="113"/>
      <c r="H886" s="53">
        <f t="shared" si="1"/>
        <v>0</v>
      </c>
      <c r="I886" s="115"/>
      <c r="J886" s="115"/>
      <c r="K886" s="60">
        <f t="shared" si="2"/>
        <v>0</v>
      </c>
      <c r="L886" s="117"/>
    </row>
    <row r="887" ht="15.75" customHeight="1">
      <c r="A887" s="9"/>
      <c r="B887" s="164"/>
      <c r="C887" s="110"/>
      <c r="D887" s="110"/>
      <c r="E887" s="111"/>
      <c r="F887" s="112"/>
      <c r="G887" s="113"/>
      <c r="H887" s="53">
        <f t="shared" si="1"/>
        <v>0</v>
      </c>
      <c r="I887" s="115"/>
      <c r="J887" s="115"/>
      <c r="K887" s="60">
        <f t="shared" si="2"/>
        <v>0</v>
      </c>
      <c r="L887" s="117"/>
    </row>
    <row r="888" ht="15.75" customHeight="1">
      <c r="A888" s="9"/>
      <c r="B888" s="164"/>
      <c r="C888" s="110"/>
      <c r="D888" s="110"/>
      <c r="E888" s="111"/>
      <c r="F888" s="112"/>
      <c r="G888" s="113"/>
      <c r="H888" s="53">
        <f t="shared" si="1"/>
        <v>0</v>
      </c>
      <c r="I888" s="115"/>
      <c r="J888" s="115"/>
      <c r="K888" s="60">
        <f t="shared" si="2"/>
        <v>0</v>
      </c>
      <c r="L888" s="117"/>
    </row>
    <row r="889" ht="15.75" customHeight="1">
      <c r="A889" s="9"/>
      <c r="B889" s="164"/>
      <c r="C889" s="110"/>
      <c r="D889" s="110"/>
      <c r="E889" s="111"/>
      <c r="F889" s="112"/>
      <c r="G889" s="113"/>
      <c r="H889" s="53">
        <f t="shared" si="1"/>
        <v>0</v>
      </c>
      <c r="I889" s="115"/>
      <c r="J889" s="115"/>
      <c r="K889" s="60">
        <f t="shared" si="2"/>
        <v>0</v>
      </c>
      <c r="L889" s="117"/>
    </row>
    <row r="890" ht="15.75" customHeight="1">
      <c r="A890" s="9"/>
      <c r="B890" s="164"/>
      <c r="C890" s="110"/>
      <c r="D890" s="110"/>
      <c r="E890" s="111"/>
      <c r="F890" s="112"/>
      <c r="G890" s="113"/>
      <c r="H890" s="53">
        <f t="shared" si="1"/>
        <v>0</v>
      </c>
      <c r="I890" s="115"/>
      <c r="J890" s="115"/>
      <c r="K890" s="60">
        <f t="shared" si="2"/>
        <v>0</v>
      </c>
      <c r="L890" s="117"/>
    </row>
    <row r="891" ht="15.75" customHeight="1">
      <c r="A891" s="186"/>
      <c r="B891" s="164"/>
      <c r="C891" s="110"/>
      <c r="D891" s="110"/>
      <c r="E891" s="111"/>
      <c r="F891" s="110"/>
      <c r="G891" s="110"/>
      <c r="H891" s="53">
        <f t="shared" si="1"/>
        <v>0</v>
      </c>
      <c r="I891" s="110"/>
      <c r="J891" s="110"/>
      <c r="K891" s="60">
        <f t="shared" si="2"/>
        <v>0</v>
      </c>
      <c r="L891" s="117"/>
    </row>
    <row r="892" ht="15.75" customHeight="1">
      <c r="A892" s="186"/>
      <c r="B892" s="164"/>
      <c r="C892" s="110"/>
      <c r="D892" s="110"/>
      <c r="E892" s="111"/>
      <c r="F892" s="110"/>
      <c r="G892" s="110"/>
      <c r="H892" s="53">
        <f t="shared" si="1"/>
        <v>0</v>
      </c>
      <c r="I892" s="110"/>
      <c r="J892" s="110"/>
      <c r="K892" s="60">
        <f t="shared" si="2"/>
        <v>0</v>
      </c>
      <c r="L892" s="117"/>
    </row>
    <row r="893" ht="15.75" customHeight="1">
      <c r="A893" s="186"/>
      <c r="B893" s="164"/>
      <c r="C893" s="110"/>
      <c r="D893" s="110"/>
      <c r="E893" s="111"/>
      <c r="F893" s="110"/>
      <c r="G893" s="110"/>
      <c r="H893" s="53">
        <f t="shared" si="1"/>
        <v>0</v>
      </c>
      <c r="I893" s="110"/>
      <c r="J893" s="110"/>
      <c r="K893" s="60">
        <f t="shared" si="2"/>
        <v>0</v>
      </c>
      <c r="L893" s="117"/>
    </row>
    <row r="894" ht="15.75" customHeight="1">
      <c r="A894" s="186"/>
      <c r="B894" s="164"/>
      <c r="C894" s="110"/>
      <c r="D894" s="110"/>
      <c r="E894" s="111"/>
      <c r="F894" s="110"/>
      <c r="G894" s="110"/>
      <c r="H894" s="53">
        <f t="shared" si="1"/>
        <v>0</v>
      </c>
      <c r="I894" s="110"/>
      <c r="J894" s="110"/>
      <c r="K894" s="60">
        <f t="shared" si="2"/>
        <v>0</v>
      </c>
      <c r="L894" s="117"/>
    </row>
    <row r="895" ht="15.75" customHeight="1">
      <c r="A895" s="186"/>
      <c r="B895" s="164"/>
      <c r="C895" s="110"/>
      <c r="D895" s="110"/>
      <c r="E895" s="111"/>
      <c r="F895" s="110"/>
      <c r="G895" s="110"/>
      <c r="H895" s="53">
        <f t="shared" si="1"/>
        <v>0</v>
      </c>
      <c r="I895" s="110"/>
      <c r="J895" s="110"/>
      <c r="K895" s="60">
        <f t="shared" si="2"/>
        <v>0</v>
      </c>
      <c r="L895" s="117"/>
    </row>
    <row r="896" ht="15.75" customHeight="1">
      <c r="A896" s="186"/>
      <c r="B896" s="164"/>
      <c r="C896" s="110"/>
      <c r="D896" s="110"/>
      <c r="E896" s="111"/>
      <c r="F896" s="110"/>
      <c r="G896" s="110"/>
      <c r="H896" s="53">
        <f t="shared" si="1"/>
        <v>0</v>
      </c>
      <c r="I896" s="110"/>
      <c r="J896" s="110"/>
      <c r="K896" s="60">
        <f t="shared" si="2"/>
        <v>0</v>
      </c>
      <c r="L896" s="117"/>
    </row>
    <row r="897" ht="15.75" customHeight="1">
      <c r="A897" s="186"/>
      <c r="B897" s="164"/>
      <c r="C897" s="110"/>
      <c r="D897" s="110"/>
      <c r="E897" s="111"/>
      <c r="F897" s="110"/>
      <c r="G897" s="110"/>
      <c r="H897" s="53">
        <f t="shared" si="1"/>
        <v>0</v>
      </c>
      <c r="I897" s="110"/>
      <c r="J897" s="110"/>
      <c r="K897" s="60">
        <f t="shared" si="2"/>
        <v>0</v>
      </c>
      <c r="L897" s="117"/>
    </row>
    <row r="898" ht="15.75" customHeight="1">
      <c r="A898" s="186"/>
      <c r="B898" s="164"/>
      <c r="C898" s="110"/>
      <c r="D898" s="110"/>
      <c r="E898" s="111"/>
      <c r="F898" s="110"/>
      <c r="G898" s="110"/>
      <c r="H898" s="53">
        <f t="shared" si="1"/>
        <v>0</v>
      </c>
      <c r="I898" s="110"/>
      <c r="J898" s="110"/>
      <c r="K898" s="60">
        <f t="shared" si="2"/>
        <v>0</v>
      </c>
      <c r="L898" s="117"/>
    </row>
    <row r="899" ht="15.75" customHeight="1">
      <c r="A899" s="186"/>
      <c r="B899" s="164"/>
      <c r="C899" s="110"/>
      <c r="D899" s="110"/>
      <c r="E899" s="111"/>
      <c r="F899" s="110"/>
      <c r="G899" s="110"/>
      <c r="H899" s="53">
        <f t="shared" si="1"/>
        <v>0</v>
      </c>
      <c r="I899" s="110"/>
      <c r="J899" s="110"/>
      <c r="K899" s="60">
        <f t="shared" si="2"/>
        <v>0</v>
      </c>
      <c r="L899" s="117"/>
    </row>
    <row r="900" ht="15.75" customHeight="1">
      <c r="A900" s="186"/>
      <c r="B900" s="164"/>
      <c r="C900" s="110"/>
      <c r="D900" s="110"/>
      <c r="E900" s="111"/>
      <c r="F900" s="110"/>
      <c r="G900" s="110"/>
      <c r="H900" s="53">
        <f t="shared" si="1"/>
        <v>0</v>
      </c>
      <c r="I900" s="110"/>
      <c r="J900" s="110"/>
      <c r="K900" s="60">
        <f t="shared" si="2"/>
        <v>0</v>
      </c>
      <c r="L900" s="117"/>
    </row>
    <row r="901" ht="15.75" customHeight="1">
      <c r="A901" s="186"/>
      <c r="B901" s="164"/>
      <c r="C901" s="110"/>
      <c r="D901" s="110"/>
      <c r="E901" s="111"/>
      <c r="F901" s="110"/>
      <c r="G901" s="110"/>
      <c r="H901" s="53">
        <f t="shared" si="1"/>
        <v>0</v>
      </c>
      <c r="I901" s="110"/>
      <c r="J901" s="110"/>
      <c r="K901" s="60">
        <f t="shared" si="2"/>
        <v>0</v>
      </c>
      <c r="L901" s="117"/>
    </row>
    <row r="902" ht="15.75" customHeight="1">
      <c r="A902" s="186"/>
      <c r="B902" s="164"/>
      <c r="C902" s="110"/>
      <c r="D902" s="110"/>
      <c r="E902" s="111"/>
      <c r="F902" s="110"/>
      <c r="G902" s="110"/>
      <c r="H902" s="53">
        <f t="shared" si="1"/>
        <v>0</v>
      </c>
      <c r="I902" s="110"/>
      <c r="J902" s="110"/>
      <c r="K902" s="60">
        <f t="shared" si="2"/>
        <v>0</v>
      </c>
      <c r="L902" s="117"/>
    </row>
    <row r="903" ht="15.75" customHeight="1">
      <c r="A903" s="186"/>
      <c r="B903" s="164"/>
      <c r="C903" s="110"/>
      <c r="D903" s="110"/>
      <c r="E903" s="111"/>
      <c r="F903" s="110"/>
      <c r="G903" s="110"/>
      <c r="H903" s="53">
        <f t="shared" si="1"/>
        <v>0</v>
      </c>
      <c r="I903" s="110"/>
      <c r="J903" s="110"/>
      <c r="K903" s="60">
        <f t="shared" si="2"/>
        <v>0</v>
      </c>
      <c r="L903" s="117"/>
    </row>
    <row r="904" ht="15.75" customHeight="1">
      <c r="A904" s="186"/>
      <c r="B904" s="164"/>
      <c r="C904" s="110"/>
      <c r="D904" s="110"/>
      <c r="E904" s="111"/>
      <c r="F904" s="110"/>
      <c r="G904" s="110"/>
      <c r="H904" s="53">
        <f t="shared" si="1"/>
        <v>0</v>
      </c>
      <c r="I904" s="110"/>
      <c r="J904" s="110"/>
      <c r="K904" s="60">
        <f t="shared" si="2"/>
        <v>0</v>
      </c>
      <c r="L904" s="117"/>
    </row>
  </sheetData>
  <autoFilter ref="$B$1:$L$904">
    <filterColumn colId="10">
      <filters blank="1">
        <filter val="Setembro"/>
      </filters>
    </filterColumn>
  </autoFilter>
  <dataValidations>
    <dataValidation type="list" allowBlank="1" showErrorMessage="1" sqref="E2:E904">
      <formula1>"Romantic,Poliamida,Renda 18cm,Malha Forrinho,Viés 16mm Pue,Viés 25mm Pue,Alça,Boxer"</formula1>
    </dataValidation>
    <dataValidation type="list" allowBlank="1" showErrorMessage="1" sqref="I2:I904">
      <formula1>"Pago,Aguardando Pagamento"</formula1>
    </dataValidation>
    <dataValidation type="list" allowBlank="1" showErrorMessage="1" sqref="L2:L904">
      <formula1>"Janeiro,Fevereiro,Março,Abril,Maio,Junho,Julho,Agosto,Setembro,Outubro,Novembro,Dezembro"</formula1>
    </dataValidation>
    <dataValidation type="list" allowBlank="1" showErrorMessage="1" sqref="J2:J904">
      <formula1>"2,00%,1,50%,1,00%"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17.5"/>
    <col customWidth="1" min="3" max="3" width="15.63"/>
    <col customWidth="1" min="4" max="4" width="23.75"/>
    <col customWidth="1" min="5" max="5" width="24.88"/>
    <col customWidth="1" min="6" max="6" width="16.13"/>
    <col customWidth="1" min="7" max="7" width="16.38"/>
    <col customWidth="1" min="8" max="8" width="15.38"/>
    <col customWidth="1" min="9" max="9" width="21.63"/>
    <col customWidth="1" min="10" max="10" width="19.63"/>
    <col customWidth="1" min="11" max="11" width="18.63"/>
    <col customWidth="1" min="12" max="12" width="19.13"/>
  </cols>
  <sheetData>
    <row r="1" ht="24.0" customHeight="1">
      <c r="A1" s="9"/>
      <c r="B1" s="14" t="s">
        <v>21</v>
      </c>
      <c r="C1" s="187" t="s">
        <v>19</v>
      </c>
      <c r="D1" s="17" t="s">
        <v>3</v>
      </c>
      <c r="E1" s="17" t="s">
        <v>8</v>
      </c>
      <c r="F1" s="17" t="s">
        <v>24</v>
      </c>
      <c r="G1" s="17" t="s">
        <v>7</v>
      </c>
      <c r="H1" s="17" t="s">
        <v>10</v>
      </c>
      <c r="I1" s="25" t="s">
        <v>25</v>
      </c>
      <c r="J1" s="25" t="s">
        <v>11</v>
      </c>
      <c r="K1" s="17" t="s">
        <v>16</v>
      </c>
      <c r="L1" s="29" t="s">
        <v>13</v>
      </c>
    </row>
    <row r="2" ht="15.75" customHeight="1">
      <c r="A2" s="9"/>
      <c r="B2" s="32">
        <v>45995.0</v>
      </c>
      <c r="C2" s="35">
        <v>180878.0</v>
      </c>
      <c r="D2" s="188" t="s">
        <v>86</v>
      </c>
      <c r="E2" s="35" t="s">
        <v>89</v>
      </c>
      <c r="F2" s="43">
        <v>28.9</v>
      </c>
      <c r="G2" s="44">
        <v>1621.88</v>
      </c>
      <c r="H2" s="53">
        <f t="shared" ref="H2:H903" si="1">F2*G2</f>
        <v>46872.332</v>
      </c>
      <c r="I2" s="56" t="s">
        <v>90</v>
      </c>
      <c r="J2" s="57">
        <v>0.0075</v>
      </c>
      <c r="K2" s="60">
        <f t="shared" ref="K2:K903" si="2">H2*J2</f>
        <v>351.54249</v>
      </c>
      <c r="L2" s="64" t="s">
        <v>26</v>
      </c>
    </row>
    <row r="3" ht="15.75" customHeight="1">
      <c r="A3" s="9"/>
      <c r="B3" s="81">
        <v>45995.0</v>
      </c>
      <c r="C3" s="35">
        <v>180716.0</v>
      </c>
      <c r="D3" s="188" t="s">
        <v>86</v>
      </c>
      <c r="E3" s="35" t="s">
        <v>89</v>
      </c>
      <c r="F3" s="43">
        <v>28.9</v>
      </c>
      <c r="G3" s="44">
        <v>234.581</v>
      </c>
      <c r="H3" s="53">
        <f t="shared" si="1"/>
        <v>6779.3909</v>
      </c>
      <c r="I3" s="56" t="s">
        <v>90</v>
      </c>
      <c r="J3" s="57">
        <v>0.0075</v>
      </c>
      <c r="K3" s="60">
        <f t="shared" si="2"/>
        <v>50.84543175</v>
      </c>
      <c r="L3" s="64" t="s">
        <v>26</v>
      </c>
    </row>
    <row r="4" ht="15.75" customHeight="1">
      <c r="A4" s="9"/>
      <c r="B4" s="81">
        <v>45999.0</v>
      </c>
      <c r="C4" s="35">
        <v>101634.0</v>
      </c>
      <c r="D4" s="188" t="s">
        <v>66</v>
      </c>
      <c r="E4" s="35" t="s">
        <v>91</v>
      </c>
      <c r="F4" s="43">
        <v>26.9</v>
      </c>
      <c r="G4" s="44">
        <v>234.9</v>
      </c>
      <c r="H4" s="53">
        <f t="shared" si="1"/>
        <v>6318.81</v>
      </c>
      <c r="I4" s="56" t="s">
        <v>90</v>
      </c>
      <c r="J4" s="57">
        <v>0.025</v>
      </c>
      <c r="K4" s="60">
        <f t="shared" si="2"/>
        <v>157.97025</v>
      </c>
      <c r="L4" s="64" t="s">
        <v>26</v>
      </c>
    </row>
    <row r="5" ht="15.75" customHeight="1">
      <c r="A5" s="9"/>
      <c r="B5" s="67">
        <v>45999.0</v>
      </c>
      <c r="C5" s="39">
        <v>10079.0</v>
      </c>
      <c r="D5" s="188" t="s">
        <v>86</v>
      </c>
      <c r="E5" s="35" t="s">
        <v>92</v>
      </c>
      <c r="F5" s="43">
        <v>44.9</v>
      </c>
      <c r="G5" s="44">
        <v>115.06</v>
      </c>
      <c r="H5" s="53">
        <f t="shared" si="1"/>
        <v>5166.194</v>
      </c>
      <c r="I5" s="56" t="s">
        <v>90</v>
      </c>
      <c r="J5" s="57">
        <v>0.0075</v>
      </c>
      <c r="K5" s="60">
        <f t="shared" si="2"/>
        <v>38.746455</v>
      </c>
      <c r="L5" s="64" t="s">
        <v>26</v>
      </c>
    </row>
    <row r="6" ht="15.75" customHeight="1">
      <c r="A6" s="9"/>
      <c r="B6" s="67">
        <v>46000.0</v>
      </c>
      <c r="C6" s="39">
        <v>122911.0</v>
      </c>
      <c r="D6" s="137" t="s">
        <v>51</v>
      </c>
      <c r="E6" s="35" t="s">
        <v>93</v>
      </c>
      <c r="F6" s="43">
        <v>3.7</v>
      </c>
      <c r="G6" s="44">
        <v>813.51</v>
      </c>
      <c r="H6" s="53">
        <f t="shared" si="1"/>
        <v>3009.987</v>
      </c>
      <c r="I6" s="56" t="s">
        <v>90</v>
      </c>
      <c r="J6" s="57">
        <v>0.01</v>
      </c>
      <c r="K6" s="60">
        <f t="shared" si="2"/>
        <v>30.09987</v>
      </c>
      <c r="L6" s="64" t="s">
        <v>26</v>
      </c>
    </row>
    <row r="7" ht="15.75" customHeight="1">
      <c r="A7" s="9"/>
      <c r="B7" s="67">
        <v>46000.0</v>
      </c>
      <c r="C7" s="39">
        <v>122921.0</v>
      </c>
      <c r="D7" s="137" t="s">
        <v>51</v>
      </c>
      <c r="E7" s="35" t="s">
        <v>93</v>
      </c>
      <c r="F7" s="43">
        <v>3.7</v>
      </c>
      <c r="G7" s="44">
        <v>697.297</v>
      </c>
      <c r="H7" s="53">
        <f t="shared" si="1"/>
        <v>2579.9989</v>
      </c>
      <c r="I7" s="56" t="s">
        <v>90</v>
      </c>
      <c r="J7" s="57">
        <v>0.01</v>
      </c>
      <c r="K7" s="60">
        <f t="shared" si="2"/>
        <v>25.799989</v>
      </c>
      <c r="L7" s="64" t="s">
        <v>26</v>
      </c>
    </row>
    <row r="8" ht="15.75" customHeight="1">
      <c r="A8" s="9"/>
      <c r="B8" s="67">
        <v>46007.0</v>
      </c>
      <c r="C8" s="39">
        <v>10105.0</v>
      </c>
      <c r="D8" s="188" t="s">
        <v>86</v>
      </c>
      <c r="E8" s="35" t="s">
        <v>92</v>
      </c>
      <c r="F8" s="43">
        <v>44.9</v>
      </c>
      <c r="G8" s="189">
        <v>1172.4</v>
      </c>
      <c r="H8" s="53">
        <f t="shared" si="1"/>
        <v>52640.76</v>
      </c>
      <c r="I8" s="56" t="s">
        <v>90</v>
      </c>
      <c r="J8" s="57">
        <v>0.005</v>
      </c>
      <c r="K8" s="60">
        <f t="shared" si="2"/>
        <v>263.2038</v>
      </c>
      <c r="L8" s="64" t="s">
        <v>26</v>
      </c>
    </row>
    <row r="9" ht="15.75" customHeight="1">
      <c r="A9" s="9"/>
      <c r="B9" s="67">
        <v>46007.0</v>
      </c>
      <c r="C9" s="39">
        <v>123071.0</v>
      </c>
      <c r="D9" s="188" t="s">
        <v>51</v>
      </c>
      <c r="E9" s="35" t="s">
        <v>93</v>
      </c>
      <c r="F9" s="43">
        <v>3.7</v>
      </c>
      <c r="G9" s="44">
        <v>3835.13</v>
      </c>
      <c r="H9" s="53">
        <f t="shared" si="1"/>
        <v>14189.981</v>
      </c>
      <c r="I9" s="56" t="s">
        <v>90</v>
      </c>
      <c r="J9" s="57">
        <v>0.01</v>
      </c>
      <c r="K9" s="60">
        <f t="shared" si="2"/>
        <v>141.89981</v>
      </c>
      <c r="L9" s="64" t="s">
        <v>26</v>
      </c>
    </row>
    <row r="10" ht="15.75" customHeight="1">
      <c r="A10" s="9"/>
      <c r="B10" s="67">
        <v>46008.0</v>
      </c>
      <c r="C10" s="39">
        <v>10114.0</v>
      </c>
      <c r="D10" s="188" t="s">
        <v>86</v>
      </c>
      <c r="E10" s="35" t="s">
        <v>92</v>
      </c>
      <c r="F10" s="43">
        <v>44.9</v>
      </c>
      <c r="G10" s="44">
        <v>700.66</v>
      </c>
      <c r="H10" s="53">
        <f t="shared" si="1"/>
        <v>31459.634</v>
      </c>
      <c r="I10" s="56" t="s">
        <v>90</v>
      </c>
      <c r="J10" s="57">
        <v>0.005</v>
      </c>
      <c r="K10" s="60">
        <f t="shared" si="2"/>
        <v>157.29817</v>
      </c>
      <c r="L10" s="64" t="s">
        <v>26</v>
      </c>
    </row>
    <row r="11" ht="15.75" customHeight="1">
      <c r="A11" s="9"/>
      <c r="B11" s="67">
        <v>46009.0</v>
      </c>
      <c r="C11" s="39">
        <v>123361.0</v>
      </c>
      <c r="D11" s="188" t="s">
        <v>51</v>
      </c>
      <c r="E11" s="35" t="s">
        <v>93</v>
      </c>
      <c r="F11" s="43">
        <v>3.7</v>
      </c>
      <c r="G11" s="44">
        <v>2324.32</v>
      </c>
      <c r="H11" s="53">
        <f t="shared" si="1"/>
        <v>8599.984</v>
      </c>
      <c r="I11" s="56" t="s">
        <v>90</v>
      </c>
      <c r="J11" s="57">
        <v>0.01</v>
      </c>
      <c r="K11" s="60">
        <f t="shared" si="2"/>
        <v>85.99984</v>
      </c>
      <c r="L11" s="64" t="s">
        <v>26</v>
      </c>
    </row>
    <row r="12" ht="15.75" customHeight="1">
      <c r="A12" s="9"/>
      <c r="B12" s="130"/>
      <c r="C12" s="39">
        <v>12414.0</v>
      </c>
      <c r="D12" s="188" t="s">
        <v>51</v>
      </c>
      <c r="E12" s="35" t="s">
        <v>93</v>
      </c>
      <c r="F12" s="43">
        <v>4.3</v>
      </c>
      <c r="G12" s="44">
        <v>240.0</v>
      </c>
      <c r="H12" s="53">
        <f t="shared" si="1"/>
        <v>1032</v>
      </c>
      <c r="I12" s="56" t="s">
        <v>90</v>
      </c>
      <c r="J12" s="57">
        <v>0.01</v>
      </c>
      <c r="K12" s="60">
        <f t="shared" si="2"/>
        <v>10.32</v>
      </c>
      <c r="L12" s="64" t="s">
        <v>42</v>
      </c>
    </row>
    <row r="13" ht="15.75" customHeight="1">
      <c r="A13" s="9"/>
      <c r="B13" s="130"/>
      <c r="C13" s="39">
        <v>12414.0</v>
      </c>
      <c r="D13" s="188" t="s">
        <v>51</v>
      </c>
      <c r="E13" s="35" t="s">
        <v>93</v>
      </c>
      <c r="F13" s="43">
        <v>4.3</v>
      </c>
      <c r="G13" s="44">
        <v>480.0</v>
      </c>
      <c r="H13" s="53">
        <f t="shared" si="1"/>
        <v>2064</v>
      </c>
      <c r="I13" s="56" t="s">
        <v>90</v>
      </c>
      <c r="J13" s="57">
        <v>0.01</v>
      </c>
      <c r="K13" s="60">
        <f t="shared" si="2"/>
        <v>20.64</v>
      </c>
      <c r="L13" s="64" t="s">
        <v>65</v>
      </c>
    </row>
    <row r="14" ht="15.75" customHeight="1">
      <c r="A14" s="9"/>
      <c r="B14" s="109"/>
      <c r="C14" s="39">
        <v>12414.0</v>
      </c>
      <c r="D14" s="188" t="s">
        <v>51</v>
      </c>
      <c r="E14" s="35" t="s">
        <v>93</v>
      </c>
      <c r="F14" s="43">
        <v>4.3</v>
      </c>
      <c r="G14" s="44">
        <v>480.0</v>
      </c>
      <c r="H14" s="53">
        <f t="shared" si="1"/>
        <v>2064</v>
      </c>
      <c r="I14" s="56" t="s">
        <v>90</v>
      </c>
      <c r="J14" s="57">
        <v>0.01</v>
      </c>
      <c r="K14" s="60">
        <f t="shared" si="2"/>
        <v>20.64</v>
      </c>
      <c r="L14" s="64" t="s">
        <v>64</v>
      </c>
    </row>
    <row r="15" ht="15.75" customHeight="1">
      <c r="A15" s="9"/>
      <c r="B15" s="105">
        <v>46050.0</v>
      </c>
      <c r="C15" s="56"/>
      <c r="D15" s="188" t="s">
        <v>86</v>
      </c>
      <c r="E15" s="35" t="s">
        <v>92</v>
      </c>
      <c r="F15" s="43">
        <v>42.9</v>
      </c>
      <c r="G15" s="106">
        <v>960.0</v>
      </c>
      <c r="H15" s="53">
        <f t="shared" si="1"/>
        <v>41184</v>
      </c>
      <c r="I15" s="56" t="s">
        <v>90</v>
      </c>
      <c r="J15" s="57">
        <v>0.0075</v>
      </c>
      <c r="K15" s="60">
        <f t="shared" si="2"/>
        <v>308.88</v>
      </c>
      <c r="L15" s="64" t="s">
        <v>65</v>
      </c>
    </row>
    <row r="16" ht="15.75" customHeight="1">
      <c r="A16" s="9"/>
      <c r="B16" s="109"/>
      <c r="C16" s="110"/>
      <c r="D16" s="188" t="s">
        <v>94</v>
      </c>
      <c r="E16" s="35" t="s">
        <v>95</v>
      </c>
      <c r="F16" s="43">
        <v>80.0</v>
      </c>
      <c r="G16" s="106">
        <v>1000.0</v>
      </c>
      <c r="H16" s="53">
        <f t="shared" si="1"/>
        <v>80000</v>
      </c>
      <c r="I16" s="56" t="s">
        <v>90</v>
      </c>
      <c r="J16" s="57">
        <v>0.0125</v>
      </c>
      <c r="K16" s="60">
        <f t="shared" si="2"/>
        <v>1000</v>
      </c>
      <c r="L16" s="64" t="s">
        <v>67</v>
      </c>
    </row>
    <row r="17" ht="15.75" customHeight="1">
      <c r="A17" s="9"/>
      <c r="B17" s="109"/>
      <c r="C17" s="110"/>
      <c r="D17" s="188"/>
      <c r="E17" s="35"/>
      <c r="F17" s="43"/>
      <c r="G17" s="113"/>
      <c r="H17" s="53">
        <f t="shared" si="1"/>
        <v>0</v>
      </c>
      <c r="I17" s="115"/>
      <c r="J17" s="115"/>
      <c r="K17" s="60">
        <f t="shared" si="2"/>
        <v>0</v>
      </c>
      <c r="L17" s="117"/>
    </row>
    <row r="18" ht="15.75" customHeight="1">
      <c r="A18" s="9"/>
      <c r="B18" s="109"/>
      <c r="C18" s="110"/>
      <c r="D18" s="156"/>
      <c r="E18" s="35"/>
      <c r="F18" s="112"/>
      <c r="G18" s="113"/>
      <c r="H18" s="53">
        <f t="shared" si="1"/>
        <v>0</v>
      </c>
      <c r="I18" s="115"/>
      <c r="J18" s="115"/>
      <c r="K18" s="60">
        <f t="shared" si="2"/>
        <v>0</v>
      </c>
      <c r="L18" s="117"/>
    </row>
    <row r="19" ht="15.75" customHeight="1">
      <c r="A19" s="9"/>
      <c r="B19" s="109"/>
      <c r="C19" s="110"/>
      <c r="D19" s="156"/>
      <c r="E19" s="35"/>
      <c r="F19" s="112"/>
      <c r="G19" s="113"/>
      <c r="H19" s="53">
        <f t="shared" si="1"/>
        <v>0</v>
      </c>
      <c r="I19" s="115"/>
      <c r="J19" s="115"/>
      <c r="K19" s="60">
        <f t="shared" si="2"/>
        <v>0</v>
      </c>
      <c r="L19" s="117"/>
    </row>
    <row r="20" ht="15.75" customHeight="1">
      <c r="A20" s="9"/>
      <c r="B20" s="109"/>
      <c r="C20" s="110"/>
      <c r="D20" s="156"/>
      <c r="E20" s="35"/>
      <c r="F20" s="112"/>
      <c r="G20" s="113"/>
      <c r="H20" s="53">
        <f t="shared" si="1"/>
        <v>0</v>
      </c>
      <c r="I20" s="115"/>
      <c r="J20" s="115"/>
      <c r="K20" s="60">
        <f t="shared" si="2"/>
        <v>0</v>
      </c>
      <c r="L20" s="117"/>
    </row>
    <row r="21" ht="15.75" customHeight="1">
      <c r="A21" s="9"/>
      <c r="B21" s="109"/>
      <c r="C21" s="110"/>
      <c r="D21" s="156"/>
      <c r="E21" s="35"/>
      <c r="F21" s="112"/>
      <c r="G21" s="113"/>
      <c r="H21" s="53">
        <f t="shared" si="1"/>
        <v>0</v>
      </c>
      <c r="I21" s="115"/>
      <c r="J21" s="115"/>
      <c r="K21" s="60">
        <f t="shared" si="2"/>
        <v>0</v>
      </c>
      <c r="L21" s="117"/>
    </row>
    <row r="22" ht="15.75" customHeight="1">
      <c r="A22" s="9"/>
      <c r="B22" s="109"/>
      <c r="C22" s="110"/>
      <c r="D22" s="156"/>
      <c r="E22" s="35"/>
      <c r="F22" s="112"/>
      <c r="G22" s="113"/>
      <c r="H22" s="53">
        <f t="shared" si="1"/>
        <v>0</v>
      </c>
      <c r="I22" s="115"/>
      <c r="J22" s="115"/>
      <c r="K22" s="60">
        <f t="shared" si="2"/>
        <v>0</v>
      </c>
      <c r="L22" s="117"/>
    </row>
    <row r="23" ht="15.75" customHeight="1">
      <c r="A23" s="9"/>
      <c r="B23" s="130"/>
      <c r="C23" s="111"/>
      <c r="D23" s="131"/>
      <c r="E23" s="35"/>
      <c r="F23" s="53"/>
      <c r="G23" s="134"/>
      <c r="H23" s="53">
        <f t="shared" si="1"/>
        <v>0</v>
      </c>
      <c r="I23" s="115"/>
      <c r="J23" s="136"/>
      <c r="K23" s="60">
        <f t="shared" si="2"/>
        <v>0</v>
      </c>
      <c r="L23" s="117"/>
    </row>
    <row r="24" ht="15.75" customHeight="1">
      <c r="A24" s="9"/>
      <c r="B24" s="130"/>
      <c r="C24" s="111"/>
      <c r="D24" s="131"/>
      <c r="E24" s="35"/>
      <c r="F24" s="53"/>
      <c r="G24" s="134"/>
      <c r="H24" s="53">
        <f t="shared" si="1"/>
        <v>0</v>
      </c>
      <c r="I24" s="115"/>
      <c r="J24" s="136"/>
      <c r="K24" s="60">
        <f t="shared" si="2"/>
        <v>0</v>
      </c>
      <c r="L24" s="117"/>
    </row>
    <row r="25" ht="15.75" customHeight="1">
      <c r="A25" s="9"/>
      <c r="B25" s="130"/>
      <c r="C25" s="111"/>
      <c r="D25" s="131"/>
      <c r="E25" s="35"/>
      <c r="F25" s="53"/>
      <c r="G25" s="134"/>
      <c r="H25" s="53">
        <f t="shared" si="1"/>
        <v>0</v>
      </c>
      <c r="I25" s="115"/>
      <c r="J25" s="136"/>
      <c r="K25" s="60">
        <f t="shared" si="2"/>
        <v>0</v>
      </c>
      <c r="L25" s="117"/>
    </row>
    <row r="26" ht="15.75" customHeight="1">
      <c r="A26" s="9"/>
      <c r="B26" s="138"/>
      <c r="C26" s="111"/>
      <c r="D26" s="131"/>
      <c r="E26" s="35"/>
      <c r="F26" s="53"/>
      <c r="G26" s="134"/>
      <c r="H26" s="53">
        <f t="shared" si="1"/>
        <v>0</v>
      </c>
      <c r="I26" s="115"/>
      <c r="J26" s="136"/>
      <c r="K26" s="60">
        <f t="shared" si="2"/>
        <v>0</v>
      </c>
      <c r="L26" s="117"/>
    </row>
    <row r="27" ht="15.75" customHeight="1">
      <c r="A27" s="9"/>
      <c r="B27" s="130"/>
      <c r="C27" s="111"/>
      <c r="D27" s="131"/>
      <c r="E27" s="35"/>
      <c r="F27" s="53"/>
      <c r="G27" s="134"/>
      <c r="H27" s="53">
        <f t="shared" si="1"/>
        <v>0</v>
      </c>
      <c r="I27" s="115"/>
      <c r="J27" s="136"/>
      <c r="K27" s="60">
        <f t="shared" si="2"/>
        <v>0</v>
      </c>
      <c r="L27" s="117"/>
    </row>
    <row r="28" ht="15.75" customHeight="1">
      <c r="A28" s="9"/>
      <c r="B28" s="130"/>
      <c r="C28" s="111"/>
      <c r="D28" s="131"/>
      <c r="E28" s="35"/>
      <c r="F28" s="53"/>
      <c r="G28" s="134"/>
      <c r="H28" s="53">
        <f t="shared" si="1"/>
        <v>0</v>
      </c>
      <c r="I28" s="115"/>
      <c r="J28" s="136"/>
      <c r="K28" s="60">
        <f t="shared" si="2"/>
        <v>0</v>
      </c>
      <c r="L28" s="117"/>
    </row>
    <row r="29" ht="15.75" customHeight="1">
      <c r="A29" s="9"/>
      <c r="B29" s="130"/>
      <c r="C29" s="111"/>
      <c r="D29" s="131"/>
      <c r="E29" s="35"/>
      <c r="F29" s="53"/>
      <c r="G29" s="134"/>
      <c r="H29" s="53">
        <f t="shared" si="1"/>
        <v>0</v>
      </c>
      <c r="I29" s="115"/>
      <c r="J29" s="136"/>
      <c r="K29" s="60">
        <f t="shared" si="2"/>
        <v>0</v>
      </c>
      <c r="L29" s="117"/>
    </row>
    <row r="30" ht="15.75" customHeight="1">
      <c r="A30" s="9"/>
      <c r="B30" s="130"/>
      <c r="C30" s="111"/>
      <c r="D30" s="131"/>
      <c r="E30" s="35"/>
      <c r="F30" s="53"/>
      <c r="G30" s="134"/>
      <c r="H30" s="53">
        <f t="shared" si="1"/>
        <v>0</v>
      </c>
      <c r="I30" s="115"/>
      <c r="J30" s="136"/>
      <c r="K30" s="60">
        <f t="shared" si="2"/>
        <v>0</v>
      </c>
      <c r="L30" s="117"/>
    </row>
    <row r="31" ht="15.75" customHeight="1">
      <c r="A31" s="9"/>
      <c r="B31" s="130"/>
      <c r="C31" s="111"/>
      <c r="D31" s="131"/>
      <c r="E31" s="35"/>
      <c r="F31" s="53"/>
      <c r="G31" s="134"/>
      <c r="H31" s="53">
        <f t="shared" si="1"/>
        <v>0</v>
      </c>
      <c r="I31" s="115"/>
      <c r="J31" s="136"/>
      <c r="K31" s="60">
        <f t="shared" si="2"/>
        <v>0</v>
      </c>
      <c r="L31" s="117"/>
    </row>
    <row r="32" ht="15.75" customHeight="1">
      <c r="A32" s="9"/>
      <c r="B32" s="130"/>
      <c r="C32" s="111"/>
      <c r="D32" s="131"/>
      <c r="E32" s="35"/>
      <c r="F32" s="53"/>
      <c r="G32" s="134"/>
      <c r="H32" s="53">
        <f t="shared" si="1"/>
        <v>0</v>
      </c>
      <c r="I32" s="115"/>
      <c r="J32" s="136"/>
      <c r="K32" s="60">
        <f t="shared" si="2"/>
        <v>0</v>
      </c>
      <c r="L32" s="117"/>
    </row>
    <row r="33" ht="15.75" customHeight="1">
      <c r="A33" s="9"/>
      <c r="B33" s="130"/>
      <c r="C33" s="111"/>
      <c r="D33" s="131"/>
      <c r="E33" s="35"/>
      <c r="F33" s="53"/>
      <c r="G33" s="134"/>
      <c r="H33" s="53">
        <f t="shared" si="1"/>
        <v>0</v>
      </c>
      <c r="I33" s="115"/>
      <c r="J33" s="136"/>
      <c r="K33" s="60">
        <f t="shared" si="2"/>
        <v>0</v>
      </c>
      <c r="L33" s="117"/>
    </row>
    <row r="34" ht="15.75" customHeight="1">
      <c r="A34" s="9"/>
      <c r="B34" s="130"/>
      <c r="C34" s="111"/>
      <c r="D34" s="131"/>
      <c r="E34" s="35"/>
      <c r="F34" s="53"/>
      <c r="G34" s="134"/>
      <c r="H34" s="53">
        <f t="shared" si="1"/>
        <v>0</v>
      </c>
      <c r="I34" s="115"/>
      <c r="J34" s="136"/>
      <c r="K34" s="60">
        <f t="shared" si="2"/>
        <v>0</v>
      </c>
      <c r="L34" s="117"/>
    </row>
    <row r="35" ht="15.75" customHeight="1">
      <c r="A35" s="9"/>
      <c r="B35" s="130"/>
      <c r="C35" s="111"/>
      <c r="D35" s="131"/>
      <c r="E35" s="35"/>
      <c r="F35" s="53"/>
      <c r="G35" s="134"/>
      <c r="H35" s="53">
        <f t="shared" si="1"/>
        <v>0</v>
      </c>
      <c r="I35" s="115"/>
      <c r="J35" s="136"/>
      <c r="K35" s="60">
        <f t="shared" si="2"/>
        <v>0</v>
      </c>
      <c r="L35" s="117"/>
    </row>
    <row r="36" ht="15.75" customHeight="1">
      <c r="A36" s="9"/>
      <c r="B36" s="130"/>
      <c r="C36" s="111"/>
      <c r="D36" s="131"/>
      <c r="E36" s="35"/>
      <c r="F36" s="53"/>
      <c r="G36" s="134"/>
      <c r="H36" s="53">
        <f t="shared" si="1"/>
        <v>0</v>
      </c>
      <c r="I36" s="115"/>
      <c r="J36" s="136"/>
      <c r="K36" s="60">
        <f t="shared" si="2"/>
        <v>0</v>
      </c>
      <c r="L36" s="117"/>
    </row>
    <row r="37" ht="15.75" customHeight="1">
      <c r="A37" s="9"/>
      <c r="B37" s="155"/>
      <c r="C37" s="111"/>
      <c r="D37" s="131"/>
      <c r="E37" s="35"/>
      <c r="F37" s="53"/>
      <c r="G37" s="134"/>
      <c r="H37" s="53">
        <f t="shared" si="1"/>
        <v>0</v>
      </c>
      <c r="I37" s="115"/>
      <c r="J37" s="136"/>
      <c r="K37" s="60">
        <f t="shared" si="2"/>
        <v>0</v>
      </c>
      <c r="L37" s="117"/>
    </row>
    <row r="38" ht="15.75" customHeight="1">
      <c r="A38" s="9" t="s">
        <v>37</v>
      </c>
      <c r="B38" s="109"/>
      <c r="C38" s="110"/>
      <c r="D38" s="156"/>
      <c r="E38" s="35"/>
      <c r="F38" s="112"/>
      <c r="G38" s="113"/>
      <c r="H38" s="53">
        <f t="shared" si="1"/>
        <v>0</v>
      </c>
      <c r="I38" s="115"/>
      <c r="J38" s="115"/>
      <c r="K38" s="60">
        <f t="shared" si="2"/>
        <v>0</v>
      </c>
      <c r="L38" s="117"/>
    </row>
    <row r="39" ht="15.75" customHeight="1">
      <c r="A39" s="9"/>
      <c r="B39" s="109"/>
      <c r="C39" s="110"/>
      <c r="D39" s="156"/>
      <c r="E39" s="35"/>
      <c r="F39" s="112"/>
      <c r="G39" s="113"/>
      <c r="H39" s="53">
        <f t="shared" si="1"/>
        <v>0</v>
      </c>
      <c r="I39" s="115"/>
      <c r="J39" s="115"/>
      <c r="K39" s="60">
        <f t="shared" si="2"/>
        <v>0</v>
      </c>
      <c r="L39" s="117"/>
    </row>
    <row r="40" ht="15.75" customHeight="1">
      <c r="A40" s="9"/>
      <c r="B40" s="109"/>
      <c r="C40" s="110"/>
      <c r="D40" s="156"/>
      <c r="E40" s="35"/>
      <c r="F40" s="112"/>
      <c r="G40" s="113"/>
      <c r="H40" s="53">
        <f t="shared" si="1"/>
        <v>0</v>
      </c>
      <c r="I40" s="115"/>
      <c r="J40" s="115"/>
      <c r="K40" s="60">
        <f t="shared" si="2"/>
        <v>0</v>
      </c>
      <c r="L40" s="117"/>
    </row>
    <row r="41" ht="15.75" customHeight="1">
      <c r="A41" s="9">
        <v>2025.0</v>
      </c>
      <c r="B41" s="109"/>
      <c r="C41" s="110"/>
      <c r="D41" s="156"/>
      <c r="E41" s="35"/>
      <c r="F41" s="112"/>
      <c r="G41" s="113"/>
      <c r="H41" s="53">
        <f t="shared" si="1"/>
        <v>0</v>
      </c>
      <c r="I41" s="115"/>
      <c r="J41" s="115"/>
      <c r="K41" s="60">
        <f t="shared" si="2"/>
        <v>0</v>
      </c>
      <c r="L41" s="117"/>
    </row>
    <row r="42" ht="15.75" customHeight="1">
      <c r="A42" s="9"/>
      <c r="B42" s="109"/>
      <c r="C42" s="110"/>
      <c r="D42" s="156"/>
      <c r="E42" s="35"/>
      <c r="F42" s="112"/>
      <c r="G42" s="113"/>
      <c r="H42" s="53">
        <f t="shared" si="1"/>
        <v>0</v>
      </c>
      <c r="I42" s="115"/>
      <c r="J42" s="115"/>
      <c r="K42" s="60">
        <f t="shared" si="2"/>
        <v>0</v>
      </c>
      <c r="L42" s="117"/>
    </row>
    <row r="43" ht="15.75" customHeight="1">
      <c r="A43" s="9"/>
      <c r="B43" s="163"/>
      <c r="C43" s="110"/>
      <c r="D43" s="156"/>
      <c r="E43" s="35"/>
      <c r="F43" s="112"/>
      <c r="G43" s="113"/>
      <c r="H43" s="53">
        <f t="shared" si="1"/>
        <v>0</v>
      </c>
      <c r="I43" s="115"/>
      <c r="J43" s="115"/>
      <c r="K43" s="60">
        <f t="shared" si="2"/>
        <v>0</v>
      </c>
      <c r="L43" s="117"/>
    </row>
    <row r="44" ht="15.75" customHeight="1">
      <c r="A44" s="9"/>
      <c r="B44" s="164"/>
      <c r="C44" s="110"/>
      <c r="D44" s="156"/>
      <c r="E44" s="35"/>
      <c r="F44" s="112"/>
      <c r="G44" s="113"/>
      <c r="H44" s="53">
        <f t="shared" si="1"/>
        <v>0</v>
      </c>
      <c r="I44" s="115"/>
      <c r="J44" s="115"/>
      <c r="K44" s="60">
        <f t="shared" si="2"/>
        <v>0</v>
      </c>
      <c r="L44" s="117"/>
    </row>
    <row r="45" ht="15.75" customHeight="1">
      <c r="A45" s="9"/>
      <c r="B45" s="164"/>
      <c r="C45" s="110"/>
      <c r="D45" s="156"/>
      <c r="E45" s="35"/>
      <c r="F45" s="112"/>
      <c r="G45" s="113"/>
      <c r="H45" s="53">
        <f t="shared" si="1"/>
        <v>0</v>
      </c>
      <c r="I45" s="115"/>
      <c r="J45" s="115"/>
      <c r="K45" s="60">
        <f t="shared" si="2"/>
        <v>0</v>
      </c>
      <c r="L45" s="117"/>
    </row>
    <row r="46" ht="15.75" customHeight="1">
      <c r="A46" s="9"/>
      <c r="B46" s="164"/>
      <c r="C46" s="110"/>
      <c r="D46" s="156"/>
      <c r="E46" s="35"/>
      <c r="F46" s="112"/>
      <c r="G46" s="113"/>
      <c r="H46" s="53">
        <f t="shared" si="1"/>
        <v>0</v>
      </c>
      <c r="I46" s="115"/>
      <c r="J46" s="115"/>
      <c r="K46" s="60">
        <f t="shared" si="2"/>
        <v>0</v>
      </c>
      <c r="L46" s="117"/>
    </row>
    <row r="47" ht="15.75" customHeight="1">
      <c r="A47" s="9"/>
      <c r="B47" s="164"/>
      <c r="C47" s="110"/>
      <c r="D47" s="156"/>
      <c r="E47" s="35"/>
      <c r="F47" s="112"/>
      <c r="G47" s="113"/>
      <c r="H47" s="53">
        <f t="shared" si="1"/>
        <v>0</v>
      </c>
      <c r="I47" s="115"/>
      <c r="J47" s="115"/>
      <c r="K47" s="60">
        <f t="shared" si="2"/>
        <v>0</v>
      </c>
      <c r="L47" s="117"/>
    </row>
    <row r="48" ht="15.75" customHeight="1">
      <c r="A48" s="9"/>
      <c r="B48" s="164"/>
      <c r="C48" s="110"/>
      <c r="D48" s="156"/>
      <c r="E48" s="35"/>
      <c r="F48" s="112"/>
      <c r="G48" s="113"/>
      <c r="H48" s="53">
        <f t="shared" si="1"/>
        <v>0</v>
      </c>
      <c r="I48" s="115"/>
      <c r="J48" s="115"/>
      <c r="K48" s="60">
        <f t="shared" si="2"/>
        <v>0</v>
      </c>
      <c r="L48" s="117"/>
    </row>
    <row r="49" ht="15.75" customHeight="1">
      <c r="A49" s="9"/>
      <c r="B49" s="164"/>
      <c r="C49" s="110"/>
      <c r="D49" s="156"/>
      <c r="E49" s="35"/>
      <c r="F49" s="112"/>
      <c r="G49" s="113"/>
      <c r="H49" s="53">
        <f t="shared" si="1"/>
        <v>0</v>
      </c>
      <c r="I49" s="115"/>
      <c r="J49" s="115"/>
      <c r="K49" s="60">
        <f t="shared" si="2"/>
        <v>0</v>
      </c>
      <c r="L49" s="117"/>
    </row>
    <row r="50" ht="15.75" customHeight="1">
      <c r="A50" s="9"/>
      <c r="B50" s="164"/>
      <c r="C50" s="110"/>
      <c r="D50" s="156"/>
      <c r="E50" s="35"/>
      <c r="F50" s="112"/>
      <c r="G50" s="113"/>
      <c r="H50" s="53">
        <f t="shared" si="1"/>
        <v>0</v>
      </c>
      <c r="I50" s="115"/>
      <c r="J50" s="115"/>
      <c r="K50" s="60">
        <f t="shared" si="2"/>
        <v>0</v>
      </c>
      <c r="L50" s="117"/>
    </row>
    <row r="51" ht="15.75" customHeight="1">
      <c r="A51" s="9"/>
      <c r="B51" s="164"/>
      <c r="C51" s="110"/>
      <c r="D51" s="156"/>
      <c r="E51" s="35"/>
      <c r="F51" s="112"/>
      <c r="G51" s="113"/>
      <c r="H51" s="53">
        <f t="shared" si="1"/>
        <v>0</v>
      </c>
      <c r="I51" s="115"/>
      <c r="J51" s="115"/>
      <c r="K51" s="60">
        <f t="shared" si="2"/>
        <v>0</v>
      </c>
      <c r="L51" s="117"/>
    </row>
    <row r="52" ht="15.75" customHeight="1">
      <c r="A52" s="9"/>
      <c r="B52" s="164"/>
      <c r="C52" s="110"/>
      <c r="D52" s="156"/>
      <c r="E52" s="35"/>
      <c r="F52" s="112"/>
      <c r="G52" s="113"/>
      <c r="H52" s="53">
        <f t="shared" si="1"/>
        <v>0</v>
      </c>
      <c r="I52" s="115"/>
      <c r="J52" s="115"/>
      <c r="K52" s="60">
        <f t="shared" si="2"/>
        <v>0</v>
      </c>
      <c r="L52" s="117"/>
    </row>
    <row r="53" ht="15.75" customHeight="1">
      <c r="A53" s="9"/>
      <c r="B53" s="164"/>
      <c r="C53" s="110"/>
      <c r="D53" s="156"/>
      <c r="E53" s="35"/>
      <c r="F53" s="112"/>
      <c r="G53" s="113"/>
      <c r="H53" s="53">
        <f t="shared" si="1"/>
        <v>0</v>
      </c>
      <c r="I53" s="115"/>
      <c r="J53" s="115"/>
      <c r="K53" s="60">
        <f t="shared" si="2"/>
        <v>0</v>
      </c>
      <c r="L53" s="117"/>
    </row>
    <row r="54" ht="15.75" customHeight="1">
      <c r="A54" s="9"/>
      <c r="B54" s="164"/>
      <c r="C54" s="110"/>
      <c r="D54" s="156"/>
      <c r="E54" s="35"/>
      <c r="F54" s="112"/>
      <c r="G54" s="113"/>
      <c r="H54" s="53">
        <f t="shared" si="1"/>
        <v>0</v>
      </c>
      <c r="I54" s="115"/>
      <c r="J54" s="115"/>
      <c r="K54" s="60">
        <f t="shared" si="2"/>
        <v>0</v>
      </c>
      <c r="L54" s="117"/>
    </row>
    <row r="55" ht="15.75" customHeight="1">
      <c r="A55" s="9"/>
      <c r="B55" s="164"/>
      <c r="C55" s="110"/>
      <c r="D55" s="156"/>
      <c r="E55" s="35"/>
      <c r="F55" s="112"/>
      <c r="G55" s="113"/>
      <c r="H55" s="53">
        <f t="shared" si="1"/>
        <v>0</v>
      </c>
      <c r="I55" s="115"/>
      <c r="J55" s="115"/>
      <c r="K55" s="60">
        <f t="shared" si="2"/>
        <v>0</v>
      </c>
      <c r="L55" s="117"/>
    </row>
    <row r="56" ht="15.75" customHeight="1">
      <c r="A56" s="9"/>
      <c r="B56" s="164"/>
      <c r="C56" s="110"/>
      <c r="D56" s="156"/>
      <c r="E56" s="35"/>
      <c r="F56" s="112"/>
      <c r="G56" s="113"/>
      <c r="H56" s="53">
        <f t="shared" si="1"/>
        <v>0</v>
      </c>
      <c r="I56" s="115"/>
      <c r="J56" s="115"/>
      <c r="K56" s="60">
        <f t="shared" si="2"/>
        <v>0</v>
      </c>
      <c r="L56" s="117"/>
    </row>
    <row r="57" ht="15.75" customHeight="1">
      <c r="A57" s="9"/>
      <c r="B57" s="164"/>
      <c r="C57" s="110"/>
      <c r="D57" s="156"/>
      <c r="E57" s="35"/>
      <c r="F57" s="112"/>
      <c r="G57" s="113"/>
      <c r="H57" s="53">
        <f t="shared" si="1"/>
        <v>0</v>
      </c>
      <c r="I57" s="115"/>
      <c r="J57" s="115"/>
      <c r="K57" s="60">
        <f t="shared" si="2"/>
        <v>0</v>
      </c>
      <c r="L57" s="117"/>
    </row>
    <row r="58" ht="15.75" customHeight="1">
      <c r="A58" s="9"/>
      <c r="B58" s="164"/>
      <c r="C58" s="110"/>
      <c r="D58" s="156"/>
      <c r="E58" s="35"/>
      <c r="F58" s="112"/>
      <c r="G58" s="113"/>
      <c r="H58" s="53">
        <f t="shared" si="1"/>
        <v>0</v>
      </c>
      <c r="I58" s="115"/>
      <c r="J58" s="115"/>
      <c r="K58" s="60">
        <f t="shared" si="2"/>
        <v>0</v>
      </c>
      <c r="L58" s="117"/>
    </row>
    <row r="59" ht="15.75" customHeight="1">
      <c r="A59" s="9"/>
      <c r="B59" s="164"/>
      <c r="C59" s="110"/>
      <c r="D59" s="156"/>
      <c r="E59" s="35"/>
      <c r="F59" s="112"/>
      <c r="G59" s="113"/>
      <c r="H59" s="53">
        <f t="shared" si="1"/>
        <v>0</v>
      </c>
      <c r="I59" s="115"/>
      <c r="J59" s="115"/>
      <c r="K59" s="60">
        <f t="shared" si="2"/>
        <v>0</v>
      </c>
      <c r="L59" s="117"/>
    </row>
    <row r="60" ht="15.75" customHeight="1">
      <c r="A60" s="9"/>
      <c r="B60" s="164"/>
      <c r="C60" s="110"/>
      <c r="D60" s="156"/>
      <c r="E60" s="35"/>
      <c r="F60" s="112"/>
      <c r="G60" s="113"/>
      <c r="H60" s="53">
        <f t="shared" si="1"/>
        <v>0</v>
      </c>
      <c r="I60" s="115"/>
      <c r="J60" s="115"/>
      <c r="K60" s="60">
        <f t="shared" si="2"/>
        <v>0</v>
      </c>
      <c r="L60" s="117"/>
    </row>
    <row r="61" ht="15.75" customHeight="1">
      <c r="A61" s="9"/>
      <c r="B61" s="164"/>
      <c r="C61" s="110"/>
      <c r="D61" s="156"/>
      <c r="E61" s="35"/>
      <c r="F61" s="112"/>
      <c r="G61" s="113"/>
      <c r="H61" s="53">
        <f t="shared" si="1"/>
        <v>0</v>
      </c>
      <c r="I61" s="115"/>
      <c r="J61" s="115"/>
      <c r="K61" s="60">
        <f t="shared" si="2"/>
        <v>0</v>
      </c>
      <c r="L61" s="117"/>
    </row>
    <row r="62" ht="15.75" customHeight="1">
      <c r="A62" s="9"/>
      <c r="B62" s="164"/>
      <c r="C62" s="110"/>
      <c r="D62" s="156"/>
      <c r="E62" s="35"/>
      <c r="F62" s="112"/>
      <c r="G62" s="113"/>
      <c r="H62" s="53">
        <f t="shared" si="1"/>
        <v>0</v>
      </c>
      <c r="I62" s="115"/>
      <c r="J62" s="115"/>
      <c r="K62" s="60">
        <f t="shared" si="2"/>
        <v>0</v>
      </c>
      <c r="L62" s="117"/>
    </row>
    <row r="63" ht="15.75" customHeight="1">
      <c r="A63" s="9"/>
      <c r="B63" s="164"/>
      <c r="C63" s="110"/>
      <c r="D63" s="156"/>
      <c r="E63" s="35"/>
      <c r="F63" s="112"/>
      <c r="G63" s="113"/>
      <c r="H63" s="53">
        <f t="shared" si="1"/>
        <v>0</v>
      </c>
      <c r="I63" s="115"/>
      <c r="J63" s="115"/>
      <c r="K63" s="60">
        <f t="shared" si="2"/>
        <v>0</v>
      </c>
      <c r="L63" s="117"/>
    </row>
    <row r="64" ht="15.75" customHeight="1">
      <c r="A64" s="9"/>
      <c r="B64" s="164"/>
      <c r="C64" s="110"/>
      <c r="D64" s="156"/>
      <c r="E64" s="35"/>
      <c r="F64" s="112"/>
      <c r="G64" s="113"/>
      <c r="H64" s="53">
        <f t="shared" si="1"/>
        <v>0</v>
      </c>
      <c r="I64" s="115"/>
      <c r="J64" s="115"/>
      <c r="K64" s="60">
        <f t="shared" si="2"/>
        <v>0</v>
      </c>
      <c r="L64" s="117"/>
    </row>
    <row r="65" ht="15.75" customHeight="1">
      <c r="A65" s="9"/>
      <c r="B65" s="164"/>
      <c r="C65" s="110"/>
      <c r="D65" s="156"/>
      <c r="E65" s="35"/>
      <c r="F65" s="112"/>
      <c r="G65" s="113"/>
      <c r="H65" s="53">
        <f t="shared" si="1"/>
        <v>0</v>
      </c>
      <c r="I65" s="115"/>
      <c r="J65" s="115"/>
      <c r="K65" s="60">
        <f t="shared" si="2"/>
        <v>0</v>
      </c>
      <c r="L65" s="117"/>
    </row>
    <row r="66" ht="15.75" customHeight="1">
      <c r="A66" s="9"/>
      <c r="B66" s="164"/>
      <c r="C66" s="110"/>
      <c r="D66" s="156"/>
      <c r="E66" s="35"/>
      <c r="F66" s="112"/>
      <c r="G66" s="113"/>
      <c r="H66" s="53">
        <f t="shared" si="1"/>
        <v>0</v>
      </c>
      <c r="I66" s="115"/>
      <c r="J66" s="115"/>
      <c r="K66" s="60">
        <f t="shared" si="2"/>
        <v>0</v>
      </c>
      <c r="L66" s="117"/>
    </row>
    <row r="67" ht="15.75" customHeight="1">
      <c r="A67" s="9"/>
      <c r="B67" s="164"/>
      <c r="C67" s="110"/>
      <c r="D67" s="156"/>
      <c r="E67" s="35"/>
      <c r="F67" s="112"/>
      <c r="G67" s="113"/>
      <c r="H67" s="53">
        <f t="shared" si="1"/>
        <v>0</v>
      </c>
      <c r="I67" s="115"/>
      <c r="J67" s="115"/>
      <c r="K67" s="60">
        <f t="shared" si="2"/>
        <v>0</v>
      </c>
      <c r="L67" s="117"/>
    </row>
    <row r="68" ht="15.75" customHeight="1">
      <c r="A68" s="9"/>
      <c r="B68" s="164"/>
      <c r="C68" s="110"/>
      <c r="D68" s="156"/>
      <c r="E68" s="35"/>
      <c r="F68" s="112"/>
      <c r="G68" s="113"/>
      <c r="H68" s="53">
        <f t="shared" si="1"/>
        <v>0</v>
      </c>
      <c r="I68" s="115"/>
      <c r="J68" s="115"/>
      <c r="K68" s="60">
        <f t="shared" si="2"/>
        <v>0</v>
      </c>
      <c r="L68" s="117"/>
    </row>
    <row r="69" ht="15.75" customHeight="1">
      <c r="A69" s="9"/>
      <c r="B69" s="164"/>
      <c r="C69" s="110"/>
      <c r="D69" s="156"/>
      <c r="E69" s="35"/>
      <c r="F69" s="112"/>
      <c r="G69" s="113"/>
      <c r="H69" s="53">
        <f t="shared" si="1"/>
        <v>0</v>
      </c>
      <c r="I69" s="115"/>
      <c r="J69" s="115"/>
      <c r="K69" s="60">
        <f t="shared" si="2"/>
        <v>0</v>
      </c>
      <c r="L69" s="117"/>
    </row>
    <row r="70" ht="15.75" customHeight="1">
      <c r="A70" s="9"/>
      <c r="B70" s="164"/>
      <c r="C70" s="110"/>
      <c r="D70" s="156"/>
      <c r="E70" s="35"/>
      <c r="F70" s="112"/>
      <c r="G70" s="113"/>
      <c r="H70" s="53">
        <f t="shared" si="1"/>
        <v>0</v>
      </c>
      <c r="I70" s="115"/>
      <c r="J70" s="115"/>
      <c r="K70" s="60">
        <f t="shared" si="2"/>
        <v>0</v>
      </c>
      <c r="L70" s="117"/>
    </row>
    <row r="71" ht="15.75" customHeight="1">
      <c r="A71" s="9"/>
      <c r="B71" s="164"/>
      <c r="C71" s="110"/>
      <c r="D71" s="156"/>
      <c r="E71" s="35"/>
      <c r="F71" s="112"/>
      <c r="G71" s="113"/>
      <c r="H71" s="53">
        <f t="shared" si="1"/>
        <v>0</v>
      </c>
      <c r="I71" s="115"/>
      <c r="J71" s="115"/>
      <c r="K71" s="60">
        <f t="shared" si="2"/>
        <v>0</v>
      </c>
      <c r="L71" s="117"/>
    </row>
    <row r="72" ht="15.75" customHeight="1">
      <c r="A72" s="9"/>
      <c r="B72" s="164"/>
      <c r="C72" s="110"/>
      <c r="D72" s="156"/>
      <c r="E72" s="35"/>
      <c r="F72" s="112"/>
      <c r="G72" s="113"/>
      <c r="H72" s="53">
        <f t="shared" si="1"/>
        <v>0</v>
      </c>
      <c r="I72" s="115"/>
      <c r="J72" s="115"/>
      <c r="K72" s="60">
        <f t="shared" si="2"/>
        <v>0</v>
      </c>
      <c r="L72" s="117"/>
    </row>
    <row r="73" ht="15.75" customHeight="1">
      <c r="A73" s="9"/>
      <c r="B73" s="164"/>
      <c r="C73" s="110"/>
      <c r="D73" s="156"/>
      <c r="E73" s="35"/>
      <c r="F73" s="112"/>
      <c r="G73" s="113"/>
      <c r="H73" s="53">
        <f t="shared" si="1"/>
        <v>0</v>
      </c>
      <c r="I73" s="115"/>
      <c r="J73" s="115"/>
      <c r="K73" s="60">
        <f t="shared" si="2"/>
        <v>0</v>
      </c>
      <c r="L73" s="117"/>
    </row>
    <row r="74" ht="15.75" customHeight="1">
      <c r="A74" s="9"/>
      <c r="B74" s="164"/>
      <c r="C74" s="110"/>
      <c r="D74" s="156"/>
      <c r="E74" s="35"/>
      <c r="F74" s="112"/>
      <c r="G74" s="113"/>
      <c r="H74" s="53">
        <f t="shared" si="1"/>
        <v>0</v>
      </c>
      <c r="I74" s="115"/>
      <c r="J74" s="115"/>
      <c r="K74" s="60">
        <f t="shared" si="2"/>
        <v>0</v>
      </c>
      <c r="L74" s="117"/>
    </row>
    <row r="75" ht="15.75" customHeight="1">
      <c r="A75" s="9"/>
      <c r="B75" s="164"/>
      <c r="C75" s="110"/>
      <c r="D75" s="156"/>
      <c r="E75" s="35"/>
      <c r="F75" s="112"/>
      <c r="G75" s="113"/>
      <c r="H75" s="53">
        <f t="shared" si="1"/>
        <v>0</v>
      </c>
      <c r="I75" s="115"/>
      <c r="J75" s="115"/>
      <c r="K75" s="60">
        <f t="shared" si="2"/>
        <v>0</v>
      </c>
      <c r="L75" s="117"/>
    </row>
    <row r="76" ht="15.75" customHeight="1">
      <c r="A76" s="9"/>
      <c r="B76" s="164"/>
      <c r="C76" s="110"/>
      <c r="D76" s="156"/>
      <c r="E76" s="35"/>
      <c r="F76" s="112"/>
      <c r="G76" s="113"/>
      <c r="H76" s="53">
        <f t="shared" si="1"/>
        <v>0</v>
      </c>
      <c r="I76" s="115"/>
      <c r="J76" s="115"/>
      <c r="K76" s="60">
        <f t="shared" si="2"/>
        <v>0</v>
      </c>
      <c r="L76" s="117"/>
    </row>
    <row r="77" ht="15.75" customHeight="1">
      <c r="A77" s="9"/>
      <c r="B77" s="164"/>
      <c r="C77" s="110"/>
      <c r="D77" s="156"/>
      <c r="E77" s="35"/>
      <c r="F77" s="112"/>
      <c r="G77" s="113"/>
      <c r="H77" s="53">
        <f t="shared" si="1"/>
        <v>0</v>
      </c>
      <c r="I77" s="115"/>
      <c r="J77" s="115"/>
      <c r="K77" s="60">
        <f t="shared" si="2"/>
        <v>0</v>
      </c>
      <c r="L77" s="117"/>
    </row>
    <row r="78" ht="15.75" customHeight="1">
      <c r="A78" s="9"/>
      <c r="B78" s="164"/>
      <c r="C78" s="110"/>
      <c r="D78" s="156"/>
      <c r="E78" s="35"/>
      <c r="F78" s="112"/>
      <c r="G78" s="113"/>
      <c r="H78" s="53">
        <f t="shared" si="1"/>
        <v>0</v>
      </c>
      <c r="I78" s="115"/>
      <c r="J78" s="115"/>
      <c r="K78" s="60">
        <f t="shared" si="2"/>
        <v>0</v>
      </c>
      <c r="L78" s="117"/>
    </row>
    <row r="79" ht="15.75" customHeight="1">
      <c r="A79" s="9"/>
      <c r="B79" s="164"/>
      <c r="C79" s="110"/>
      <c r="D79" s="156"/>
      <c r="E79" s="35"/>
      <c r="F79" s="112"/>
      <c r="G79" s="113"/>
      <c r="H79" s="53">
        <f t="shared" si="1"/>
        <v>0</v>
      </c>
      <c r="I79" s="115"/>
      <c r="J79" s="115"/>
      <c r="K79" s="60">
        <f t="shared" si="2"/>
        <v>0</v>
      </c>
      <c r="L79" s="117"/>
    </row>
    <row r="80" ht="15.75" customHeight="1">
      <c r="A80" s="9"/>
      <c r="B80" s="164"/>
      <c r="C80" s="110"/>
      <c r="D80" s="156"/>
      <c r="E80" s="35"/>
      <c r="F80" s="112"/>
      <c r="G80" s="113"/>
      <c r="H80" s="53">
        <f t="shared" si="1"/>
        <v>0</v>
      </c>
      <c r="I80" s="115"/>
      <c r="J80" s="115"/>
      <c r="K80" s="60">
        <f t="shared" si="2"/>
        <v>0</v>
      </c>
      <c r="L80" s="117"/>
    </row>
    <row r="81" ht="15.75" customHeight="1">
      <c r="A81" s="9"/>
      <c r="B81" s="164"/>
      <c r="C81" s="110"/>
      <c r="D81" s="156"/>
      <c r="E81" s="35"/>
      <c r="F81" s="112"/>
      <c r="G81" s="113"/>
      <c r="H81" s="53">
        <f t="shared" si="1"/>
        <v>0</v>
      </c>
      <c r="I81" s="115"/>
      <c r="J81" s="115"/>
      <c r="K81" s="60">
        <f t="shared" si="2"/>
        <v>0</v>
      </c>
      <c r="L81" s="117"/>
    </row>
    <row r="82" ht="15.75" customHeight="1">
      <c r="A82" s="9"/>
      <c r="B82" s="164"/>
      <c r="C82" s="110"/>
      <c r="D82" s="156"/>
      <c r="E82" s="35"/>
      <c r="F82" s="112"/>
      <c r="G82" s="113"/>
      <c r="H82" s="53">
        <f t="shared" si="1"/>
        <v>0</v>
      </c>
      <c r="I82" s="115"/>
      <c r="J82" s="115"/>
      <c r="K82" s="60">
        <f t="shared" si="2"/>
        <v>0</v>
      </c>
      <c r="L82" s="117"/>
    </row>
    <row r="83" ht="15.75" customHeight="1">
      <c r="A83" s="9"/>
      <c r="B83" s="164"/>
      <c r="C83" s="110"/>
      <c r="D83" s="156"/>
      <c r="E83" s="35"/>
      <c r="F83" s="112"/>
      <c r="G83" s="113"/>
      <c r="H83" s="53">
        <f t="shared" si="1"/>
        <v>0</v>
      </c>
      <c r="I83" s="115"/>
      <c r="J83" s="115"/>
      <c r="K83" s="60">
        <f t="shared" si="2"/>
        <v>0</v>
      </c>
      <c r="L83" s="117"/>
    </row>
    <row r="84" ht="15.75" customHeight="1">
      <c r="A84" s="9"/>
      <c r="B84" s="164"/>
      <c r="C84" s="110"/>
      <c r="D84" s="156"/>
      <c r="E84" s="35"/>
      <c r="F84" s="112"/>
      <c r="G84" s="113"/>
      <c r="H84" s="53">
        <f t="shared" si="1"/>
        <v>0</v>
      </c>
      <c r="I84" s="115"/>
      <c r="J84" s="115"/>
      <c r="K84" s="60">
        <f t="shared" si="2"/>
        <v>0</v>
      </c>
      <c r="L84" s="117"/>
    </row>
    <row r="85" ht="15.75" customHeight="1">
      <c r="A85" s="9"/>
      <c r="B85" s="164"/>
      <c r="C85" s="110"/>
      <c r="D85" s="156"/>
      <c r="E85" s="35"/>
      <c r="F85" s="112"/>
      <c r="G85" s="113"/>
      <c r="H85" s="53">
        <f t="shared" si="1"/>
        <v>0</v>
      </c>
      <c r="I85" s="115"/>
      <c r="J85" s="115"/>
      <c r="K85" s="60">
        <f t="shared" si="2"/>
        <v>0</v>
      </c>
      <c r="L85" s="117"/>
    </row>
    <row r="86" ht="15.75" customHeight="1">
      <c r="A86" s="9"/>
      <c r="B86" s="164"/>
      <c r="C86" s="110"/>
      <c r="D86" s="156"/>
      <c r="E86" s="35"/>
      <c r="F86" s="112"/>
      <c r="G86" s="113"/>
      <c r="H86" s="53">
        <f t="shared" si="1"/>
        <v>0</v>
      </c>
      <c r="I86" s="115"/>
      <c r="J86" s="115"/>
      <c r="K86" s="60">
        <f t="shared" si="2"/>
        <v>0</v>
      </c>
      <c r="L86" s="117"/>
    </row>
    <row r="87" ht="15.75" customHeight="1">
      <c r="A87" s="9"/>
      <c r="B87" s="164"/>
      <c r="C87" s="110"/>
      <c r="D87" s="156"/>
      <c r="E87" s="35"/>
      <c r="F87" s="112"/>
      <c r="G87" s="113"/>
      <c r="H87" s="53">
        <f t="shared" si="1"/>
        <v>0</v>
      </c>
      <c r="I87" s="115"/>
      <c r="J87" s="115"/>
      <c r="K87" s="60">
        <f t="shared" si="2"/>
        <v>0</v>
      </c>
      <c r="L87" s="117"/>
    </row>
    <row r="88" ht="15.75" customHeight="1">
      <c r="A88" s="9"/>
      <c r="B88" s="164"/>
      <c r="C88" s="110"/>
      <c r="D88" s="156"/>
      <c r="E88" s="35"/>
      <c r="F88" s="112"/>
      <c r="G88" s="113"/>
      <c r="H88" s="53">
        <f t="shared" si="1"/>
        <v>0</v>
      </c>
      <c r="I88" s="115"/>
      <c r="J88" s="115"/>
      <c r="K88" s="60">
        <f t="shared" si="2"/>
        <v>0</v>
      </c>
      <c r="L88" s="117"/>
    </row>
    <row r="89" ht="15.75" customHeight="1">
      <c r="A89" s="9"/>
      <c r="B89" s="164"/>
      <c r="C89" s="110"/>
      <c r="D89" s="156"/>
      <c r="E89" s="35"/>
      <c r="F89" s="112"/>
      <c r="G89" s="113"/>
      <c r="H89" s="53">
        <f t="shared" si="1"/>
        <v>0</v>
      </c>
      <c r="I89" s="115"/>
      <c r="J89" s="115"/>
      <c r="K89" s="60">
        <f t="shared" si="2"/>
        <v>0</v>
      </c>
      <c r="L89" s="117"/>
    </row>
    <row r="90" ht="15.75" customHeight="1">
      <c r="A90" s="9"/>
      <c r="B90" s="164"/>
      <c r="C90" s="110"/>
      <c r="D90" s="156"/>
      <c r="E90" s="35"/>
      <c r="F90" s="112"/>
      <c r="G90" s="113"/>
      <c r="H90" s="53">
        <f t="shared" si="1"/>
        <v>0</v>
      </c>
      <c r="I90" s="115"/>
      <c r="J90" s="115"/>
      <c r="K90" s="60">
        <f t="shared" si="2"/>
        <v>0</v>
      </c>
      <c r="L90" s="117"/>
    </row>
    <row r="91" ht="15.75" customHeight="1">
      <c r="A91" s="9"/>
      <c r="B91" s="164"/>
      <c r="C91" s="110"/>
      <c r="D91" s="156"/>
      <c r="E91" s="35"/>
      <c r="F91" s="112"/>
      <c r="G91" s="113"/>
      <c r="H91" s="53">
        <f t="shared" si="1"/>
        <v>0</v>
      </c>
      <c r="I91" s="115"/>
      <c r="J91" s="115"/>
      <c r="K91" s="60">
        <f t="shared" si="2"/>
        <v>0</v>
      </c>
      <c r="L91" s="117"/>
    </row>
    <row r="92" ht="15.75" customHeight="1">
      <c r="A92" s="9"/>
      <c r="B92" s="164"/>
      <c r="C92" s="110"/>
      <c r="D92" s="156"/>
      <c r="E92" s="35"/>
      <c r="F92" s="112"/>
      <c r="G92" s="113"/>
      <c r="H92" s="53">
        <f t="shared" si="1"/>
        <v>0</v>
      </c>
      <c r="I92" s="115"/>
      <c r="J92" s="115"/>
      <c r="K92" s="60">
        <f t="shared" si="2"/>
        <v>0</v>
      </c>
      <c r="L92" s="117"/>
    </row>
    <row r="93" ht="15.75" customHeight="1">
      <c r="A93" s="9"/>
      <c r="B93" s="164"/>
      <c r="C93" s="110"/>
      <c r="D93" s="156"/>
      <c r="E93" s="35"/>
      <c r="F93" s="112"/>
      <c r="G93" s="113"/>
      <c r="H93" s="53">
        <f t="shared" si="1"/>
        <v>0</v>
      </c>
      <c r="I93" s="115"/>
      <c r="J93" s="115"/>
      <c r="K93" s="60">
        <f t="shared" si="2"/>
        <v>0</v>
      </c>
      <c r="L93" s="117"/>
    </row>
    <row r="94" ht="15.75" customHeight="1">
      <c r="A94" s="9"/>
      <c r="B94" s="164"/>
      <c r="C94" s="110"/>
      <c r="D94" s="156"/>
      <c r="E94" s="35"/>
      <c r="F94" s="112"/>
      <c r="G94" s="113"/>
      <c r="H94" s="53">
        <f t="shared" si="1"/>
        <v>0</v>
      </c>
      <c r="I94" s="115"/>
      <c r="J94" s="115"/>
      <c r="K94" s="60">
        <f t="shared" si="2"/>
        <v>0</v>
      </c>
      <c r="L94" s="117"/>
    </row>
    <row r="95" ht="15.75" customHeight="1">
      <c r="A95" s="9"/>
      <c r="B95" s="164"/>
      <c r="C95" s="110"/>
      <c r="D95" s="156"/>
      <c r="E95" s="35"/>
      <c r="F95" s="112"/>
      <c r="G95" s="113"/>
      <c r="H95" s="53">
        <f t="shared" si="1"/>
        <v>0</v>
      </c>
      <c r="I95" s="115"/>
      <c r="J95" s="115"/>
      <c r="K95" s="60">
        <f t="shared" si="2"/>
        <v>0</v>
      </c>
      <c r="L95" s="117"/>
    </row>
    <row r="96" ht="15.75" customHeight="1">
      <c r="A96" s="9"/>
      <c r="B96" s="164"/>
      <c r="C96" s="110"/>
      <c r="D96" s="156"/>
      <c r="E96" s="35"/>
      <c r="F96" s="112"/>
      <c r="G96" s="113"/>
      <c r="H96" s="53">
        <f t="shared" si="1"/>
        <v>0</v>
      </c>
      <c r="I96" s="115"/>
      <c r="J96" s="115"/>
      <c r="K96" s="60">
        <f t="shared" si="2"/>
        <v>0</v>
      </c>
      <c r="L96" s="117"/>
    </row>
    <row r="97" ht="15.75" customHeight="1">
      <c r="A97" s="9"/>
      <c r="B97" s="164"/>
      <c r="C97" s="110"/>
      <c r="D97" s="156"/>
      <c r="E97" s="35"/>
      <c r="F97" s="112"/>
      <c r="G97" s="113"/>
      <c r="H97" s="53">
        <f t="shared" si="1"/>
        <v>0</v>
      </c>
      <c r="I97" s="115"/>
      <c r="J97" s="115"/>
      <c r="K97" s="60">
        <f t="shared" si="2"/>
        <v>0</v>
      </c>
      <c r="L97" s="117"/>
    </row>
    <row r="98" ht="15.75" customHeight="1">
      <c r="A98" s="9"/>
      <c r="B98" s="164"/>
      <c r="C98" s="110"/>
      <c r="D98" s="156"/>
      <c r="E98" s="35"/>
      <c r="F98" s="112"/>
      <c r="G98" s="113"/>
      <c r="H98" s="53">
        <f t="shared" si="1"/>
        <v>0</v>
      </c>
      <c r="I98" s="115"/>
      <c r="J98" s="115"/>
      <c r="K98" s="60">
        <f t="shared" si="2"/>
        <v>0</v>
      </c>
      <c r="L98" s="117"/>
    </row>
    <row r="99" ht="15.75" customHeight="1">
      <c r="A99" s="9"/>
      <c r="B99" s="164"/>
      <c r="C99" s="110"/>
      <c r="D99" s="156"/>
      <c r="E99" s="35"/>
      <c r="F99" s="112"/>
      <c r="G99" s="113"/>
      <c r="H99" s="53">
        <f t="shared" si="1"/>
        <v>0</v>
      </c>
      <c r="I99" s="115"/>
      <c r="J99" s="115"/>
      <c r="K99" s="60">
        <f t="shared" si="2"/>
        <v>0</v>
      </c>
      <c r="L99" s="117"/>
    </row>
    <row r="100" ht="15.75" customHeight="1">
      <c r="A100" s="9"/>
      <c r="B100" s="164"/>
      <c r="C100" s="110"/>
      <c r="D100" s="156"/>
      <c r="E100" s="35"/>
      <c r="F100" s="112"/>
      <c r="G100" s="113"/>
      <c r="H100" s="53">
        <f t="shared" si="1"/>
        <v>0</v>
      </c>
      <c r="I100" s="115"/>
      <c r="J100" s="115"/>
      <c r="K100" s="60">
        <f t="shared" si="2"/>
        <v>0</v>
      </c>
      <c r="L100" s="117"/>
    </row>
    <row r="101" ht="15.75" customHeight="1">
      <c r="A101" s="9"/>
      <c r="B101" s="164"/>
      <c r="C101" s="110"/>
      <c r="D101" s="156"/>
      <c r="E101" s="35"/>
      <c r="F101" s="112"/>
      <c r="G101" s="113"/>
      <c r="H101" s="53">
        <f t="shared" si="1"/>
        <v>0</v>
      </c>
      <c r="I101" s="115"/>
      <c r="J101" s="115"/>
      <c r="K101" s="60">
        <f t="shared" si="2"/>
        <v>0</v>
      </c>
      <c r="L101" s="117"/>
    </row>
    <row r="102" ht="15.75" customHeight="1">
      <c r="A102" s="9"/>
      <c r="B102" s="164"/>
      <c r="C102" s="110"/>
      <c r="D102" s="156"/>
      <c r="E102" s="35"/>
      <c r="F102" s="112"/>
      <c r="G102" s="113"/>
      <c r="H102" s="53">
        <f t="shared" si="1"/>
        <v>0</v>
      </c>
      <c r="I102" s="115"/>
      <c r="J102" s="115"/>
      <c r="K102" s="60">
        <f t="shared" si="2"/>
        <v>0</v>
      </c>
      <c r="L102" s="117"/>
    </row>
    <row r="103" ht="15.75" customHeight="1">
      <c r="A103" s="9"/>
      <c r="B103" s="164"/>
      <c r="C103" s="110"/>
      <c r="D103" s="156"/>
      <c r="E103" s="35"/>
      <c r="F103" s="112"/>
      <c r="G103" s="113"/>
      <c r="H103" s="53">
        <f t="shared" si="1"/>
        <v>0</v>
      </c>
      <c r="I103" s="115"/>
      <c r="J103" s="115"/>
      <c r="K103" s="60">
        <f t="shared" si="2"/>
        <v>0</v>
      </c>
      <c r="L103" s="117"/>
    </row>
    <row r="104" ht="15.75" customHeight="1">
      <c r="A104" s="9"/>
      <c r="B104" s="164"/>
      <c r="C104" s="110"/>
      <c r="D104" s="156"/>
      <c r="E104" s="35"/>
      <c r="F104" s="112"/>
      <c r="G104" s="113"/>
      <c r="H104" s="53">
        <f t="shared" si="1"/>
        <v>0</v>
      </c>
      <c r="I104" s="115"/>
      <c r="J104" s="115"/>
      <c r="K104" s="60">
        <f t="shared" si="2"/>
        <v>0</v>
      </c>
      <c r="L104" s="117"/>
    </row>
    <row r="105" ht="15.75" customHeight="1">
      <c r="A105" s="9"/>
      <c r="B105" s="164"/>
      <c r="C105" s="110"/>
      <c r="D105" s="156"/>
      <c r="E105" s="35"/>
      <c r="F105" s="112"/>
      <c r="G105" s="113"/>
      <c r="H105" s="53">
        <f t="shared" si="1"/>
        <v>0</v>
      </c>
      <c r="I105" s="115"/>
      <c r="J105" s="115"/>
      <c r="K105" s="60">
        <f t="shared" si="2"/>
        <v>0</v>
      </c>
      <c r="L105" s="117"/>
    </row>
    <row r="106" ht="15.75" customHeight="1">
      <c r="A106" s="9"/>
      <c r="B106" s="164"/>
      <c r="C106" s="110"/>
      <c r="D106" s="156"/>
      <c r="E106" s="35"/>
      <c r="F106" s="112"/>
      <c r="G106" s="113"/>
      <c r="H106" s="53">
        <f t="shared" si="1"/>
        <v>0</v>
      </c>
      <c r="I106" s="115"/>
      <c r="J106" s="115"/>
      <c r="K106" s="60">
        <f t="shared" si="2"/>
        <v>0</v>
      </c>
      <c r="L106" s="117"/>
    </row>
    <row r="107" ht="15.75" customHeight="1">
      <c r="A107" s="9"/>
      <c r="B107" s="164"/>
      <c r="C107" s="110"/>
      <c r="D107" s="156"/>
      <c r="E107" s="35"/>
      <c r="F107" s="112"/>
      <c r="G107" s="113"/>
      <c r="H107" s="53">
        <f t="shared" si="1"/>
        <v>0</v>
      </c>
      <c r="I107" s="115"/>
      <c r="J107" s="115"/>
      <c r="K107" s="60">
        <f t="shared" si="2"/>
        <v>0</v>
      </c>
      <c r="L107" s="117"/>
    </row>
    <row r="108" ht="15.75" customHeight="1">
      <c r="A108" s="9"/>
      <c r="B108" s="164"/>
      <c r="C108" s="110"/>
      <c r="D108" s="156"/>
      <c r="E108" s="35"/>
      <c r="F108" s="112"/>
      <c r="G108" s="113"/>
      <c r="H108" s="53">
        <f t="shared" si="1"/>
        <v>0</v>
      </c>
      <c r="I108" s="115"/>
      <c r="J108" s="115"/>
      <c r="K108" s="60">
        <f t="shared" si="2"/>
        <v>0</v>
      </c>
      <c r="L108" s="117"/>
    </row>
    <row r="109" ht="15.75" customHeight="1">
      <c r="A109" s="9"/>
      <c r="B109" s="164"/>
      <c r="C109" s="110"/>
      <c r="D109" s="156"/>
      <c r="E109" s="35"/>
      <c r="F109" s="112"/>
      <c r="G109" s="113"/>
      <c r="H109" s="53">
        <f t="shared" si="1"/>
        <v>0</v>
      </c>
      <c r="I109" s="115"/>
      <c r="J109" s="115"/>
      <c r="K109" s="60">
        <f t="shared" si="2"/>
        <v>0</v>
      </c>
      <c r="L109" s="117"/>
    </row>
    <row r="110" ht="15.75" customHeight="1">
      <c r="A110" s="9"/>
      <c r="B110" s="164"/>
      <c r="C110" s="110"/>
      <c r="D110" s="156"/>
      <c r="E110" s="35"/>
      <c r="F110" s="112"/>
      <c r="G110" s="113"/>
      <c r="H110" s="53">
        <f t="shared" si="1"/>
        <v>0</v>
      </c>
      <c r="I110" s="115"/>
      <c r="J110" s="115"/>
      <c r="K110" s="60">
        <f t="shared" si="2"/>
        <v>0</v>
      </c>
      <c r="L110" s="117"/>
    </row>
    <row r="111" ht="15.75" customHeight="1">
      <c r="A111" s="9"/>
      <c r="B111" s="164"/>
      <c r="C111" s="110"/>
      <c r="D111" s="156"/>
      <c r="E111" s="35"/>
      <c r="F111" s="112"/>
      <c r="G111" s="113"/>
      <c r="H111" s="53">
        <f t="shared" si="1"/>
        <v>0</v>
      </c>
      <c r="I111" s="115"/>
      <c r="J111" s="115"/>
      <c r="K111" s="60">
        <f t="shared" si="2"/>
        <v>0</v>
      </c>
      <c r="L111" s="117"/>
    </row>
    <row r="112" ht="15.75" customHeight="1">
      <c r="A112" s="9"/>
      <c r="B112" s="164"/>
      <c r="C112" s="110"/>
      <c r="D112" s="156"/>
      <c r="E112" s="35"/>
      <c r="F112" s="112"/>
      <c r="G112" s="113"/>
      <c r="H112" s="53">
        <f t="shared" si="1"/>
        <v>0</v>
      </c>
      <c r="I112" s="115"/>
      <c r="J112" s="115"/>
      <c r="K112" s="60">
        <f t="shared" si="2"/>
        <v>0</v>
      </c>
      <c r="L112" s="117"/>
    </row>
    <row r="113" ht="15.75" customHeight="1">
      <c r="A113" s="9"/>
      <c r="B113" s="164"/>
      <c r="C113" s="110"/>
      <c r="D113" s="156"/>
      <c r="E113" s="35"/>
      <c r="F113" s="112"/>
      <c r="G113" s="113"/>
      <c r="H113" s="53">
        <f t="shared" si="1"/>
        <v>0</v>
      </c>
      <c r="I113" s="115"/>
      <c r="J113" s="115"/>
      <c r="K113" s="60">
        <f t="shared" si="2"/>
        <v>0</v>
      </c>
      <c r="L113" s="117"/>
    </row>
    <row r="114" ht="15.75" customHeight="1">
      <c r="A114" s="9"/>
      <c r="B114" s="164"/>
      <c r="C114" s="110"/>
      <c r="D114" s="156"/>
      <c r="E114" s="35"/>
      <c r="F114" s="112"/>
      <c r="G114" s="113"/>
      <c r="H114" s="53">
        <f t="shared" si="1"/>
        <v>0</v>
      </c>
      <c r="I114" s="115"/>
      <c r="J114" s="115"/>
      <c r="K114" s="60">
        <f t="shared" si="2"/>
        <v>0</v>
      </c>
      <c r="L114" s="117"/>
    </row>
    <row r="115" ht="15.75" customHeight="1">
      <c r="A115" s="9"/>
      <c r="B115" s="164"/>
      <c r="C115" s="110"/>
      <c r="D115" s="156"/>
      <c r="E115" s="35"/>
      <c r="F115" s="112"/>
      <c r="G115" s="113"/>
      <c r="H115" s="53">
        <f t="shared" si="1"/>
        <v>0</v>
      </c>
      <c r="I115" s="115"/>
      <c r="J115" s="115"/>
      <c r="K115" s="60">
        <f t="shared" si="2"/>
        <v>0</v>
      </c>
      <c r="L115" s="117"/>
    </row>
    <row r="116" ht="15.75" customHeight="1">
      <c r="A116" s="9"/>
      <c r="B116" s="164"/>
      <c r="C116" s="110"/>
      <c r="D116" s="156"/>
      <c r="E116" s="35"/>
      <c r="F116" s="112"/>
      <c r="G116" s="113"/>
      <c r="H116" s="53">
        <f t="shared" si="1"/>
        <v>0</v>
      </c>
      <c r="I116" s="115"/>
      <c r="J116" s="115"/>
      <c r="K116" s="60">
        <f t="shared" si="2"/>
        <v>0</v>
      </c>
      <c r="L116" s="117"/>
    </row>
    <row r="117" ht="15.75" customHeight="1">
      <c r="A117" s="9"/>
      <c r="B117" s="164"/>
      <c r="C117" s="110"/>
      <c r="D117" s="156"/>
      <c r="E117" s="35"/>
      <c r="F117" s="112"/>
      <c r="G117" s="113"/>
      <c r="H117" s="53">
        <f t="shared" si="1"/>
        <v>0</v>
      </c>
      <c r="I117" s="115"/>
      <c r="J117" s="115"/>
      <c r="K117" s="60">
        <f t="shared" si="2"/>
        <v>0</v>
      </c>
      <c r="L117" s="117"/>
    </row>
    <row r="118" ht="15.75" customHeight="1">
      <c r="A118" s="9"/>
      <c r="B118" s="164"/>
      <c r="C118" s="110"/>
      <c r="D118" s="156"/>
      <c r="E118" s="35"/>
      <c r="F118" s="112"/>
      <c r="G118" s="113"/>
      <c r="H118" s="53">
        <f t="shared" si="1"/>
        <v>0</v>
      </c>
      <c r="I118" s="115"/>
      <c r="J118" s="115"/>
      <c r="K118" s="60">
        <f t="shared" si="2"/>
        <v>0</v>
      </c>
      <c r="L118" s="117"/>
    </row>
    <row r="119" ht="15.75" customHeight="1">
      <c r="A119" s="9"/>
      <c r="B119" s="164"/>
      <c r="C119" s="110"/>
      <c r="D119" s="156"/>
      <c r="E119" s="35"/>
      <c r="F119" s="112"/>
      <c r="G119" s="113"/>
      <c r="H119" s="53">
        <f t="shared" si="1"/>
        <v>0</v>
      </c>
      <c r="I119" s="115"/>
      <c r="J119" s="115"/>
      <c r="K119" s="60">
        <f t="shared" si="2"/>
        <v>0</v>
      </c>
      <c r="L119" s="117"/>
    </row>
    <row r="120" ht="15.75" customHeight="1">
      <c r="A120" s="9"/>
      <c r="B120" s="164"/>
      <c r="C120" s="110"/>
      <c r="D120" s="156"/>
      <c r="E120" s="35"/>
      <c r="F120" s="112"/>
      <c r="G120" s="113"/>
      <c r="H120" s="53">
        <f t="shared" si="1"/>
        <v>0</v>
      </c>
      <c r="I120" s="115"/>
      <c r="J120" s="115"/>
      <c r="K120" s="60">
        <f t="shared" si="2"/>
        <v>0</v>
      </c>
      <c r="L120" s="117"/>
    </row>
    <row r="121" ht="15.75" customHeight="1">
      <c r="A121" s="9"/>
      <c r="B121" s="164"/>
      <c r="C121" s="110"/>
      <c r="D121" s="156"/>
      <c r="E121" s="35"/>
      <c r="F121" s="112"/>
      <c r="G121" s="113"/>
      <c r="H121" s="53">
        <f t="shared" si="1"/>
        <v>0</v>
      </c>
      <c r="I121" s="115"/>
      <c r="J121" s="115"/>
      <c r="K121" s="60">
        <f t="shared" si="2"/>
        <v>0</v>
      </c>
      <c r="L121" s="117"/>
    </row>
    <row r="122" ht="15.75" customHeight="1">
      <c r="A122" s="9"/>
      <c r="B122" s="164"/>
      <c r="C122" s="110"/>
      <c r="D122" s="156"/>
      <c r="E122" s="35"/>
      <c r="F122" s="112"/>
      <c r="G122" s="113"/>
      <c r="H122" s="53">
        <f t="shared" si="1"/>
        <v>0</v>
      </c>
      <c r="I122" s="115"/>
      <c r="J122" s="115"/>
      <c r="K122" s="60">
        <f t="shared" si="2"/>
        <v>0</v>
      </c>
      <c r="L122" s="117"/>
    </row>
    <row r="123" ht="15.75" customHeight="1">
      <c r="A123" s="9"/>
      <c r="B123" s="164"/>
      <c r="C123" s="110"/>
      <c r="D123" s="156"/>
      <c r="E123" s="35"/>
      <c r="F123" s="112"/>
      <c r="G123" s="113"/>
      <c r="H123" s="53">
        <f t="shared" si="1"/>
        <v>0</v>
      </c>
      <c r="I123" s="115"/>
      <c r="J123" s="115"/>
      <c r="K123" s="60">
        <f t="shared" si="2"/>
        <v>0</v>
      </c>
      <c r="L123" s="117"/>
    </row>
    <row r="124" ht="15.75" customHeight="1">
      <c r="A124" s="9"/>
      <c r="B124" s="164"/>
      <c r="C124" s="110"/>
      <c r="D124" s="156"/>
      <c r="E124" s="35"/>
      <c r="F124" s="112"/>
      <c r="G124" s="113"/>
      <c r="H124" s="53">
        <f t="shared" si="1"/>
        <v>0</v>
      </c>
      <c r="I124" s="115"/>
      <c r="J124" s="115"/>
      <c r="K124" s="60">
        <f t="shared" si="2"/>
        <v>0</v>
      </c>
      <c r="L124" s="117"/>
    </row>
    <row r="125" ht="15.75" customHeight="1">
      <c r="A125" s="9"/>
      <c r="B125" s="164"/>
      <c r="C125" s="110"/>
      <c r="D125" s="156"/>
      <c r="E125" s="35"/>
      <c r="F125" s="112"/>
      <c r="G125" s="113"/>
      <c r="H125" s="53">
        <f t="shared" si="1"/>
        <v>0</v>
      </c>
      <c r="I125" s="115"/>
      <c r="J125" s="115"/>
      <c r="K125" s="60">
        <f t="shared" si="2"/>
        <v>0</v>
      </c>
      <c r="L125" s="117"/>
    </row>
    <row r="126" ht="15.75" customHeight="1">
      <c r="A126" s="9"/>
      <c r="B126" s="164"/>
      <c r="C126" s="110"/>
      <c r="D126" s="156"/>
      <c r="E126" s="35"/>
      <c r="F126" s="112"/>
      <c r="G126" s="113"/>
      <c r="H126" s="53">
        <f t="shared" si="1"/>
        <v>0</v>
      </c>
      <c r="I126" s="115"/>
      <c r="J126" s="115"/>
      <c r="K126" s="60">
        <f t="shared" si="2"/>
        <v>0</v>
      </c>
      <c r="L126" s="117"/>
    </row>
    <row r="127" ht="15.75" customHeight="1">
      <c r="A127" s="9"/>
      <c r="B127" s="164"/>
      <c r="C127" s="110"/>
      <c r="D127" s="156"/>
      <c r="E127" s="35"/>
      <c r="F127" s="112"/>
      <c r="G127" s="113"/>
      <c r="H127" s="53">
        <f t="shared" si="1"/>
        <v>0</v>
      </c>
      <c r="I127" s="115"/>
      <c r="J127" s="115"/>
      <c r="K127" s="60">
        <f t="shared" si="2"/>
        <v>0</v>
      </c>
      <c r="L127" s="117"/>
    </row>
    <row r="128" ht="15.75" customHeight="1">
      <c r="A128" s="9"/>
      <c r="B128" s="164"/>
      <c r="C128" s="110"/>
      <c r="D128" s="156"/>
      <c r="E128" s="35"/>
      <c r="F128" s="112"/>
      <c r="G128" s="113"/>
      <c r="H128" s="53">
        <f t="shared" si="1"/>
        <v>0</v>
      </c>
      <c r="I128" s="115"/>
      <c r="J128" s="115"/>
      <c r="K128" s="60">
        <f t="shared" si="2"/>
        <v>0</v>
      </c>
      <c r="L128" s="117"/>
    </row>
    <row r="129" ht="15.75" customHeight="1">
      <c r="A129" s="9"/>
      <c r="B129" s="164"/>
      <c r="C129" s="110"/>
      <c r="D129" s="156"/>
      <c r="E129" s="35"/>
      <c r="F129" s="112"/>
      <c r="G129" s="113"/>
      <c r="H129" s="53">
        <f t="shared" si="1"/>
        <v>0</v>
      </c>
      <c r="I129" s="115"/>
      <c r="J129" s="115"/>
      <c r="K129" s="60">
        <f t="shared" si="2"/>
        <v>0</v>
      </c>
      <c r="L129" s="117"/>
    </row>
    <row r="130" ht="15.75" customHeight="1">
      <c r="A130" s="9"/>
      <c r="B130" s="164"/>
      <c r="C130" s="110"/>
      <c r="D130" s="156"/>
      <c r="E130" s="35"/>
      <c r="F130" s="112"/>
      <c r="G130" s="113"/>
      <c r="H130" s="53">
        <f t="shared" si="1"/>
        <v>0</v>
      </c>
      <c r="I130" s="115"/>
      <c r="J130" s="115"/>
      <c r="K130" s="60">
        <f t="shared" si="2"/>
        <v>0</v>
      </c>
      <c r="L130" s="117"/>
    </row>
    <row r="131" ht="15.75" customHeight="1">
      <c r="A131" s="9"/>
      <c r="B131" s="164"/>
      <c r="C131" s="110"/>
      <c r="D131" s="156"/>
      <c r="E131" s="35"/>
      <c r="F131" s="112"/>
      <c r="G131" s="113"/>
      <c r="H131" s="53">
        <f t="shared" si="1"/>
        <v>0</v>
      </c>
      <c r="I131" s="115"/>
      <c r="J131" s="115"/>
      <c r="K131" s="60">
        <f t="shared" si="2"/>
        <v>0</v>
      </c>
      <c r="L131" s="117"/>
    </row>
    <row r="132" ht="15.75" customHeight="1">
      <c r="A132" s="9"/>
      <c r="B132" s="164"/>
      <c r="C132" s="110"/>
      <c r="D132" s="156"/>
      <c r="E132" s="35"/>
      <c r="F132" s="112"/>
      <c r="G132" s="113"/>
      <c r="H132" s="53">
        <f t="shared" si="1"/>
        <v>0</v>
      </c>
      <c r="I132" s="115"/>
      <c r="J132" s="115"/>
      <c r="K132" s="60">
        <f t="shared" si="2"/>
        <v>0</v>
      </c>
      <c r="L132" s="117"/>
    </row>
    <row r="133" ht="15.75" customHeight="1">
      <c r="A133" s="9"/>
      <c r="B133" s="164"/>
      <c r="C133" s="110"/>
      <c r="D133" s="156"/>
      <c r="E133" s="35"/>
      <c r="F133" s="112"/>
      <c r="G133" s="113"/>
      <c r="H133" s="53">
        <f t="shared" si="1"/>
        <v>0</v>
      </c>
      <c r="I133" s="115"/>
      <c r="J133" s="115"/>
      <c r="K133" s="60">
        <f t="shared" si="2"/>
        <v>0</v>
      </c>
      <c r="L133" s="117"/>
    </row>
    <row r="134" ht="15.75" customHeight="1">
      <c r="A134" s="9"/>
      <c r="B134" s="164"/>
      <c r="C134" s="110"/>
      <c r="D134" s="156"/>
      <c r="E134" s="35"/>
      <c r="F134" s="112"/>
      <c r="G134" s="113"/>
      <c r="H134" s="53">
        <f t="shared" si="1"/>
        <v>0</v>
      </c>
      <c r="I134" s="115"/>
      <c r="J134" s="115"/>
      <c r="K134" s="60">
        <f t="shared" si="2"/>
        <v>0</v>
      </c>
      <c r="L134" s="117"/>
    </row>
    <row r="135" ht="15.75" customHeight="1">
      <c r="A135" s="9"/>
      <c r="B135" s="164"/>
      <c r="C135" s="110"/>
      <c r="D135" s="156"/>
      <c r="E135" s="35"/>
      <c r="F135" s="112"/>
      <c r="G135" s="113"/>
      <c r="H135" s="53">
        <f t="shared" si="1"/>
        <v>0</v>
      </c>
      <c r="I135" s="115"/>
      <c r="J135" s="115"/>
      <c r="K135" s="60">
        <f t="shared" si="2"/>
        <v>0</v>
      </c>
      <c r="L135" s="117"/>
    </row>
    <row r="136" ht="15.75" customHeight="1">
      <c r="A136" s="9"/>
      <c r="B136" s="164"/>
      <c r="C136" s="110"/>
      <c r="D136" s="156"/>
      <c r="E136" s="35"/>
      <c r="F136" s="112"/>
      <c r="G136" s="113"/>
      <c r="H136" s="53">
        <f t="shared" si="1"/>
        <v>0</v>
      </c>
      <c r="I136" s="115"/>
      <c r="J136" s="115"/>
      <c r="K136" s="60">
        <f t="shared" si="2"/>
        <v>0</v>
      </c>
      <c r="L136" s="117"/>
    </row>
    <row r="137" ht="15.75" customHeight="1">
      <c r="A137" s="9"/>
      <c r="B137" s="164"/>
      <c r="C137" s="110"/>
      <c r="D137" s="156"/>
      <c r="E137" s="35"/>
      <c r="F137" s="112"/>
      <c r="G137" s="113"/>
      <c r="H137" s="53">
        <f t="shared" si="1"/>
        <v>0</v>
      </c>
      <c r="I137" s="115"/>
      <c r="J137" s="115"/>
      <c r="K137" s="60">
        <f t="shared" si="2"/>
        <v>0</v>
      </c>
      <c r="L137" s="117"/>
    </row>
    <row r="138" ht="15.75" customHeight="1">
      <c r="A138" s="9"/>
      <c r="B138" s="164"/>
      <c r="C138" s="110"/>
      <c r="D138" s="156"/>
      <c r="E138" s="35"/>
      <c r="F138" s="112"/>
      <c r="G138" s="113"/>
      <c r="H138" s="53">
        <f t="shared" si="1"/>
        <v>0</v>
      </c>
      <c r="I138" s="115"/>
      <c r="J138" s="115"/>
      <c r="K138" s="60">
        <f t="shared" si="2"/>
        <v>0</v>
      </c>
      <c r="L138" s="117"/>
    </row>
    <row r="139" ht="15.75" customHeight="1">
      <c r="A139" s="9"/>
      <c r="B139" s="164"/>
      <c r="C139" s="110"/>
      <c r="D139" s="156"/>
      <c r="E139" s="35"/>
      <c r="F139" s="112"/>
      <c r="G139" s="113"/>
      <c r="H139" s="53">
        <f t="shared" si="1"/>
        <v>0</v>
      </c>
      <c r="I139" s="115"/>
      <c r="J139" s="115"/>
      <c r="K139" s="60">
        <f t="shared" si="2"/>
        <v>0</v>
      </c>
      <c r="L139" s="117"/>
    </row>
    <row r="140" ht="15.75" customHeight="1">
      <c r="A140" s="9"/>
      <c r="B140" s="164"/>
      <c r="C140" s="110"/>
      <c r="D140" s="156"/>
      <c r="E140" s="35"/>
      <c r="F140" s="112"/>
      <c r="G140" s="113"/>
      <c r="H140" s="53">
        <f t="shared" si="1"/>
        <v>0</v>
      </c>
      <c r="I140" s="115"/>
      <c r="J140" s="115"/>
      <c r="K140" s="60">
        <f t="shared" si="2"/>
        <v>0</v>
      </c>
      <c r="L140" s="117"/>
    </row>
    <row r="141" ht="15.75" customHeight="1">
      <c r="A141" s="9"/>
      <c r="B141" s="164"/>
      <c r="C141" s="110"/>
      <c r="D141" s="156"/>
      <c r="E141" s="35"/>
      <c r="F141" s="112"/>
      <c r="G141" s="113"/>
      <c r="H141" s="53">
        <f t="shared" si="1"/>
        <v>0</v>
      </c>
      <c r="I141" s="115"/>
      <c r="J141" s="115"/>
      <c r="K141" s="60">
        <f t="shared" si="2"/>
        <v>0</v>
      </c>
      <c r="L141" s="117"/>
    </row>
    <row r="142" ht="15.75" customHeight="1">
      <c r="A142" s="9"/>
      <c r="B142" s="164"/>
      <c r="C142" s="110"/>
      <c r="D142" s="156"/>
      <c r="E142" s="35"/>
      <c r="F142" s="112"/>
      <c r="G142" s="113"/>
      <c r="H142" s="53">
        <f t="shared" si="1"/>
        <v>0</v>
      </c>
      <c r="I142" s="115"/>
      <c r="J142" s="115"/>
      <c r="K142" s="60">
        <f t="shared" si="2"/>
        <v>0</v>
      </c>
      <c r="L142" s="117"/>
    </row>
    <row r="143" ht="15.75" customHeight="1">
      <c r="A143" s="9"/>
      <c r="B143" s="164"/>
      <c r="C143" s="110"/>
      <c r="D143" s="156"/>
      <c r="E143" s="35"/>
      <c r="F143" s="112"/>
      <c r="G143" s="113"/>
      <c r="H143" s="53">
        <f t="shared" si="1"/>
        <v>0</v>
      </c>
      <c r="I143" s="115"/>
      <c r="J143" s="115"/>
      <c r="K143" s="60">
        <f t="shared" si="2"/>
        <v>0</v>
      </c>
      <c r="L143" s="117"/>
    </row>
    <row r="144" ht="15.75" customHeight="1">
      <c r="A144" s="9"/>
      <c r="B144" s="164"/>
      <c r="C144" s="110"/>
      <c r="D144" s="156"/>
      <c r="E144" s="35"/>
      <c r="F144" s="112"/>
      <c r="G144" s="113"/>
      <c r="H144" s="53">
        <f t="shared" si="1"/>
        <v>0</v>
      </c>
      <c r="I144" s="115"/>
      <c r="J144" s="115"/>
      <c r="K144" s="60">
        <f t="shared" si="2"/>
        <v>0</v>
      </c>
      <c r="L144" s="117"/>
    </row>
    <row r="145" ht="15.75" customHeight="1">
      <c r="A145" s="9"/>
      <c r="B145" s="164"/>
      <c r="C145" s="110"/>
      <c r="D145" s="156"/>
      <c r="E145" s="35"/>
      <c r="F145" s="112"/>
      <c r="G145" s="113"/>
      <c r="H145" s="53">
        <f t="shared" si="1"/>
        <v>0</v>
      </c>
      <c r="I145" s="115"/>
      <c r="J145" s="115"/>
      <c r="K145" s="60">
        <f t="shared" si="2"/>
        <v>0</v>
      </c>
      <c r="L145" s="117"/>
    </row>
    <row r="146" ht="15.75" customHeight="1">
      <c r="A146" s="9"/>
      <c r="B146" s="164"/>
      <c r="C146" s="110"/>
      <c r="D146" s="156"/>
      <c r="E146" s="35"/>
      <c r="F146" s="112"/>
      <c r="G146" s="113"/>
      <c r="H146" s="53">
        <f t="shared" si="1"/>
        <v>0</v>
      </c>
      <c r="I146" s="115"/>
      <c r="J146" s="115"/>
      <c r="K146" s="60">
        <f t="shared" si="2"/>
        <v>0</v>
      </c>
      <c r="L146" s="117"/>
    </row>
    <row r="147" ht="15.75" customHeight="1">
      <c r="A147" s="9"/>
      <c r="B147" s="164"/>
      <c r="C147" s="110"/>
      <c r="D147" s="156"/>
      <c r="E147" s="35"/>
      <c r="F147" s="112"/>
      <c r="G147" s="113"/>
      <c r="H147" s="53">
        <f t="shared" si="1"/>
        <v>0</v>
      </c>
      <c r="I147" s="115"/>
      <c r="J147" s="115"/>
      <c r="K147" s="60">
        <f t="shared" si="2"/>
        <v>0</v>
      </c>
      <c r="L147" s="117"/>
    </row>
    <row r="148" ht="15.75" customHeight="1">
      <c r="A148" s="9"/>
      <c r="B148" s="164"/>
      <c r="C148" s="110"/>
      <c r="D148" s="156"/>
      <c r="E148" s="35"/>
      <c r="F148" s="112"/>
      <c r="G148" s="113"/>
      <c r="H148" s="53">
        <f t="shared" si="1"/>
        <v>0</v>
      </c>
      <c r="I148" s="115"/>
      <c r="J148" s="115"/>
      <c r="K148" s="60">
        <f t="shared" si="2"/>
        <v>0</v>
      </c>
      <c r="L148" s="117"/>
    </row>
    <row r="149" ht="15.75" customHeight="1">
      <c r="A149" s="9"/>
      <c r="B149" s="164"/>
      <c r="C149" s="110"/>
      <c r="D149" s="156"/>
      <c r="E149" s="35"/>
      <c r="F149" s="112"/>
      <c r="G149" s="113"/>
      <c r="H149" s="53">
        <f t="shared" si="1"/>
        <v>0</v>
      </c>
      <c r="I149" s="115"/>
      <c r="J149" s="115"/>
      <c r="K149" s="60">
        <f t="shared" si="2"/>
        <v>0</v>
      </c>
      <c r="L149" s="117"/>
    </row>
    <row r="150" ht="15.75" customHeight="1">
      <c r="A150" s="9"/>
      <c r="B150" s="164"/>
      <c r="C150" s="110"/>
      <c r="D150" s="156"/>
      <c r="E150" s="35"/>
      <c r="F150" s="112"/>
      <c r="G150" s="113"/>
      <c r="H150" s="53">
        <f t="shared" si="1"/>
        <v>0</v>
      </c>
      <c r="I150" s="115"/>
      <c r="J150" s="115"/>
      <c r="K150" s="60">
        <f t="shared" si="2"/>
        <v>0</v>
      </c>
      <c r="L150" s="117"/>
    </row>
    <row r="151" ht="15.75" customHeight="1">
      <c r="A151" s="9"/>
      <c r="B151" s="164"/>
      <c r="C151" s="110"/>
      <c r="D151" s="156"/>
      <c r="E151" s="35"/>
      <c r="F151" s="112"/>
      <c r="G151" s="113"/>
      <c r="H151" s="53">
        <f t="shared" si="1"/>
        <v>0</v>
      </c>
      <c r="I151" s="115"/>
      <c r="J151" s="115"/>
      <c r="K151" s="60">
        <f t="shared" si="2"/>
        <v>0</v>
      </c>
      <c r="L151" s="117"/>
    </row>
    <row r="152" ht="15.75" customHeight="1">
      <c r="A152" s="9"/>
      <c r="B152" s="164"/>
      <c r="C152" s="110"/>
      <c r="D152" s="156"/>
      <c r="E152" s="35"/>
      <c r="F152" s="112"/>
      <c r="G152" s="113"/>
      <c r="H152" s="53">
        <f t="shared" si="1"/>
        <v>0</v>
      </c>
      <c r="I152" s="115"/>
      <c r="J152" s="115"/>
      <c r="K152" s="60">
        <f t="shared" si="2"/>
        <v>0</v>
      </c>
      <c r="L152" s="117"/>
    </row>
    <row r="153" ht="15.75" customHeight="1">
      <c r="A153" s="9"/>
      <c r="B153" s="164"/>
      <c r="C153" s="110"/>
      <c r="D153" s="156"/>
      <c r="E153" s="35"/>
      <c r="F153" s="112"/>
      <c r="G153" s="113"/>
      <c r="H153" s="53">
        <f t="shared" si="1"/>
        <v>0</v>
      </c>
      <c r="I153" s="115"/>
      <c r="J153" s="115"/>
      <c r="K153" s="60">
        <f t="shared" si="2"/>
        <v>0</v>
      </c>
      <c r="L153" s="117"/>
    </row>
    <row r="154" ht="15.75" customHeight="1">
      <c r="A154" s="9"/>
      <c r="B154" s="164"/>
      <c r="C154" s="110"/>
      <c r="D154" s="156"/>
      <c r="E154" s="35"/>
      <c r="F154" s="112"/>
      <c r="G154" s="113"/>
      <c r="H154" s="53">
        <f t="shared" si="1"/>
        <v>0</v>
      </c>
      <c r="I154" s="115"/>
      <c r="J154" s="115"/>
      <c r="K154" s="60">
        <f t="shared" si="2"/>
        <v>0</v>
      </c>
      <c r="L154" s="117"/>
    </row>
    <row r="155" ht="15.75" customHeight="1">
      <c r="A155" s="9"/>
      <c r="B155" s="164"/>
      <c r="C155" s="110"/>
      <c r="D155" s="156"/>
      <c r="E155" s="35"/>
      <c r="F155" s="112"/>
      <c r="G155" s="113"/>
      <c r="H155" s="53">
        <f t="shared" si="1"/>
        <v>0</v>
      </c>
      <c r="I155" s="115"/>
      <c r="J155" s="115"/>
      <c r="K155" s="60">
        <f t="shared" si="2"/>
        <v>0</v>
      </c>
      <c r="L155" s="117"/>
    </row>
    <row r="156" ht="15.75" customHeight="1">
      <c r="A156" s="9"/>
      <c r="B156" s="164"/>
      <c r="C156" s="110"/>
      <c r="D156" s="156"/>
      <c r="E156" s="35"/>
      <c r="F156" s="112"/>
      <c r="G156" s="113"/>
      <c r="H156" s="53">
        <f t="shared" si="1"/>
        <v>0</v>
      </c>
      <c r="I156" s="115"/>
      <c r="J156" s="115"/>
      <c r="K156" s="60">
        <f t="shared" si="2"/>
        <v>0</v>
      </c>
      <c r="L156" s="117"/>
    </row>
    <row r="157" ht="15.75" customHeight="1">
      <c r="A157" s="9"/>
      <c r="B157" s="164"/>
      <c r="C157" s="110"/>
      <c r="D157" s="156"/>
      <c r="E157" s="35"/>
      <c r="F157" s="112"/>
      <c r="G157" s="113"/>
      <c r="H157" s="53">
        <f t="shared" si="1"/>
        <v>0</v>
      </c>
      <c r="I157" s="115"/>
      <c r="J157" s="115"/>
      <c r="K157" s="60">
        <f t="shared" si="2"/>
        <v>0</v>
      </c>
      <c r="L157" s="117"/>
    </row>
    <row r="158" ht="15.75" customHeight="1">
      <c r="A158" s="9"/>
      <c r="B158" s="164"/>
      <c r="C158" s="110"/>
      <c r="D158" s="156"/>
      <c r="E158" s="35"/>
      <c r="F158" s="112"/>
      <c r="G158" s="113"/>
      <c r="H158" s="53">
        <f t="shared" si="1"/>
        <v>0</v>
      </c>
      <c r="I158" s="115"/>
      <c r="J158" s="115"/>
      <c r="K158" s="60">
        <f t="shared" si="2"/>
        <v>0</v>
      </c>
      <c r="L158" s="117"/>
    </row>
    <row r="159" ht="15.75" customHeight="1">
      <c r="A159" s="9"/>
      <c r="B159" s="164"/>
      <c r="C159" s="110"/>
      <c r="D159" s="156"/>
      <c r="E159" s="35"/>
      <c r="F159" s="112"/>
      <c r="G159" s="113"/>
      <c r="H159" s="53">
        <f t="shared" si="1"/>
        <v>0</v>
      </c>
      <c r="I159" s="115"/>
      <c r="J159" s="115"/>
      <c r="K159" s="60">
        <f t="shared" si="2"/>
        <v>0</v>
      </c>
      <c r="L159" s="117"/>
    </row>
    <row r="160" ht="15.75" customHeight="1">
      <c r="A160" s="9"/>
      <c r="B160" s="164"/>
      <c r="C160" s="110"/>
      <c r="D160" s="156"/>
      <c r="E160" s="35"/>
      <c r="F160" s="112"/>
      <c r="G160" s="113"/>
      <c r="H160" s="53">
        <f t="shared" si="1"/>
        <v>0</v>
      </c>
      <c r="I160" s="115"/>
      <c r="J160" s="115"/>
      <c r="K160" s="60">
        <f t="shared" si="2"/>
        <v>0</v>
      </c>
      <c r="L160" s="117"/>
    </row>
    <row r="161" ht="15.75" customHeight="1">
      <c r="A161" s="9"/>
      <c r="B161" s="164"/>
      <c r="C161" s="110"/>
      <c r="D161" s="156"/>
      <c r="E161" s="35"/>
      <c r="F161" s="112"/>
      <c r="G161" s="113"/>
      <c r="H161" s="53">
        <f t="shared" si="1"/>
        <v>0</v>
      </c>
      <c r="I161" s="115"/>
      <c r="J161" s="115"/>
      <c r="K161" s="60">
        <f t="shared" si="2"/>
        <v>0</v>
      </c>
      <c r="L161" s="117"/>
    </row>
    <row r="162" ht="15.75" customHeight="1">
      <c r="A162" s="9"/>
      <c r="B162" s="164"/>
      <c r="C162" s="110"/>
      <c r="D162" s="156"/>
      <c r="E162" s="35"/>
      <c r="F162" s="112"/>
      <c r="G162" s="113"/>
      <c r="H162" s="53">
        <f t="shared" si="1"/>
        <v>0</v>
      </c>
      <c r="I162" s="115"/>
      <c r="J162" s="115"/>
      <c r="K162" s="60">
        <f t="shared" si="2"/>
        <v>0</v>
      </c>
      <c r="L162" s="117"/>
    </row>
    <row r="163" ht="15.75" customHeight="1">
      <c r="A163" s="9"/>
      <c r="B163" s="164"/>
      <c r="C163" s="110"/>
      <c r="D163" s="156"/>
      <c r="E163" s="35"/>
      <c r="F163" s="112"/>
      <c r="G163" s="113"/>
      <c r="H163" s="53">
        <f t="shared" si="1"/>
        <v>0</v>
      </c>
      <c r="I163" s="115"/>
      <c r="J163" s="115"/>
      <c r="K163" s="60">
        <f t="shared" si="2"/>
        <v>0</v>
      </c>
      <c r="L163" s="117"/>
    </row>
    <row r="164" ht="15.75" customHeight="1">
      <c r="A164" s="9"/>
      <c r="B164" s="164"/>
      <c r="C164" s="110"/>
      <c r="D164" s="156"/>
      <c r="E164" s="35"/>
      <c r="F164" s="112"/>
      <c r="G164" s="113"/>
      <c r="H164" s="53">
        <f t="shared" si="1"/>
        <v>0</v>
      </c>
      <c r="I164" s="115"/>
      <c r="J164" s="115"/>
      <c r="K164" s="60">
        <f t="shared" si="2"/>
        <v>0</v>
      </c>
      <c r="L164" s="117"/>
    </row>
    <row r="165" ht="15.75" customHeight="1">
      <c r="A165" s="9"/>
      <c r="B165" s="164"/>
      <c r="C165" s="110"/>
      <c r="D165" s="156"/>
      <c r="E165" s="35"/>
      <c r="F165" s="112"/>
      <c r="G165" s="113"/>
      <c r="H165" s="53">
        <f t="shared" si="1"/>
        <v>0</v>
      </c>
      <c r="I165" s="115"/>
      <c r="J165" s="115"/>
      <c r="K165" s="60">
        <f t="shared" si="2"/>
        <v>0</v>
      </c>
      <c r="L165" s="117"/>
    </row>
    <row r="166" ht="15.75" customHeight="1">
      <c r="A166" s="9"/>
      <c r="B166" s="164"/>
      <c r="C166" s="110"/>
      <c r="D166" s="156"/>
      <c r="E166" s="35"/>
      <c r="F166" s="112"/>
      <c r="G166" s="113"/>
      <c r="H166" s="53">
        <f t="shared" si="1"/>
        <v>0</v>
      </c>
      <c r="I166" s="115"/>
      <c r="J166" s="115"/>
      <c r="K166" s="60">
        <f t="shared" si="2"/>
        <v>0</v>
      </c>
      <c r="L166" s="117"/>
    </row>
    <row r="167" ht="15.75" customHeight="1">
      <c r="A167" s="9"/>
      <c r="B167" s="164"/>
      <c r="C167" s="110"/>
      <c r="D167" s="156"/>
      <c r="E167" s="35"/>
      <c r="F167" s="112"/>
      <c r="G167" s="113"/>
      <c r="H167" s="53">
        <f t="shared" si="1"/>
        <v>0</v>
      </c>
      <c r="I167" s="115"/>
      <c r="J167" s="115"/>
      <c r="K167" s="60">
        <f t="shared" si="2"/>
        <v>0</v>
      </c>
      <c r="L167" s="117"/>
    </row>
    <row r="168" ht="15.75" customHeight="1">
      <c r="A168" s="9"/>
      <c r="B168" s="164"/>
      <c r="C168" s="110"/>
      <c r="D168" s="156"/>
      <c r="E168" s="35"/>
      <c r="F168" s="112"/>
      <c r="G168" s="113"/>
      <c r="H168" s="53">
        <f t="shared" si="1"/>
        <v>0</v>
      </c>
      <c r="I168" s="115"/>
      <c r="J168" s="115"/>
      <c r="K168" s="60">
        <f t="shared" si="2"/>
        <v>0</v>
      </c>
      <c r="L168" s="117"/>
    </row>
    <row r="169" ht="15.75" customHeight="1">
      <c r="A169" s="9"/>
      <c r="B169" s="164"/>
      <c r="C169" s="110"/>
      <c r="D169" s="156"/>
      <c r="E169" s="35"/>
      <c r="F169" s="112"/>
      <c r="G169" s="113"/>
      <c r="H169" s="53">
        <f t="shared" si="1"/>
        <v>0</v>
      </c>
      <c r="I169" s="115"/>
      <c r="J169" s="115"/>
      <c r="K169" s="60">
        <f t="shared" si="2"/>
        <v>0</v>
      </c>
      <c r="L169" s="117"/>
    </row>
    <row r="170" ht="15.75" customHeight="1">
      <c r="A170" s="9"/>
      <c r="B170" s="164"/>
      <c r="C170" s="110"/>
      <c r="D170" s="156"/>
      <c r="E170" s="35"/>
      <c r="F170" s="112"/>
      <c r="G170" s="113"/>
      <c r="H170" s="53">
        <f t="shared" si="1"/>
        <v>0</v>
      </c>
      <c r="I170" s="115"/>
      <c r="J170" s="115"/>
      <c r="K170" s="60">
        <f t="shared" si="2"/>
        <v>0</v>
      </c>
      <c r="L170" s="117"/>
    </row>
    <row r="171" ht="15.75" customHeight="1">
      <c r="A171" s="9"/>
      <c r="B171" s="164"/>
      <c r="C171" s="110"/>
      <c r="D171" s="156"/>
      <c r="E171" s="35"/>
      <c r="F171" s="112"/>
      <c r="G171" s="113"/>
      <c r="H171" s="53">
        <f t="shared" si="1"/>
        <v>0</v>
      </c>
      <c r="I171" s="115"/>
      <c r="J171" s="115"/>
      <c r="K171" s="60">
        <f t="shared" si="2"/>
        <v>0</v>
      </c>
      <c r="L171" s="117"/>
    </row>
    <row r="172" ht="15.75" customHeight="1">
      <c r="A172" s="9"/>
      <c r="B172" s="164"/>
      <c r="C172" s="110"/>
      <c r="D172" s="156"/>
      <c r="E172" s="35"/>
      <c r="F172" s="112"/>
      <c r="G172" s="113"/>
      <c r="H172" s="53">
        <f t="shared" si="1"/>
        <v>0</v>
      </c>
      <c r="I172" s="115"/>
      <c r="J172" s="115"/>
      <c r="K172" s="60">
        <f t="shared" si="2"/>
        <v>0</v>
      </c>
      <c r="L172" s="117"/>
    </row>
    <row r="173" ht="15.75" customHeight="1">
      <c r="A173" s="9"/>
      <c r="B173" s="164"/>
      <c r="C173" s="110"/>
      <c r="D173" s="156"/>
      <c r="E173" s="35"/>
      <c r="F173" s="112"/>
      <c r="G173" s="113"/>
      <c r="H173" s="53">
        <f t="shared" si="1"/>
        <v>0</v>
      </c>
      <c r="I173" s="115"/>
      <c r="J173" s="115"/>
      <c r="K173" s="60">
        <f t="shared" si="2"/>
        <v>0</v>
      </c>
      <c r="L173" s="117"/>
    </row>
    <row r="174" ht="15.75" customHeight="1">
      <c r="A174" s="9"/>
      <c r="B174" s="164"/>
      <c r="C174" s="110"/>
      <c r="D174" s="156"/>
      <c r="E174" s="35"/>
      <c r="F174" s="112"/>
      <c r="G174" s="113"/>
      <c r="H174" s="53">
        <f t="shared" si="1"/>
        <v>0</v>
      </c>
      <c r="I174" s="115"/>
      <c r="J174" s="115"/>
      <c r="K174" s="60">
        <f t="shared" si="2"/>
        <v>0</v>
      </c>
      <c r="L174" s="117"/>
    </row>
    <row r="175" ht="15.75" customHeight="1">
      <c r="A175" s="9"/>
      <c r="B175" s="164"/>
      <c r="C175" s="110"/>
      <c r="D175" s="156"/>
      <c r="E175" s="35"/>
      <c r="F175" s="112"/>
      <c r="G175" s="113"/>
      <c r="H175" s="53">
        <f t="shared" si="1"/>
        <v>0</v>
      </c>
      <c r="I175" s="115"/>
      <c r="J175" s="115"/>
      <c r="K175" s="60">
        <f t="shared" si="2"/>
        <v>0</v>
      </c>
      <c r="L175" s="117"/>
    </row>
    <row r="176" ht="15.75" customHeight="1">
      <c r="A176" s="9"/>
      <c r="B176" s="164"/>
      <c r="C176" s="110"/>
      <c r="D176" s="156"/>
      <c r="E176" s="35"/>
      <c r="F176" s="112"/>
      <c r="G176" s="113"/>
      <c r="H176" s="53">
        <f t="shared" si="1"/>
        <v>0</v>
      </c>
      <c r="I176" s="115"/>
      <c r="J176" s="115"/>
      <c r="K176" s="60">
        <f t="shared" si="2"/>
        <v>0</v>
      </c>
      <c r="L176" s="117"/>
    </row>
    <row r="177" ht="15.75" customHeight="1">
      <c r="A177" s="9"/>
      <c r="B177" s="164"/>
      <c r="C177" s="110"/>
      <c r="D177" s="156"/>
      <c r="E177" s="35"/>
      <c r="F177" s="112"/>
      <c r="G177" s="113"/>
      <c r="H177" s="53">
        <f t="shared" si="1"/>
        <v>0</v>
      </c>
      <c r="I177" s="115"/>
      <c r="J177" s="115"/>
      <c r="K177" s="60">
        <f t="shared" si="2"/>
        <v>0</v>
      </c>
      <c r="L177" s="117"/>
    </row>
    <row r="178" ht="15.75" customHeight="1">
      <c r="A178" s="9"/>
      <c r="B178" s="164"/>
      <c r="C178" s="110"/>
      <c r="D178" s="156"/>
      <c r="E178" s="35"/>
      <c r="F178" s="112"/>
      <c r="G178" s="113"/>
      <c r="H178" s="53">
        <f t="shared" si="1"/>
        <v>0</v>
      </c>
      <c r="I178" s="115"/>
      <c r="J178" s="115"/>
      <c r="K178" s="60">
        <f t="shared" si="2"/>
        <v>0</v>
      </c>
      <c r="L178" s="117"/>
    </row>
    <row r="179" ht="15.75" customHeight="1">
      <c r="A179" s="9"/>
      <c r="B179" s="164"/>
      <c r="C179" s="110"/>
      <c r="D179" s="156"/>
      <c r="E179" s="35"/>
      <c r="F179" s="112"/>
      <c r="G179" s="113"/>
      <c r="H179" s="53">
        <f t="shared" si="1"/>
        <v>0</v>
      </c>
      <c r="I179" s="115"/>
      <c r="J179" s="115"/>
      <c r="K179" s="60">
        <f t="shared" si="2"/>
        <v>0</v>
      </c>
      <c r="L179" s="117"/>
    </row>
    <row r="180" ht="15.75" customHeight="1">
      <c r="A180" s="9"/>
      <c r="B180" s="164"/>
      <c r="C180" s="110"/>
      <c r="D180" s="156"/>
      <c r="E180" s="35"/>
      <c r="F180" s="112"/>
      <c r="G180" s="113"/>
      <c r="H180" s="53">
        <f t="shared" si="1"/>
        <v>0</v>
      </c>
      <c r="I180" s="115"/>
      <c r="J180" s="115"/>
      <c r="K180" s="60">
        <f t="shared" si="2"/>
        <v>0</v>
      </c>
      <c r="L180" s="117"/>
    </row>
    <row r="181" ht="15.75" customHeight="1">
      <c r="A181" s="9"/>
      <c r="B181" s="164"/>
      <c r="C181" s="110"/>
      <c r="D181" s="156"/>
      <c r="E181" s="35"/>
      <c r="F181" s="112"/>
      <c r="G181" s="113"/>
      <c r="H181" s="53">
        <f t="shared" si="1"/>
        <v>0</v>
      </c>
      <c r="I181" s="115"/>
      <c r="J181" s="115"/>
      <c r="K181" s="60">
        <f t="shared" si="2"/>
        <v>0</v>
      </c>
      <c r="L181" s="117"/>
    </row>
    <row r="182" ht="15.75" customHeight="1">
      <c r="A182" s="9"/>
      <c r="B182" s="164"/>
      <c r="C182" s="110"/>
      <c r="D182" s="156"/>
      <c r="E182" s="35"/>
      <c r="F182" s="112"/>
      <c r="G182" s="113"/>
      <c r="H182" s="53">
        <f t="shared" si="1"/>
        <v>0</v>
      </c>
      <c r="I182" s="115"/>
      <c r="J182" s="115"/>
      <c r="K182" s="60">
        <f t="shared" si="2"/>
        <v>0</v>
      </c>
      <c r="L182" s="117"/>
    </row>
    <row r="183" ht="15.75" customHeight="1">
      <c r="A183" s="9"/>
      <c r="B183" s="164"/>
      <c r="C183" s="110"/>
      <c r="D183" s="156"/>
      <c r="E183" s="35"/>
      <c r="F183" s="112"/>
      <c r="G183" s="113"/>
      <c r="H183" s="53">
        <f t="shared" si="1"/>
        <v>0</v>
      </c>
      <c r="I183" s="115"/>
      <c r="J183" s="115"/>
      <c r="K183" s="60">
        <f t="shared" si="2"/>
        <v>0</v>
      </c>
      <c r="L183" s="117"/>
    </row>
    <row r="184" ht="15.75" customHeight="1">
      <c r="A184" s="9"/>
      <c r="B184" s="164"/>
      <c r="C184" s="110"/>
      <c r="D184" s="156"/>
      <c r="E184" s="35"/>
      <c r="F184" s="112"/>
      <c r="G184" s="113"/>
      <c r="H184" s="53">
        <f t="shared" si="1"/>
        <v>0</v>
      </c>
      <c r="I184" s="115"/>
      <c r="J184" s="115"/>
      <c r="K184" s="60">
        <f t="shared" si="2"/>
        <v>0</v>
      </c>
      <c r="L184" s="117"/>
    </row>
    <row r="185" ht="15.75" customHeight="1">
      <c r="A185" s="9"/>
      <c r="B185" s="164"/>
      <c r="C185" s="110"/>
      <c r="D185" s="156"/>
      <c r="E185" s="35"/>
      <c r="F185" s="112"/>
      <c r="G185" s="113"/>
      <c r="H185" s="53">
        <f t="shared" si="1"/>
        <v>0</v>
      </c>
      <c r="I185" s="115"/>
      <c r="J185" s="115"/>
      <c r="K185" s="60">
        <f t="shared" si="2"/>
        <v>0</v>
      </c>
      <c r="L185" s="117"/>
    </row>
    <row r="186" ht="15.75" customHeight="1">
      <c r="A186" s="9"/>
      <c r="B186" s="164"/>
      <c r="C186" s="110"/>
      <c r="D186" s="156"/>
      <c r="E186" s="35"/>
      <c r="F186" s="112"/>
      <c r="G186" s="113"/>
      <c r="H186" s="53">
        <f t="shared" si="1"/>
        <v>0</v>
      </c>
      <c r="I186" s="115"/>
      <c r="J186" s="115"/>
      <c r="K186" s="60">
        <f t="shared" si="2"/>
        <v>0</v>
      </c>
      <c r="L186" s="117"/>
    </row>
    <row r="187" ht="15.75" customHeight="1">
      <c r="A187" s="9"/>
      <c r="B187" s="164"/>
      <c r="C187" s="110"/>
      <c r="D187" s="156"/>
      <c r="E187" s="35"/>
      <c r="F187" s="112"/>
      <c r="G187" s="113"/>
      <c r="H187" s="53">
        <f t="shared" si="1"/>
        <v>0</v>
      </c>
      <c r="I187" s="115"/>
      <c r="J187" s="115"/>
      <c r="K187" s="60">
        <f t="shared" si="2"/>
        <v>0</v>
      </c>
      <c r="L187" s="117"/>
    </row>
    <row r="188" ht="15.75" customHeight="1">
      <c r="A188" s="9"/>
      <c r="B188" s="164"/>
      <c r="C188" s="110"/>
      <c r="D188" s="156"/>
      <c r="E188" s="35"/>
      <c r="F188" s="112"/>
      <c r="G188" s="113"/>
      <c r="H188" s="53">
        <f t="shared" si="1"/>
        <v>0</v>
      </c>
      <c r="I188" s="115"/>
      <c r="J188" s="115"/>
      <c r="K188" s="60">
        <f t="shared" si="2"/>
        <v>0</v>
      </c>
      <c r="L188" s="117"/>
    </row>
    <row r="189" ht="15.75" customHeight="1">
      <c r="A189" s="9"/>
      <c r="B189" s="164"/>
      <c r="C189" s="110"/>
      <c r="D189" s="156"/>
      <c r="E189" s="35"/>
      <c r="F189" s="112"/>
      <c r="G189" s="113"/>
      <c r="H189" s="53">
        <f t="shared" si="1"/>
        <v>0</v>
      </c>
      <c r="I189" s="115"/>
      <c r="J189" s="115"/>
      <c r="K189" s="60">
        <f t="shared" si="2"/>
        <v>0</v>
      </c>
      <c r="L189" s="117"/>
    </row>
    <row r="190" ht="15.75" customHeight="1">
      <c r="A190" s="9"/>
      <c r="B190" s="164"/>
      <c r="C190" s="110"/>
      <c r="D190" s="156"/>
      <c r="E190" s="35"/>
      <c r="F190" s="112"/>
      <c r="G190" s="113"/>
      <c r="H190" s="53">
        <f t="shared" si="1"/>
        <v>0</v>
      </c>
      <c r="I190" s="115"/>
      <c r="J190" s="115"/>
      <c r="K190" s="60">
        <f t="shared" si="2"/>
        <v>0</v>
      </c>
      <c r="L190" s="117"/>
    </row>
    <row r="191" ht="15.75" customHeight="1">
      <c r="A191" s="9"/>
      <c r="B191" s="164"/>
      <c r="C191" s="110"/>
      <c r="D191" s="156"/>
      <c r="E191" s="35"/>
      <c r="F191" s="112"/>
      <c r="G191" s="113"/>
      <c r="H191" s="53">
        <f t="shared" si="1"/>
        <v>0</v>
      </c>
      <c r="I191" s="115"/>
      <c r="J191" s="115"/>
      <c r="K191" s="60">
        <f t="shared" si="2"/>
        <v>0</v>
      </c>
      <c r="L191" s="117"/>
    </row>
    <row r="192" ht="15.75" customHeight="1">
      <c r="A192" s="9"/>
      <c r="B192" s="164"/>
      <c r="C192" s="110"/>
      <c r="D192" s="156"/>
      <c r="E192" s="35"/>
      <c r="F192" s="112"/>
      <c r="G192" s="113"/>
      <c r="H192" s="53">
        <f t="shared" si="1"/>
        <v>0</v>
      </c>
      <c r="I192" s="115"/>
      <c r="J192" s="115"/>
      <c r="K192" s="60">
        <f t="shared" si="2"/>
        <v>0</v>
      </c>
      <c r="L192" s="117"/>
    </row>
    <row r="193" ht="15.75" customHeight="1">
      <c r="A193" s="9"/>
      <c r="B193" s="164"/>
      <c r="C193" s="110"/>
      <c r="D193" s="156"/>
      <c r="E193" s="35"/>
      <c r="F193" s="112"/>
      <c r="G193" s="113"/>
      <c r="H193" s="53">
        <f t="shared" si="1"/>
        <v>0</v>
      </c>
      <c r="I193" s="115"/>
      <c r="J193" s="115"/>
      <c r="K193" s="60">
        <f t="shared" si="2"/>
        <v>0</v>
      </c>
      <c r="L193" s="117"/>
    </row>
    <row r="194" ht="15.75" customHeight="1">
      <c r="A194" s="9"/>
      <c r="B194" s="164"/>
      <c r="C194" s="110"/>
      <c r="D194" s="156"/>
      <c r="E194" s="35"/>
      <c r="F194" s="112"/>
      <c r="G194" s="113"/>
      <c r="H194" s="53">
        <f t="shared" si="1"/>
        <v>0</v>
      </c>
      <c r="I194" s="115"/>
      <c r="J194" s="115"/>
      <c r="K194" s="60">
        <f t="shared" si="2"/>
        <v>0</v>
      </c>
      <c r="L194" s="117"/>
    </row>
    <row r="195" ht="15.75" customHeight="1">
      <c r="A195" s="9"/>
      <c r="B195" s="164"/>
      <c r="C195" s="110"/>
      <c r="D195" s="156"/>
      <c r="E195" s="35"/>
      <c r="F195" s="112"/>
      <c r="G195" s="113"/>
      <c r="H195" s="53">
        <f t="shared" si="1"/>
        <v>0</v>
      </c>
      <c r="I195" s="115"/>
      <c r="J195" s="115"/>
      <c r="K195" s="60">
        <f t="shared" si="2"/>
        <v>0</v>
      </c>
      <c r="L195" s="117"/>
    </row>
    <row r="196" ht="15.75" customHeight="1">
      <c r="A196" s="9"/>
      <c r="B196" s="164"/>
      <c r="C196" s="110"/>
      <c r="D196" s="156"/>
      <c r="E196" s="35"/>
      <c r="F196" s="112"/>
      <c r="G196" s="113"/>
      <c r="H196" s="53">
        <f t="shared" si="1"/>
        <v>0</v>
      </c>
      <c r="I196" s="115"/>
      <c r="J196" s="115"/>
      <c r="K196" s="60">
        <f t="shared" si="2"/>
        <v>0</v>
      </c>
      <c r="L196" s="117"/>
    </row>
    <row r="197" ht="15.75" customHeight="1">
      <c r="A197" s="9"/>
      <c r="B197" s="164"/>
      <c r="C197" s="110"/>
      <c r="D197" s="156"/>
      <c r="E197" s="35"/>
      <c r="F197" s="112"/>
      <c r="G197" s="113"/>
      <c r="H197" s="53">
        <f t="shared" si="1"/>
        <v>0</v>
      </c>
      <c r="I197" s="115"/>
      <c r="J197" s="115"/>
      <c r="K197" s="60">
        <f t="shared" si="2"/>
        <v>0</v>
      </c>
      <c r="L197" s="117"/>
    </row>
    <row r="198" ht="15.75" customHeight="1">
      <c r="A198" s="9"/>
      <c r="B198" s="164"/>
      <c r="C198" s="110"/>
      <c r="D198" s="156"/>
      <c r="E198" s="35"/>
      <c r="F198" s="112"/>
      <c r="G198" s="113"/>
      <c r="H198" s="53">
        <f t="shared" si="1"/>
        <v>0</v>
      </c>
      <c r="I198" s="115"/>
      <c r="J198" s="115"/>
      <c r="K198" s="60">
        <f t="shared" si="2"/>
        <v>0</v>
      </c>
      <c r="L198" s="117"/>
    </row>
    <row r="199" ht="15.75" customHeight="1">
      <c r="A199" s="9"/>
      <c r="B199" s="164"/>
      <c r="C199" s="110"/>
      <c r="D199" s="156"/>
      <c r="E199" s="35"/>
      <c r="F199" s="112"/>
      <c r="G199" s="113"/>
      <c r="H199" s="53">
        <f t="shared" si="1"/>
        <v>0</v>
      </c>
      <c r="I199" s="115"/>
      <c r="J199" s="115"/>
      <c r="K199" s="60">
        <f t="shared" si="2"/>
        <v>0</v>
      </c>
      <c r="L199" s="117"/>
    </row>
    <row r="200" ht="15.75" customHeight="1">
      <c r="A200" s="9"/>
      <c r="B200" s="164"/>
      <c r="C200" s="110"/>
      <c r="D200" s="156"/>
      <c r="E200" s="35"/>
      <c r="F200" s="112"/>
      <c r="G200" s="113"/>
      <c r="H200" s="53">
        <f t="shared" si="1"/>
        <v>0</v>
      </c>
      <c r="I200" s="115"/>
      <c r="J200" s="115"/>
      <c r="K200" s="60">
        <f t="shared" si="2"/>
        <v>0</v>
      </c>
      <c r="L200" s="117"/>
    </row>
    <row r="201" ht="15.75" customHeight="1">
      <c r="A201" s="9"/>
      <c r="B201" s="164"/>
      <c r="C201" s="110"/>
      <c r="D201" s="156"/>
      <c r="E201" s="35"/>
      <c r="F201" s="112"/>
      <c r="G201" s="113"/>
      <c r="H201" s="53">
        <f t="shared" si="1"/>
        <v>0</v>
      </c>
      <c r="I201" s="115"/>
      <c r="J201" s="115"/>
      <c r="K201" s="60">
        <f t="shared" si="2"/>
        <v>0</v>
      </c>
      <c r="L201" s="117"/>
    </row>
    <row r="202" ht="15.75" customHeight="1">
      <c r="A202" s="9"/>
      <c r="B202" s="164"/>
      <c r="C202" s="110"/>
      <c r="D202" s="156"/>
      <c r="E202" s="35"/>
      <c r="F202" s="112"/>
      <c r="G202" s="113"/>
      <c r="H202" s="53">
        <f t="shared" si="1"/>
        <v>0</v>
      </c>
      <c r="I202" s="115"/>
      <c r="J202" s="115"/>
      <c r="K202" s="60">
        <f t="shared" si="2"/>
        <v>0</v>
      </c>
      <c r="L202" s="117"/>
    </row>
    <row r="203" ht="15.75" customHeight="1">
      <c r="A203" s="9"/>
      <c r="B203" s="164"/>
      <c r="C203" s="110"/>
      <c r="D203" s="156"/>
      <c r="E203" s="35"/>
      <c r="F203" s="112"/>
      <c r="G203" s="113"/>
      <c r="H203" s="53">
        <f t="shared" si="1"/>
        <v>0</v>
      </c>
      <c r="I203" s="115"/>
      <c r="J203" s="115"/>
      <c r="K203" s="60">
        <f t="shared" si="2"/>
        <v>0</v>
      </c>
      <c r="L203" s="117"/>
    </row>
    <row r="204" ht="15.75" customHeight="1">
      <c r="A204" s="9"/>
      <c r="B204" s="164"/>
      <c r="C204" s="110"/>
      <c r="D204" s="156"/>
      <c r="E204" s="35"/>
      <c r="F204" s="112"/>
      <c r="G204" s="113"/>
      <c r="H204" s="53">
        <f t="shared" si="1"/>
        <v>0</v>
      </c>
      <c r="I204" s="115"/>
      <c r="J204" s="115"/>
      <c r="K204" s="60">
        <f t="shared" si="2"/>
        <v>0</v>
      </c>
      <c r="L204" s="117"/>
    </row>
    <row r="205" ht="15.75" customHeight="1">
      <c r="A205" s="9"/>
      <c r="B205" s="164"/>
      <c r="C205" s="110"/>
      <c r="D205" s="156"/>
      <c r="E205" s="35"/>
      <c r="F205" s="112"/>
      <c r="G205" s="113"/>
      <c r="H205" s="53">
        <f t="shared" si="1"/>
        <v>0</v>
      </c>
      <c r="I205" s="115"/>
      <c r="J205" s="115"/>
      <c r="K205" s="60">
        <f t="shared" si="2"/>
        <v>0</v>
      </c>
      <c r="L205" s="117"/>
    </row>
    <row r="206" ht="15.75" customHeight="1">
      <c r="A206" s="9"/>
      <c r="B206" s="164"/>
      <c r="C206" s="110"/>
      <c r="D206" s="156"/>
      <c r="E206" s="35"/>
      <c r="F206" s="112"/>
      <c r="G206" s="113"/>
      <c r="H206" s="53">
        <f t="shared" si="1"/>
        <v>0</v>
      </c>
      <c r="I206" s="115"/>
      <c r="J206" s="115"/>
      <c r="K206" s="60">
        <f t="shared" si="2"/>
        <v>0</v>
      </c>
      <c r="L206" s="117"/>
    </row>
    <row r="207" ht="15.75" customHeight="1">
      <c r="A207" s="9"/>
      <c r="B207" s="164"/>
      <c r="C207" s="110"/>
      <c r="D207" s="156"/>
      <c r="E207" s="35"/>
      <c r="F207" s="112"/>
      <c r="G207" s="113"/>
      <c r="H207" s="53">
        <f t="shared" si="1"/>
        <v>0</v>
      </c>
      <c r="I207" s="115"/>
      <c r="J207" s="115"/>
      <c r="K207" s="60">
        <f t="shared" si="2"/>
        <v>0</v>
      </c>
      <c r="L207" s="117"/>
    </row>
    <row r="208" ht="15.75" customHeight="1">
      <c r="A208" s="9"/>
      <c r="B208" s="164"/>
      <c r="C208" s="110"/>
      <c r="D208" s="156"/>
      <c r="E208" s="35"/>
      <c r="F208" s="112"/>
      <c r="G208" s="113"/>
      <c r="H208" s="53">
        <f t="shared" si="1"/>
        <v>0</v>
      </c>
      <c r="I208" s="115"/>
      <c r="J208" s="115"/>
      <c r="K208" s="60">
        <f t="shared" si="2"/>
        <v>0</v>
      </c>
      <c r="L208" s="117"/>
    </row>
    <row r="209" ht="15.75" customHeight="1">
      <c r="A209" s="9"/>
      <c r="B209" s="164"/>
      <c r="C209" s="110"/>
      <c r="D209" s="156"/>
      <c r="E209" s="35"/>
      <c r="F209" s="112"/>
      <c r="G209" s="113"/>
      <c r="H209" s="53">
        <f t="shared" si="1"/>
        <v>0</v>
      </c>
      <c r="I209" s="115"/>
      <c r="J209" s="115"/>
      <c r="K209" s="60">
        <f t="shared" si="2"/>
        <v>0</v>
      </c>
      <c r="L209" s="117"/>
    </row>
    <row r="210" ht="15.75" customHeight="1">
      <c r="A210" s="9"/>
      <c r="B210" s="164"/>
      <c r="C210" s="110"/>
      <c r="D210" s="156"/>
      <c r="E210" s="35"/>
      <c r="F210" s="112"/>
      <c r="G210" s="113"/>
      <c r="H210" s="53">
        <f t="shared" si="1"/>
        <v>0</v>
      </c>
      <c r="I210" s="115"/>
      <c r="J210" s="115"/>
      <c r="K210" s="60">
        <f t="shared" si="2"/>
        <v>0</v>
      </c>
      <c r="L210" s="117"/>
    </row>
    <row r="211" ht="15.75" customHeight="1">
      <c r="A211" s="9"/>
      <c r="B211" s="164"/>
      <c r="C211" s="110"/>
      <c r="D211" s="156"/>
      <c r="E211" s="35"/>
      <c r="F211" s="112"/>
      <c r="G211" s="113"/>
      <c r="H211" s="53">
        <f t="shared" si="1"/>
        <v>0</v>
      </c>
      <c r="I211" s="115"/>
      <c r="J211" s="115"/>
      <c r="K211" s="60">
        <f t="shared" si="2"/>
        <v>0</v>
      </c>
      <c r="L211" s="117"/>
    </row>
    <row r="212" ht="15.75" customHeight="1">
      <c r="A212" s="9"/>
      <c r="B212" s="164"/>
      <c r="C212" s="110"/>
      <c r="D212" s="156"/>
      <c r="E212" s="35"/>
      <c r="F212" s="112"/>
      <c r="G212" s="113"/>
      <c r="H212" s="53">
        <f t="shared" si="1"/>
        <v>0</v>
      </c>
      <c r="I212" s="115"/>
      <c r="J212" s="115"/>
      <c r="K212" s="60">
        <f t="shared" si="2"/>
        <v>0</v>
      </c>
      <c r="L212" s="117"/>
    </row>
    <row r="213" ht="15.75" customHeight="1">
      <c r="A213" s="9"/>
      <c r="B213" s="164"/>
      <c r="C213" s="110"/>
      <c r="D213" s="156"/>
      <c r="E213" s="35"/>
      <c r="F213" s="112"/>
      <c r="G213" s="113"/>
      <c r="H213" s="53">
        <f t="shared" si="1"/>
        <v>0</v>
      </c>
      <c r="I213" s="115"/>
      <c r="J213" s="115"/>
      <c r="K213" s="60">
        <f t="shared" si="2"/>
        <v>0</v>
      </c>
      <c r="L213" s="117"/>
    </row>
    <row r="214" ht="15.75" customHeight="1">
      <c r="A214" s="9"/>
      <c r="B214" s="164"/>
      <c r="C214" s="110"/>
      <c r="D214" s="156"/>
      <c r="E214" s="35"/>
      <c r="F214" s="112"/>
      <c r="G214" s="113"/>
      <c r="H214" s="53">
        <f t="shared" si="1"/>
        <v>0</v>
      </c>
      <c r="I214" s="115"/>
      <c r="J214" s="115"/>
      <c r="K214" s="60">
        <f t="shared" si="2"/>
        <v>0</v>
      </c>
      <c r="L214" s="117"/>
    </row>
    <row r="215" ht="15.75" customHeight="1">
      <c r="A215" s="9"/>
      <c r="B215" s="164"/>
      <c r="C215" s="110"/>
      <c r="D215" s="156"/>
      <c r="E215" s="35"/>
      <c r="F215" s="112"/>
      <c r="G215" s="113"/>
      <c r="H215" s="53">
        <f t="shared" si="1"/>
        <v>0</v>
      </c>
      <c r="I215" s="115"/>
      <c r="J215" s="115"/>
      <c r="K215" s="60">
        <f t="shared" si="2"/>
        <v>0</v>
      </c>
      <c r="L215" s="117"/>
    </row>
    <row r="216" ht="15.75" customHeight="1">
      <c r="A216" s="9"/>
      <c r="B216" s="164"/>
      <c r="C216" s="110"/>
      <c r="D216" s="156"/>
      <c r="E216" s="35"/>
      <c r="F216" s="112"/>
      <c r="G216" s="113"/>
      <c r="H216" s="53">
        <f t="shared" si="1"/>
        <v>0</v>
      </c>
      <c r="I216" s="115"/>
      <c r="J216" s="115"/>
      <c r="K216" s="60">
        <f t="shared" si="2"/>
        <v>0</v>
      </c>
      <c r="L216" s="117"/>
    </row>
    <row r="217" ht="15.75" customHeight="1">
      <c r="A217" s="9"/>
      <c r="B217" s="164"/>
      <c r="C217" s="110"/>
      <c r="D217" s="156"/>
      <c r="E217" s="35"/>
      <c r="F217" s="112"/>
      <c r="G217" s="113"/>
      <c r="H217" s="53">
        <f t="shared" si="1"/>
        <v>0</v>
      </c>
      <c r="I217" s="115"/>
      <c r="J217" s="115"/>
      <c r="K217" s="60">
        <f t="shared" si="2"/>
        <v>0</v>
      </c>
      <c r="L217" s="117"/>
    </row>
    <row r="218" ht="15.75" customHeight="1">
      <c r="A218" s="9"/>
      <c r="B218" s="164"/>
      <c r="C218" s="110"/>
      <c r="D218" s="156"/>
      <c r="E218" s="35"/>
      <c r="F218" s="112"/>
      <c r="G218" s="113"/>
      <c r="H218" s="53">
        <f t="shared" si="1"/>
        <v>0</v>
      </c>
      <c r="I218" s="115"/>
      <c r="J218" s="115"/>
      <c r="K218" s="60">
        <f t="shared" si="2"/>
        <v>0</v>
      </c>
      <c r="L218" s="117"/>
    </row>
    <row r="219" ht="15.75" customHeight="1">
      <c r="A219" s="9"/>
      <c r="B219" s="164"/>
      <c r="C219" s="110"/>
      <c r="D219" s="156"/>
      <c r="E219" s="35"/>
      <c r="F219" s="112"/>
      <c r="G219" s="113"/>
      <c r="H219" s="53">
        <f t="shared" si="1"/>
        <v>0</v>
      </c>
      <c r="I219" s="115"/>
      <c r="J219" s="115"/>
      <c r="K219" s="60">
        <f t="shared" si="2"/>
        <v>0</v>
      </c>
      <c r="L219" s="117"/>
    </row>
    <row r="220" ht="15.75" customHeight="1">
      <c r="A220" s="9"/>
      <c r="B220" s="164"/>
      <c r="C220" s="110"/>
      <c r="D220" s="156"/>
      <c r="E220" s="35"/>
      <c r="F220" s="112"/>
      <c r="G220" s="113"/>
      <c r="H220" s="53">
        <f t="shared" si="1"/>
        <v>0</v>
      </c>
      <c r="I220" s="115"/>
      <c r="J220" s="115"/>
      <c r="K220" s="60">
        <f t="shared" si="2"/>
        <v>0</v>
      </c>
      <c r="L220" s="117"/>
    </row>
    <row r="221" ht="15.75" customHeight="1">
      <c r="A221" s="9"/>
      <c r="B221" s="164"/>
      <c r="C221" s="110"/>
      <c r="D221" s="156"/>
      <c r="E221" s="35"/>
      <c r="F221" s="112"/>
      <c r="G221" s="113"/>
      <c r="H221" s="53">
        <f t="shared" si="1"/>
        <v>0</v>
      </c>
      <c r="I221" s="115"/>
      <c r="J221" s="115"/>
      <c r="K221" s="60">
        <f t="shared" si="2"/>
        <v>0</v>
      </c>
      <c r="L221" s="117"/>
    </row>
    <row r="222" ht="15.75" customHeight="1">
      <c r="A222" s="9"/>
      <c r="B222" s="164"/>
      <c r="C222" s="110"/>
      <c r="D222" s="156"/>
      <c r="E222" s="35"/>
      <c r="F222" s="112"/>
      <c r="G222" s="113"/>
      <c r="H222" s="53">
        <f t="shared" si="1"/>
        <v>0</v>
      </c>
      <c r="I222" s="115"/>
      <c r="J222" s="115"/>
      <c r="K222" s="60">
        <f t="shared" si="2"/>
        <v>0</v>
      </c>
      <c r="L222" s="117"/>
    </row>
    <row r="223" ht="15.75" customHeight="1">
      <c r="A223" s="9"/>
      <c r="B223" s="164"/>
      <c r="C223" s="110"/>
      <c r="D223" s="156"/>
      <c r="E223" s="35"/>
      <c r="F223" s="112"/>
      <c r="G223" s="113"/>
      <c r="H223" s="53">
        <f t="shared" si="1"/>
        <v>0</v>
      </c>
      <c r="I223" s="115"/>
      <c r="J223" s="115"/>
      <c r="K223" s="60">
        <f t="shared" si="2"/>
        <v>0</v>
      </c>
      <c r="L223" s="117"/>
    </row>
    <row r="224" ht="15.75" customHeight="1">
      <c r="A224" s="9"/>
      <c r="B224" s="164"/>
      <c r="C224" s="110"/>
      <c r="D224" s="156"/>
      <c r="E224" s="35"/>
      <c r="F224" s="112"/>
      <c r="G224" s="113"/>
      <c r="H224" s="53">
        <f t="shared" si="1"/>
        <v>0</v>
      </c>
      <c r="I224" s="115"/>
      <c r="J224" s="115"/>
      <c r="K224" s="60">
        <f t="shared" si="2"/>
        <v>0</v>
      </c>
      <c r="L224" s="117"/>
    </row>
    <row r="225" ht="15.75" customHeight="1">
      <c r="A225" s="9"/>
      <c r="B225" s="164"/>
      <c r="C225" s="110"/>
      <c r="D225" s="156"/>
      <c r="E225" s="35"/>
      <c r="F225" s="112"/>
      <c r="G225" s="113"/>
      <c r="H225" s="53">
        <f t="shared" si="1"/>
        <v>0</v>
      </c>
      <c r="I225" s="115"/>
      <c r="J225" s="115"/>
      <c r="K225" s="60">
        <f t="shared" si="2"/>
        <v>0</v>
      </c>
      <c r="L225" s="117"/>
    </row>
    <row r="226" ht="15.75" customHeight="1">
      <c r="A226" s="9"/>
      <c r="B226" s="164"/>
      <c r="C226" s="110"/>
      <c r="D226" s="156"/>
      <c r="E226" s="35"/>
      <c r="F226" s="112"/>
      <c r="G226" s="113"/>
      <c r="H226" s="53">
        <f t="shared" si="1"/>
        <v>0</v>
      </c>
      <c r="I226" s="115"/>
      <c r="J226" s="115"/>
      <c r="K226" s="60">
        <f t="shared" si="2"/>
        <v>0</v>
      </c>
      <c r="L226" s="117"/>
    </row>
    <row r="227" ht="15.75" customHeight="1">
      <c r="A227" s="9"/>
      <c r="B227" s="164"/>
      <c r="C227" s="110"/>
      <c r="D227" s="156"/>
      <c r="E227" s="35"/>
      <c r="F227" s="112"/>
      <c r="G227" s="113"/>
      <c r="H227" s="53">
        <f t="shared" si="1"/>
        <v>0</v>
      </c>
      <c r="I227" s="115"/>
      <c r="J227" s="115"/>
      <c r="K227" s="60">
        <f t="shared" si="2"/>
        <v>0</v>
      </c>
      <c r="L227" s="117"/>
    </row>
    <row r="228" ht="15.75" customHeight="1">
      <c r="A228" s="9"/>
      <c r="B228" s="164"/>
      <c r="C228" s="110"/>
      <c r="D228" s="156"/>
      <c r="E228" s="35"/>
      <c r="F228" s="112"/>
      <c r="G228" s="113"/>
      <c r="H228" s="53">
        <f t="shared" si="1"/>
        <v>0</v>
      </c>
      <c r="I228" s="115"/>
      <c r="J228" s="115"/>
      <c r="K228" s="60">
        <f t="shared" si="2"/>
        <v>0</v>
      </c>
      <c r="L228" s="117"/>
    </row>
    <row r="229" ht="15.75" customHeight="1">
      <c r="A229" s="9"/>
      <c r="B229" s="164"/>
      <c r="C229" s="110"/>
      <c r="D229" s="156"/>
      <c r="E229" s="35"/>
      <c r="F229" s="112"/>
      <c r="G229" s="113"/>
      <c r="H229" s="53">
        <f t="shared" si="1"/>
        <v>0</v>
      </c>
      <c r="I229" s="115"/>
      <c r="J229" s="115"/>
      <c r="K229" s="60">
        <f t="shared" si="2"/>
        <v>0</v>
      </c>
      <c r="L229" s="117"/>
    </row>
    <row r="230" ht="15.75" customHeight="1">
      <c r="A230" s="9"/>
      <c r="B230" s="164"/>
      <c r="C230" s="110"/>
      <c r="D230" s="156"/>
      <c r="E230" s="35"/>
      <c r="F230" s="112"/>
      <c r="G230" s="113"/>
      <c r="H230" s="53">
        <f t="shared" si="1"/>
        <v>0</v>
      </c>
      <c r="I230" s="115"/>
      <c r="J230" s="115"/>
      <c r="K230" s="60">
        <f t="shared" si="2"/>
        <v>0</v>
      </c>
      <c r="L230" s="117"/>
    </row>
    <row r="231" ht="15.75" customHeight="1">
      <c r="A231" s="9"/>
      <c r="B231" s="164"/>
      <c r="C231" s="110"/>
      <c r="D231" s="156"/>
      <c r="E231" s="35"/>
      <c r="F231" s="112"/>
      <c r="G231" s="113"/>
      <c r="H231" s="53">
        <f t="shared" si="1"/>
        <v>0</v>
      </c>
      <c r="I231" s="115"/>
      <c r="J231" s="115"/>
      <c r="K231" s="60">
        <f t="shared" si="2"/>
        <v>0</v>
      </c>
      <c r="L231" s="117"/>
    </row>
    <row r="232" ht="15.75" customHeight="1">
      <c r="A232" s="9"/>
      <c r="B232" s="164"/>
      <c r="C232" s="110"/>
      <c r="D232" s="156"/>
      <c r="E232" s="35"/>
      <c r="F232" s="112"/>
      <c r="G232" s="113"/>
      <c r="H232" s="53">
        <f t="shared" si="1"/>
        <v>0</v>
      </c>
      <c r="I232" s="115"/>
      <c r="J232" s="115"/>
      <c r="K232" s="60">
        <f t="shared" si="2"/>
        <v>0</v>
      </c>
      <c r="L232" s="117"/>
    </row>
    <row r="233" ht="15.75" customHeight="1">
      <c r="A233" s="9"/>
      <c r="B233" s="164"/>
      <c r="C233" s="110"/>
      <c r="D233" s="156"/>
      <c r="E233" s="35"/>
      <c r="F233" s="112"/>
      <c r="G233" s="113"/>
      <c r="H233" s="53">
        <f t="shared" si="1"/>
        <v>0</v>
      </c>
      <c r="I233" s="115"/>
      <c r="J233" s="115"/>
      <c r="K233" s="60">
        <f t="shared" si="2"/>
        <v>0</v>
      </c>
      <c r="L233" s="117"/>
    </row>
    <row r="234" ht="15.75" customHeight="1">
      <c r="A234" s="9"/>
      <c r="B234" s="164"/>
      <c r="C234" s="110"/>
      <c r="D234" s="156"/>
      <c r="E234" s="35"/>
      <c r="F234" s="112"/>
      <c r="G234" s="113"/>
      <c r="H234" s="53">
        <f t="shared" si="1"/>
        <v>0</v>
      </c>
      <c r="I234" s="115"/>
      <c r="J234" s="115"/>
      <c r="K234" s="60">
        <f t="shared" si="2"/>
        <v>0</v>
      </c>
      <c r="L234" s="117"/>
    </row>
    <row r="235" ht="15.75" customHeight="1">
      <c r="A235" s="9"/>
      <c r="B235" s="164"/>
      <c r="C235" s="110"/>
      <c r="D235" s="156"/>
      <c r="E235" s="35"/>
      <c r="F235" s="112"/>
      <c r="G235" s="113"/>
      <c r="H235" s="53">
        <f t="shared" si="1"/>
        <v>0</v>
      </c>
      <c r="I235" s="115"/>
      <c r="J235" s="115"/>
      <c r="K235" s="60">
        <f t="shared" si="2"/>
        <v>0</v>
      </c>
      <c r="L235" s="117"/>
    </row>
    <row r="236" ht="15.75" customHeight="1">
      <c r="A236" s="9"/>
      <c r="B236" s="164"/>
      <c r="C236" s="110"/>
      <c r="D236" s="156"/>
      <c r="E236" s="35"/>
      <c r="F236" s="112"/>
      <c r="G236" s="113"/>
      <c r="H236" s="53">
        <f t="shared" si="1"/>
        <v>0</v>
      </c>
      <c r="I236" s="115"/>
      <c r="J236" s="115"/>
      <c r="K236" s="60">
        <f t="shared" si="2"/>
        <v>0</v>
      </c>
      <c r="L236" s="117"/>
    </row>
    <row r="237" ht="15.75" customHeight="1">
      <c r="A237" s="9"/>
      <c r="B237" s="164"/>
      <c r="C237" s="110"/>
      <c r="D237" s="156"/>
      <c r="E237" s="35"/>
      <c r="F237" s="112"/>
      <c r="G237" s="113"/>
      <c r="H237" s="53">
        <f t="shared" si="1"/>
        <v>0</v>
      </c>
      <c r="I237" s="115"/>
      <c r="J237" s="115"/>
      <c r="K237" s="60">
        <f t="shared" si="2"/>
        <v>0</v>
      </c>
      <c r="L237" s="117"/>
    </row>
    <row r="238" ht="15.75" customHeight="1">
      <c r="A238" s="9"/>
      <c r="B238" s="164"/>
      <c r="C238" s="110"/>
      <c r="D238" s="156"/>
      <c r="E238" s="35"/>
      <c r="F238" s="112"/>
      <c r="G238" s="113"/>
      <c r="H238" s="53">
        <f t="shared" si="1"/>
        <v>0</v>
      </c>
      <c r="I238" s="115"/>
      <c r="J238" s="115"/>
      <c r="K238" s="60">
        <f t="shared" si="2"/>
        <v>0</v>
      </c>
      <c r="L238" s="117"/>
    </row>
    <row r="239" ht="15.75" customHeight="1">
      <c r="A239" s="9"/>
      <c r="B239" s="164"/>
      <c r="C239" s="110"/>
      <c r="D239" s="156"/>
      <c r="E239" s="35"/>
      <c r="F239" s="112"/>
      <c r="G239" s="113"/>
      <c r="H239" s="53">
        <f t="shared" si="1"/>
        <v>0</v>
      </c>
      <c r="I239" s="115"/>
      <c r="J239" s="115"/>
      <c r="K239" s="60">
        <f t="shared" si="2"/>
        <v>0</v>
      </c>
      <c r="L239" s="117"/>
    </row>
    <row r="240" ht="15.75" customHeight="1">
      <c r="A240" s="9"/>
      <c r="B240" s="164"/>
      <c r="C240" s="110"/>
      <c r="D240" s="156"/>
      <c r="E240" s="35"/>
      <c r="F240" s="112"/>
      <c r="G240" s="113"/>
      <c r="H240" s="53">
        <f t="shared" si="1"/>
        <v>0</v>
      </c>
      <c r="I240" s="115"/>
      <c r="J240" s="115"/>
      <c r="K240" s="60">
        <f t="shared" si="2"/>
        <v>0</v>
      </c>
      <c r="L240" s="117"/>
    </row>
    <row r="241" ht="15.75" customHeight="1">
      <c r="A241" s="9"/>
      <c r="B241" s="164"/>
      <c r="C241" s="110"/>
      <c r="D241" s="156"/>
      <c r="E241" s="35"/>
      <c r="F241" s="112"/>
      <c r="G241" s="113"/>
      <c r="H241" s="53">
        <f t="shared" si="1"/>
        <v>0</v>
      </c>
      <c r="I241" s="115"/>
      <c r="J241" s="115"/>
      <c r="K241" s="60">
        <f t="shared" si="2"/>
        <v>0</v>
      </c>
      <c r="L241" s="117"/>
    </row>
    <row r="242" ht="15.75" customHeight="1">
      <c r="A242" s="9"/>
      <c r="B242" s="164"/>
      <c r="C242" s="110"/>
      <c r="D242" s="156"/>
      <c r="E242" s="35"/>
      <c r="F242" s="112"/>
      <c r="G242" s="113"/>
      <c r="H242" s="53">
        <f t="shared" si="1"/>
        <v>0</v>
      </c>
      <c r="I242" s="115"/>
      <c r="J242" s="115"/>
      <c r="K242" s="60">
        <f t="shared" si="2"/>
        <v>0</v>
      </c>
      <c r="L242" s="117"/>
    </row>
    <row r="243" ht="15.75" customHeight="1">
      <c r="A243" s="9"/>
      <c r="B243" s="164"/>
      <c r="C243" s="110"/>
      <c r="D243" s="156"/>
      <c r="E243" s="35"/>
      <c r="F243" s="112"/>
      <c r="G243" s="113"/>
      <c r="H243" s="53">
        <f t="shared" si="1"/>
        <v>0</v>
      </c>
      <c r="I243" s="115"/>
      <c r="J243" s="115"/>
      <c r="K243" s="60">
        <f t="shared" si="2"/>
        <v>0</v>
      </c>
      <c r="L243" s="117"/>
    </row>
    <row r="244" ht="15.75" customHeight="1">
      <c r="A244" s="9"/>
      <c r="B244" s="164"/>
      <c r="C244" s="110"/>
      <c r="D244" s="156"/>
      <c r="E244" s="35"/>
      <c r="F244" s="112"/>
      <c r="G244" s="113"/>
      <c r="H244" s="53">
        <f t="shared" si="1"/>
        <v>0</v>
      </c>
      <c r="I244" s="115"/>
      <c r="J244" s="115"/>
      <c r="K244" s="60">
        <f t="shared" si="2"/>
        <v>0</v>
      </c>
      <c r="L244" s="117"/>
    </row>
    <row r="245" ht="15.75" customHeight="1">
      <c r="A245" s="9"/>
      <c r="B245" s="164"/>
      <c r="C245" s="110"/>
      <c r="D245" s="156"/>
      <c r="E245" s="35"/>
      <c r="F245" s="112"/>
      <c r="G245" s="113"/>
      <c r="H245" s="53">
        <f t="shared" si="1"/>
        <v>0</v>
      </c>
      <c r="I245" s="115"/>
      <c r="J245" s="115"/>
      <c r="K245" s="60">
        <f t="shared" si="2"/>
        <v>0</v>
      </c>
      <c r="L245" s="117"/>
    </row>
    <row r="246" ht="15.75" customHeight="1">
      <c r="A246" s="9"/>
      <c r="B246" s="164"/>
      <c r="C246" s="110"/>
      <c r="D246" s="156"/>
      <c r="E246" s="35"/>
      <c r="F246" s="112"/>
      <c r="G246" s="113"/>
      <c r="H246" s="53">
        <f t="shared" si="1"/>
        <v>0</v>
      </c>
      <c r="I246" s="115"/>
      <c r="J246" s="115"/>
      <c r="K246" s="60">
        <f t="shared" si="2"/>
        <v>0</v>
      </c>
      <c r="L246" s="117"/>
    </row>
    <row r="247" ht="15.75" customHeight="1">
      <c r="A247" s="9"/>
      <c r="B247" s="164"/>
      <c r="C247" s="110"/>
      <c r="D247" s="156"/>
      <c r="E247" s="35"/>
      <c r="F247" s="112"/>
      <c r="G247" s="113"/>
      <c r="H247" s="53">
        <f t="shared" si="1"/>
        <v>0</v>
      </c>
      <c r="I247" s="115"/>
      <c r="J247" s="115"/>
      <c r="K247" s="60">
        <f t="shared" si="2"/>
        <v>0</v>
      </c>
      <c r="L247" s="117"/>
    </row>
    <row r="248" ht="15.75" customHeight="1">
      <c r="A248" s="9"/>
      <c r="B248" s="164"/>
      <c r="C248" s="110"/>
      <c r="D248" s="156"/>
      <c r="E248" s="35"/>
      <c r="F248" s="112"/>
      <c r="G248" s="113"/>
      <c r="H248" s="53">
        <f t="shared" si="1"/>
        <v>0</v>
      </c>
      <c r="I248" s="115"/>
      <c r="J248" s="115"/>
      <c r="K248" s="60">
        <f t="shared" si="2"/>
        <v>0</v>
      </c>
      <c r="L248" s="117"/>
    </row>
    <row r="249" ht="15.75" customHeight="1">
      <c r="A249" s="9"/>
      <c r="B249" s="164"/>
      <c r="C249" s="110"/>
      <c r="D249" s="156"/>
      <c r="E249" s="35"/>
      <c r="F249" s="112"/>
      <c r="G249" s="113"/>
      <c r="H249" s="53">
        <f t="shared" si="1"/>
        <v>0</v>
      </c>
      <c r="I249" s="115"/>
      <c r="J249" s="115"/>
      <c r="K249" s="60">
        <f t="shared" si="2"/>
        <v>0</v>
      </c>
      <c r="L249" s="117"/>
    </row>
    <row r="250" ht="15.75" customHeight="1">
      <c r="A250" s="9"/>
      <c r="B250" s="164"/>
      <c r="C250" s="110"/>
      <c r="D250" s="156"/>
      <c r="E250" s="35"/>
      <c r="F250" s="112"/>
      <c r="G250" s="113"/>
      <c r="H250" s="53">
        <f t="shared" si="1"/>
        <v>0</v>
      </c>
      <c r="I250" s="115"/>
      <c r="J250" s="115"/>
      <c r="K250" s="60">
        <f t="shared" si="2"/>
        <v>0</v>
      </c>
      <c r="L250" s="117"/>
    </row>
    <row r="251" ht="15.75" customHeight="1">
      <c r="A251" s="9"/>
      <c r="B251" s="164"/>
      <c r="C251" s="110"/>
      <c r="D251" s="156"/>
      <c r="E251" s="35"/>
      <c r="F251" s="112"/>
      <c r="G251" s="113"/>
      <c r="H251" s="53">
        <f t="shared" si="1"/>
        <v>0</v>
      </c>
      <c r="I251" s="115"/>
      <c r="J251" s="115"/>
      <c r="K251" s="60">
        <f t="shared" si="2"/>
        <v>0</v>
      </c>
      <c r="L251" s="117"/>
    </row>
    <row r="252" ht="15.75" customHeight="1">
      <c r="A252" s="9"/>
      <c r="B252" s="164"/>
      <c r="C252" s="110"/>
      <c r="D252" s="156"/>
      <c r="E252" s="35"/>
      <c r="F252" s="112"/>
      <c r="G252" s="113"/>
      <c r="H252" s="53">
        <f t="shared" si="1"/>
        <v>0</v>
      </c>
      <c r="I252" s="115"/>
      <c r="J252" s="115"/>
      <c r="K252" s="60">
        <f t="shared" si="2"/>
        <v>0</v>
      </c>
      <c r="L252" s="117"/>
    </row>
    <row r="253" ht="15.75" customHeight="1">
      <c r="A253" s="9"/>
      <c r="B253" s="164"/>
      <c r="C253" s="110"/>
      <c r="D253" s="156"/>
      <c r="E253" s="35"/>
      <c r="F253" s="112"/>
      <c r="G253" s="113"/>
      <c r="H253" s="53">
        <f t="shared" si="1"/>
        <v>0</v>
      </c>
      <c r="I253" s="115"/>
      <c r="J253" s="115"/>
      <c r="K253" s="60">
        <f t="shared" si="2"/>
        <v>0</v>
      </c>
      <c r="L253" s="117"/>
    </row>
    <row r="254" ht="15.75" customHeight="1">
      <c r="A254" s="9"/>
      <c r="B254" s="164"/>
      <c r="C254" s="110"/>
      <c r="D254" s="156"/>
      <c r="E254" s="35"/>
      <c r="F254" s="112"/>
      <c r="G254" s="113"/>
      <c r="H254" s="53">
        <f t="shared" si="1"/>
        <v>0</v>
      </c>
      <c r="I254" s="115"/>
      <c r="J254" s="115"/>
      <c r="K254" s="60">
        <f t="shared" si="2"/>
        <v>0</v>
      </c>
      <c r="L254" s="117"/>
    </row>
    <row r="255" ht="15.75" customHeight="1">
      <c r="A255" s="9"/>
      <c r="B255" s="164"/>
      <c r="C255" s="110"/>
      <c r="D255" s="156"/>
      <c r="E255" s="35"/>
      <c r="F255" s="112"/>
      <c r="G255" s="113"/>
      <c r="H255" s="53">
        <f t="shared" si="1"/>
        <v>0</v>
      </c>
      <c r="I255" s="115"/>
      <c r="J255" s="115"/>
      <c r="K255" s="60">
        <f t="shared" si="2"/>
        <v>0</v>
      </c>
      <c r="L255" s="117"/>
    </row>
    <row r="256" ht="15.75" customHeight="1">
      <c r="A256" s="9"/>
      <c r="B256" s="164"/>
      <c r="C256" s="110"/>
      <c r="D256" s="156"/>
      <c r="E256" s="35"/>
      <c r="F256" s="112"/>
      <c r="G256" s="113"/>
      <c r="H256" s="53">
        <f t="shared" si="1"/>
        <v>0</v>
      </c>
      <c r="I256" s="115"/>
      <c r="J256" s="115"/>
      <c r="K256" s="60">
        <f t="shared" si="2"/>
        <v>0</v>
      </c>
      <c r="L256" s="117"/>
    </row>
    <row r="257" ht="15.75" customHeight="1">
      <c r="A257" s="9"/>
      <c r="B257" s="164"/>
      <c r="C257" s="110"/>
      <c r="D257" s="156"/>
      <c r="E257" s="35"/>
      <c r="F257" s="112"/>
      <c r="G257" s="113"/>
      <c r="H257" s="53">
        <f t="shared" si="1"/>
        <v>0</v>
      </c>
      <c r="I257" s="115"/>
      <c r="J257" s="115"/>
      <c r="K257" s="60">
        <f t="shared" si="2"/>
        <v>0</v>
      </c>
      <c r="L257" s="117"/>
    </row>
    <row r="258" ht="15.75" customHeight="1">
      <c r="A258" s="9"/>
      <c r="B258" s="164"/>
      <c r="C258" s="110"/>
      <c r="D258" s="156"/>
      <c r="E258" s="35"/>
      <c r="F258" s="112"/>
      <c r="G258" s="113"/>
      <c r="H258" s="53">
        <f t="shared" si="1"/>
        <v>0</v>
      </c>
      <c r="I258" s="115"/>
      <c r="J258" s="115"/>
      <c r="K258" s="60">
        <f t="shared" si="2"/>
        <v>0</v>
      </c>
      <c r="L258" s="117"/>
    </row>
    <row r="259" ht="15.75" customHeight="1">
      <c r="A259" s="9"/>
      <c r="B259" s="164"/>
      <c r="C259" s="110"/>
      <c r="D259" s="156"/>
      <c r="E259" s="35"/>
      <c r="F259" s="112"/>
      <c r="G259" s="113"/>
      <c r="H259" s="53">
        <f t="shared" si="1"/>
        <v>0</v>
      </c>
      <c r="I259" s="115"/>
      <c r="J259" s="115"/>
      <c r="K259" s="60">
        <f t="shared" si="2"/>
        <v>0</v>
      </c>
      <c r="L259" s="117"/>
    </row>
    <row r="260" ht="15.75" customHeight="1">
      <c r="A260" s="9"/>
      <c r="B260" s="164"/>
      <c r="C260" s="110"/>
      <c r="D260" s="156"/>
      <c r="E260" s="35"/>
      <c r="F260" s="112"/>
      <c r="G260" s="113"/>
      <c r="H260" s="53">
        <f t="shared" si="1"/>
        <v>0</v>
      </c>
      <c r="I260" s="115"/>
      <c r="J260" s="115"/>
      <c r="K260" s="60">
        <f t="shared" si="2"/>
        <v>0</v>
      </c>
      <c r="L260" s="117"/>
    </row>
    <row r="261" ht="15.75" customHeight="1">
      <c r="A261" s="9"/>
      <c r="B261" s="164"/>
      <c r="C261" s="110"/>
      <c r="D261" s="156"/>
      <c r="E261" s="35"/>
      <c r="F261" s="112"/>
      <c r="G261" s="113"/>
      <c r="H261" s="53">
        <f t="shared" si="1"/>
        <v>0</v>
      </c>
      <c r="I261" s="115"/>
      <c r="J261" s="115"/>
      <c r="K261" s="60">
        <f t="shared" si="2"/>
        <v>0</v>
      </c>
      <c r="L261" s="117"/>
    </row>
    <row r="262" ht="15.75" customHeight="1">
      <c r="A262" s="9"/>
      <c r="B262" s="164"/>
      <c r="C262" s="110"/>
      <c r="D262" s="156"/>
      <c r="E262" s="35"/>
      <c r="F262" s="112"/>
      <c r="G262" s="113"/>
      <c r="H262" s="53">
        <f t="shared" si="1"/>
        <v>0</v>
      </c>
      <c r="I262" s="115"/>
      <c r="J262" s="115"/>
      <c r="K262" s="60">
        <f t="shared" si="2"/>
        <v>0</v>
      </c>
      <c r="L262" s="117"/>
    </row>
    <row r="263" ht="15.75" customHeight="1">
      <c r="A263" s="9"/>
      <c r="B263" s="164"/>
      <c r="C263" s="110"/>
      <c r="D263" s="156"/>
      <c r="E263" s="35"/>
      <c r="F263" s="112"/>
      <c r="G263" s="113"/>
      <c r="H263" s="53">
        <f t="shared" si="1"/>
        <v>0</v>
      </c>
      <c r="I263" s="115"/>
      <c r="J263" s="115"/>
      <c r="K263" s="60">
        <f t="shared" si="2"/>
        <v>0</v>
      </c>
      <c r="L263" s="117"/>
    </row>
    <row r="264" ht="15.75" customHeight="1">
      <c r="A264" s="9"/>
      <c r="B264" s="164"/>
      <c r="C264" s="110"/>
      <c r="D264" s="156"/>
      <c r="E264" s="35"/>
      <c r="F264" s="112"/>
      <c r="G264" s="113"/>
      <c r="H264" s="53">
        <f t="shared" si="1"/>
        <v>0</v>
      </c>
      <c r="I264" s="115"/>
      <c r="J264" s="115"/>
      <c r="K264" s="60">
        <f t="shared" si="2"/>
        <v>0</v>
      </c>
      <c r="L264" s="117"/>
    </row>
    <row r="265" ht="15.75" customHeight="1">
      <c r="A265" s="9"/>
      <c r="B265" s="164"/>
      <c r="C265" s="110"/>
      <c r="D265" s="156"/>
      <c r="E265" s="35"/>
      <c r="F265" s="112"/>
      <c r="G265" s="113"/>
      <c r="H265" s="53">
        <f t="shared" si="1"/>
        <v>0</v>
      </c>
      <c r="I265" s="115"/>
      <c r="J265" s="115"/>
      <c r="K265" s="60">
        <f t="shared" si="2"/>
        <v>0</v>
      </c>
      <c r="L265" s="117"/>
    </row>
    <row r="266" ht="15.75" customHeight="1">
      <c r="A266" s="9"/>
      <c r="B266" s="164"/>
      <c r="C266" s="110"/>
      <c r="D266" s="156"/>
      <c r="E266" s="35"/>
      <c r="F266" s="112"/>
      <c r="G266" s="113"/>
      <c r="H266" s="53">
        <f t="shared" si="1"/>
        <v>0</v>
      </c>
      <c r="I266" s="115"/>
      <c r="J266" s="115"/>
      <c r="K266" s="60">
        <f t="shared" si="2"/>
        <v>0</v>
      </c>
      <c r="L266" s="117"/>
    </row>
    <row r="267" ht="15.75" customHeight="1">
      <c r="A267" s="9"/>
      <c r="B267" s="164"/>
      <c r="C267" s="110"/>
      <c r="D267" s="156"/>
      <c r="E267" s="35"/>
      <c r="F267" s="112"/>
      <c r="G267" s="113"/>
      <c r="H267" s="53">
        <f t="shared" si="1"/>
        <v>0</v>
      </c>
      <c r="I267" s="115"/>
      <c r="J267" s="115"/>
      <c r="K267" s="60">
        <f t="shared" si="2"/>
        <v>0</v>
      </c>
      <c r="L267" s="117"/>
    </row>
    <row r="268" ht="15.75" customHeight="1">
      <c r="A268" s="9"/>
      <c r="B268" s="164"/>
      <c r="C268" s="110"/>
      <c r="D268" s="156"/>
      <c r="E268" s="35"/>
      <c r="F268" s="112"/>
      <c r="G268" s="113"/>
      <c r="H268" s="53">
        <f t="shared" si="1"/>
        <v>0</v>
      </c>
      <c r="I268" s="115"/>
      <c r="J268" s="115"/>
      <c r="K268" s="60">
        <f t="shared" si="2"/>
        <v>0</v>
      </c>
      <c r="L268" s="117"/>
    </row>
    <row r="269" ht="15.75" customHeight="1">
      <c r="A269" s="9"/>
      <c r="B269" s="164"/>
      <c r="C269" s="110"/>
      <c r="D269" s="156"/>
      <c r="E269" s="35"/>
      <c r="F269" s="112"/>
      <c r="G269" s="113"/>
      <c r="H269" s="53">
        <f t="shared" si="1"/>
        <v>0</v>
      </c>
      <c r="I269" s="115"/>
      <c r="J269" s="115"/>
      <c r="K269" s="60">
        <f t="shared" si="2"/>
        <v>0</v>
      </c>
      <c r="L269" s="117"/>
    </row>
    <row r="270" ht="15.75" customHeight="1">
      <c r="A270" s="9"/>
      <c r="B270" s="164"/>
      <c r="C270" s="110"/>
      <c r="D270" s="156"/>
      <c r="E270" s="35"/>
      <c r="F270" s="112"/>
      <c r="G270" s="113"/>
      <c r="H270" s="53">
        <f t="shared" si="1"/>
        <v>0</v>
      </c>
      <c r="I270" s="115"/>
      <c r="J270" s="115"/>
      <c r="K270" s="60">
        <f t="shared" si="2"/>
        <v>0</v>
      </c>
      <c r="L270" s="117"/>
    </row>
    <row r="271" ht="15.75" customHeight="1">
      <c r="A271" s="9"/>
      <c r="B271" s="164"/>
      <c r="C271" s="110"/>
      <c r="D271" s="156"/>
      <c r="E271" s="35"/>
      <c r="F271" s="112"/>
      <c r="G271" s="113"/>
      <c r="H271" s="53">
        <f t="shared" si="1"/>
        <v>0</v>
      </c>
      <c r="I271" s="115"/>
      <c r="J271" s="115"/>
      <c r="K271" s="60">
        <f t="shared" si="2"/>
        <v>0</v>
      </c>
      <c r="L271" s="117"/>
    </row>
    <row r="272" ht="15.75" customHeight="1">
      <c r="A272" s="9"/>
      <c r="B272" s="164"/>
      <c r="C272" s="110"/>
      <c r="D272" s="156"/>
      <c r="E272" s="35"/>
      <c r="F272" s="112"/>
      <c r="G272" s="113"/>
      <c r="H272" s="53">
        <f t="shared" si="1"/>
        <v>0</v>
      </c>
      <c r="I272" s="115"/>
      <c r="J272" s="115"/>
      <c r="K272" s="60">
        <f t="shared" si="2"/>
        <v>0</v>
      </c>
      <c r="L272" s="117"/>
    </row>
    <row r="273" ht="15.75" customHeight="1">
      <c r="A273" s="9"/>
      <c r="B273" s="164"/>
      <c r="C273" s="110"/>
      <c r="D273" s="156"/>
      <c r="E273" s="35"/>
      <c r="F273" s="112"/>
      <c r="G273" s="113"/>
      <c r="H273" s="53">
        <f t="shared" si="1"/>
        <v>0</v>
      </c>
      <c r="I273" s="115"/>
      <c r="J273" s="115"/>
      <c r="K273" s="60">
        <f t="shared" si="2"/>
        <v>0</v>
      </c>
      <c r="L273" s="117"/>
    </row>
    <row r="274" ht="15.75" customHeight="1">
      <c r="A274" s="9"/>
      <c r="B274" s="164"/>
      <c r="C274" s="110"/>
      <c r="D274" s="156"/>
      <c r="E274" s="35"/>
      <c r="F274" s="112"/>
      <c r="G274" s="113"/>
      <c r="H274" s="53">
        <f t="shared" si="1"/>
        <v>0</v>
      </c>
      <c r="I274" s="115"/>
      <c r="J274" s="115"/>
      <c r="K274" s="60">
        <f t="shared" si="2"/>
        <v>0</v>
      </c>
      <c r="L274" s="117"/>
    </row>
    <row r="275" ht="15.75" customHeight="1">
      <c r="A275" s="9"/>
      <c r="B275" s="164"/>
      <c r="C275" s="110"/>
      <c r="D275" s="156"/>
      <c r="E275" s="35"/>
      <c r="F275" s="112"/>
      <c r="G275" s="113"/>
      <c r="H275" s="53">
        <f t="shared" si="1"/>
        <v>0</v>
      </c>
      <c r="I275" s="115"/>
      <c r="J275" s="115"/>
      <c r="K275" s="60">
        <f t="shared" si="2"/>
        <v>0</v>
      </c>
      <c r="L275" s="117"/>
    </row>
    <row r="276" ht="15.75" customHeight="1">
      <c r="A276" s="9"/>
      <c r="B276" s="164"/>
      <c r="C276" s="110"/>
      <c r="D276" s="156"/>
      <c r="E276" s="35"/>
      <c r="F276" s="112"/>
      <c r="G276" s="113"/>
      <c r="H276" s="53">
        <f t="shared" si="1"/>
        <v>0</v>
      </c>
      <c r="I276" s="115"/>
      <c r="J276" s="115"/>
      <c r="K276" s="60">
        <f t="shared" si="2"/>
        <v>0</v>
      </c>
      <c r="L276" s="117"/>
    </row>
    <row r="277" ht="15.75" customHeight="1">
      <c r="A277" s="9"/>
      <c r="B277" s="164"/>
      <c r="C277" s="110"/>
      <c r="D277" s="156"/>
      <c r="E277" s="35"/>
      <c r="F277" s="112"/>
      <c r="G277" s="113"/>
      <c r="H277" s="53">
        <f t="shared" si="1"/>
        <v>0</v>
      </c>
      <c r="I277" s="115"/>
      <c r="J277" s="115"/>
      <c r="K277" s="60">
        <f t="shared" si="2"/>
        <v>0</v>
      </c>
      <c r="L277" s="117"/>
    </row>
    <row r="278" ht="15.75" customHeight="1">
      <c r="A278" s="9"/>
      <c r="B278" s="164"/>
      <c r="C278" s="110"/>
      <c r="D278" s="156"/>
      <c r="E278" s="35"/>
      <c r="F278" s="112"/>
      <c r="G278" s="113"/>
      <c r="H278" s="53">
        <f t="shared" si="1"/>
        <v>0</v>
      </c>
      <c r="I278" s="115"/>
      <c r="J278" s="115"/>
      <c r="K278" s="60">
        <f t="shared" si="2"/>
        <v>0</v>
      </c>
      <c r="L278" s="117"/>
    </row>
    <row r="279" ht="15.75" customHeight="1">
      <c r="A279" s="9"/>
      <c r="B279" s="164"/>
      <c r="C279" s="110"/>
      <c r="D279" s="156"/>
      <c r="E279" s="35"/>
      <c r="F279" s="112"/>
      <c r="G279" s="113"/>
      <c r="H279" s="53">
        <f t="shared" si="1"/>
        <v>0</v>
      </c>
      <c r="I279" s="115"/>
      <c r="J279" s="115"/>
      <c r="K279" s="60">
        <f t="shared" si="2"/>
        <v>0</v>
      </c>
      <c r="L279" s="117"/>
    </row>
    <row r="280" ht="15.75" customHeight="1">
      <c r="A280" s="9"/>
      <c r="B280" s="164"/>
      <c r="C280" s="110"/>
      <c r="D280" s="156"/>
      <c r="E280" s="35"/>
      <c r="F280" s="112"/>
      <c r="G280" s="113"/>
      <c r="H280" s="53">
        <f t="shared" si="1"/>
        <v>0</v>
      </c>
      <c r="I280" s="115"/>
      <c r="J280" s="115"/>
      <c r="K280" s="60">
        <f t="shared" si="2"/>
        <v>0</v>
      </c>
      <c r="L280" s="117"/>
    </row>
    <row r="281" ht="15.75" customHeight="1">
      <c r="A281" s="9"/>
      <c r="B281" s="164"/>
      <c r="C281" s="110"/>
      <c r="D281" s="156"/>
      <c r="E281" s="35"/>
      <c r="F281" s="112"/>
      <c r="G281" s="113"/>
      <c r="H281" s="53">
        <f t="shared" si="1"/>
        <v>0</v>
      </c>
      <c r="I281" s="115"/>
      <c r="J281" s="115"/>
      <c r="K281" s="60">
        <f t="shared" si="2"/>
        <v>0</v>
      </c>
      <c r="L281" s="117"/>
    </row>
    <row r="282" ht="15.75" customHeight="1">
      <c r="A282" s="9"/>
      <c r="B282" s="164"/>
      <c r="C282" s="110"/>
      <c r="D282" s="156"/>
      <c r="E282" s="35"/>
      <c r="F282" s="112"/>
      <c r="G282" s="113"/>
      <c r="H282" s="53">
        <f t="shared" si="1"/>
        <v>0</v>
      </c>
      <c r="I282" s="115"/>
      <c r="J282" s="115"/>
      <c r="K282" s="60">
        <f t="shared" si="2"/>
        <v>0</v>
      </c>
      <c r="L282" s="117"/>
    </row>
    <row r="283" ht="15.75" customHeight="1">
      <c r="A283" s="9"/>
      <c r="B283" s="164"/>
      <c r="C283" s="110"/>
      <c r="D283" s="156"/>
      <c r="E283" s="35"/>
      <c r="F283" s="112"/>
      <c r="G283" s="113"/>
      <c r="H283" s="53">
        <f t="shared" si="1"/>
        <v>0</v>
      </c>
      <c r="I283" s="115"/>
      <c r="J283" s="115"/>
      <c r="K283" s="60">
        <f t="shared" si="2"/>
        <v>0</v>
      </c>
      <c r="L283" s="117"/>
    </row>
    <row r="284" ht="15.75" customHeight="1">
      <c r="A284" s="9"/>
      <c r="B284" s="164"/>
      <c r="C284" s="110"/>
      <c r="D284" s="156"/>
      <c r="E284" s="35"/>
      <c r="F284" s="112"/>
      <c r="G284" s="113"/>
      <c r="H284" s="53">
        <f t="shared" si="1"/>
        <v>0</v>
      </c>
      <c r="I284" s="115"/>
      <c r="J284" s="115"/>
      <c r="K284" s="60">
        <f t="shared" si="2"/>
        <v>0</v>
      </c>
      <c r="L284" s="117"/>
    </row>
    <row r="285" ht="15.75" customHeight="1">
      <c r="A285" s="9"/>
      <c r="B285" s="164"/>
      <c r="C285" s="110"/>
      <c r="D285" s="156"/>
      <c r="E285" s="35"/>
      <c r="F285" s="112"/>
      <c r="G285" s="113"/>
      <c r="H285" s="53">
        <f t="shared" si="1"/>
        <v>0</v>
      </c>
      <c r="I285" s="115"/>
      <c r="J285" s="115"/>
      <c r="K285" s="60">
        <f t="shared" si="2"/>
        <v>0</v>
      </c>
      <c r="L285" s="117"/>
    </row>
    <row r="286" ht="15.75" customHeight="1">
      <c r="A286" s="9"/>
      <c r="B286" s="164"/>
      <c r="C286" s="110"/>
      <c r="D286" s="156"/>
      <c r="E286" s="35"/>
      <c r="F286" s="112"/>
      <c r="G286" s="113"/>
      <c r="H286" s="53">
        <f t="shared" si="1"/>
        <v>0</v>
      </c>
      <c r="I286" s="115"/>
      <c r="J286" s="115"/>
      <c r="K286" s="60">
        <f t="shared" si="2"/>
        <v>0</v>
      </c>
      <c r="L286" s="117"/>
    </row>
    <row r="287" ht="15.75" customHeight="1">
      <c r="A287" s="9"/>
      <c r="B287" s="164"/>
      <c r="C287" s="110"/>
      <c r="D287" s="156"/>
      <c r="E287" s="35"/>
      <c r="F287" s="112"/>
      <c r="G287" s="113"/>
      <c r="H287" s="53">
        <f t="shared" si="1"/>
        <v>0</v>
      </c>
      <c r="I287" s="115"/>
      <c r="J287" s="115"/>
      <c r="K287" s="60">
        <f t="shared" si="2"/>
        <v>0</v>
      </c>
      <c r="L287" s="117"/>
    </row>
    <row r="288" ht="15.75" customHeight="1">
      <c r="A288" s="9"/>
      <c r="B288" s="164"/>
      <c r="C288" s="110"/>
      <c r="D288" s="156"/>
      <c r="E288" s="35"/>
      <c r="F288" s="112"/>
      <c r="G288" s="113"/>
      <c r="H288" s="53">
        <f t="shared" si="1"/>
        <v>0</v>
      </c>
      <c r="I288" s="115"/>
      <c r="J288" s="115"/>
      <c r="K288" s="60">
        <f t="shared" si="2"/>
        <v>0</v>
      </c>
      <c r="L288" s="117"/>
    </row>
    <row r="289" ht="15.75" customHeight="1">
      <c r="A289" s="9"/>
      <c r="B289" s="164"/>
      <c r="C289" s="110"/>
      <c r="D289" s="156"/>
      <c r="E289" s="35"/>
      <c r="F289" s="112"/>
      <c r="G289" s="113"/>
      <c r="H289" s="53">
        <f t="shared" si="1"/>
        <v>0</v>
      </c>
      <c r="I289" s="115"/>
      <c r="J289" s="115"/>
      <c r="K289" s="60">
        <f t="shared" si="2"/>
        <v>0</v>
      </c>
      <c r="L289" s="117"/>
    </row>
    <row r="290" ht="15.75" customHeight="1">
      <c r="A290" s="9"/>
      <c r="B290" s="164"/>
      <c r="C290" s="110"/>
      <c r="D290" s="156"/>
      <c r="E290" s="35"/>
      <c r="F290" s="112"/>
      <c r="G290" s="113"/>
      <c r="H290" s="53">
        <f t="shared" si="1"/>
        <v>0</v>
      </c>
      <c r="I290" s="115"/>
      <c r="J290" s="115"/>
      <c r="K290" s="60">
        <f t="shared" si="2"/>
        <v>0</v>
      </c>
      <c r="L290" s="117"/>
    </row>
    <row r="291" ht="15.75" customHeight="1">
      <c r="A291" s="9"/>
      <c r="B291" s="164"/>
      <c r="C291" s="110"/>
      <c r="D291" s="156"/>
      <c r="E291" s="35"/>
      <c r="F291" s="112"/>
      <c r="G291" s="113"/>
      <c r="H291" s="53">
        <f t="shared" si="1"/>
        <v>0</v>
      </c>
      <c r="I291" s="115"/>
      <c r="J291" s="115"/>
      <c r="K291" s="60">
        <f t="shared" si="2"/>
        <v>0</v>
      </c>
      <c r="L291" s="117"/>
    </row>
    <row r="292" ht="15.75" customHeight="1">
      <c r="A292" s="9"/>
      <c r="B292" s="164"/>
      <c r="C292" s="110"/>
      <c r="D292" s="156"/>
      <c r="E292" s="35"/>
      <c r="F292" s="112"/>
      <c r="G292" s="113"/>
      <c r="H292" s="53">
        <f t="shared" si="1"/>
        <v>0</v>
      </c>
      <c r="I292" s="115"/>
      <c r="J292" s="115"/>
      <c r="K292" s="60">
        <f t="shared" si="2"/>
        <v>0</v>
      </c>
      <c r="L292" s="117"/>
    </row>
    <row r="293" ht="15.75" customHeight="1">
      <c r="A293" s="9"/>
      <c r="B293" s="164"/>
      <c r="C293" s="110"/>
      <c r="D293" s="156"/>
      <c r="E293" s="35"/>
      <c r="F293" s="112"/>
      <c r="G293" s="113"/>
      <c r="H293" s="53">
        <f t="shared" si="1"/>
        <v>0</v>
      </c>
      <c r="I293" s="115"/>
      <c r="J293" s="115"/>
      <c r="K293" s="60">
        <f t="shared" si="2"/>
        <v>0</v>
      </c>
      <c r="L293" s="117"/>
    </row>
    <row r="294" ht="15.75" customHeight="1">
      <c r="A294" s="9"/>
      <c r="B294" s="164"/>
      <c r="C294" s="110"/>
      <c r="D294" s="156"/>
      <c r="E294" s="35"/>
      <c r="F294" s="112"/>
      <c r="G294" s="113"/>
      <c r="H294" s="53">
        <f t="shared" si="1"/>
        <v>0</v>
      </c>
      <c r="I294" s="115"/>
      <c r="J294" s="115"/>
      <c r="K294" s="60">
        <f t="shared" si="2"/>
        <v>0</v>
      </c>
      <c r="L294" s="117"/>
    </row>
    <row r="295" ht="15.75" customHeight="1">
      <c r="A295" s="9"/>
      <c r="B295" s="164"/>
      <c r="C295" s="110"/>
      <c r="D295" s="156"/>
      <c r="E295" s="35"/>
      <c r="F295" s="112"/>
      <c r="G295" s="113"/>
      <c r="H295" s="53">
        <f t="shared" si="1"/>
        <v>0</v>
      </c>
      <c r="I295" s="115"/>
      <c r="J295" s="115"/>
      <c r="K295" s="60">
        <f t="shared" si="2"/>
        <v>0</v>
      </c>
      <c r="L295" s="117"/>
    </row>
    <row r="296" ht="15.75" customHeight="1">
      <c r="A296" s="9"/>
      <c r="B296" s="164"/>
      <c r="C296" s="110"/>
      <c r="D296" s="156"/>
      <c r="E296" s="35"/>
      <c r="F296" s="112"/>
      <c r="G296" s="113"/>
      <c r="H296" s="53">
        <f t="shared" si="1"/>
        <v>0</v>
      </c>
      <c r="I296" s="115"/>
      <c r="J296" s="115"/>
      <c r="K296" s="60">
        <f t="shared" si="2"/>
        <v>0</v>
      </c>
      <c r="L296" s="117"/>
    </row>
    <row r="297" ht="15.75" customHeight="1">
      <c r="A297" s="9"/>
      <c r="B297" s="164"/>
      <c r="C297" s="110"/>
      <c r="D297" s="156"/>
      <c r="E297" s="35"/>
      <c r="F297" s="112"/>
      <c r="G297" s="113"/>
      <c r="H297" s="53">
        <f t="shared" si="1"/>
        <v>0</v>
      </c>
      <c r="I297" s="115"/>
      <c r="J297" s="115"/>
      <c r="K297" s="60">
        <f t="shared" si="2"/>
        <v>0</v>
      </c>
      <c r="L297" s="117"/>
    </row>
    <row r="298" ht="15.75" customHeight="1">
      <c r="A298" s="9"/>
      <c r="B298" s="164"/>
      <c r="C298" s="110"/>
      <c r="D298" s="156"/>
      <c r="E298" s="35"/>
      <c r="F298" s="112"/>
      <c r="G298" s="113"/>
      <c r="H298" s="53">
        <f t="shared" si="1"/>
        <v>0</v>
      </c>
      <c r="I298" s="115"/>
      <c r="J298" s="115"/>
      <c r="K298" s="60">
        <f t="shared" si="2"/>
        <v>0</v>
      </c>
      <c r="L298" s="117"/>
    </row>
    <row r="299" ht="15.75" customHeight="1">
      <c r="A299" s="9"/>
      <c r="B299" s="164"/>
      <c r="C299" s="110"/>
      <c r="D299" s="156"/>
      <c r="E299" s="35"/>
      <c r="F299" s="112"/>
      <c r="G299" s="113"/>
      <c r="H299" s="53">
        <f t="shared" si="1"/>
        <v>0</v>
      </c>
      <c r="I299" s="115"/>
      <c r="J299" s="115"/>
      <c r="K299" s="60">
        <f t="shared" si="2"/>
        <v>0</v>
      </c>
      <c r="L299" s="117"/>
    </row>
    <row r="300" ht="15.75" customHeight="1">
      <c r="A300" s="9"/>
      <c r="B300" s="164"/>
      <c r="C300" s="110"/>
      <c r="D300" s="156"/>
      <c r="E300" s="35"/>
      <c r="F300" s="112"/>
      <c r="G300" s="113"/>
      <c r="H300" s="53">
        <f t="shared" si="1"/>
        <v>0</v>
      </c>
      <c r="I300" s="115"/>
      <c r="J300" s="115"/>
      <c r="K300" s="60">
        <f t="shared" si="2"/>
        <v>0</v>
      </c>
      <c r="L300" s="117"/>
    </row>
    <row r="301" ht="15.75" customHeight="1">
      <c r="A301" s="9"/>
      <c r="B301" s="164"/>
      <c r="C301" s="110"/>
      <c r="D301" s="156"/>
      <c r="E301" s="35"/>
      <c r="F301" s="112"/>
      <c r="G301" s="113"/>
      <c r="H301" s="53">
        <f t="shared" si="1"/>
        <v>0</v>
      </c>
      <c r="I301" s="115"/>
      <c r="J301" s="115"/>
      <c r="K301" s="60">
        <f t="shared" si="2"/>
        <v>0</v>
      </c>
      <c r="L301" s="117"/>
    </row>
    <row r="302" ht="15.75" customHeight="1">
      <c r="A302" s="9"/>
      <c r="B302" s="164"/>
      <c r="C302" s="110"/>
      <c r="D302" s="156"/>
      <c r="E302" s="35"/>
      <c r="F302" s="112"/>
      <c r="G302" s="113"/>
      <c r="H302" s="53">
        <f t="shared" si="1"/>
        <v>0</v>
      </c>
      <c r="I302" s="115"/>
      <c r="J302" s="115"/>
      <c r="K302" s="60">
        <f t="shared" si="2"/>
        <v>0</v>
      </c>
      <c r="L302" s="117"/>
    </row>
    <row r="303" ht="15.75" customHeight="1">
      <c r="A303" s="9"/>
      <c r="B303" s="164"/>
      <c r="C303" s="110"/>
      <c r="D303" s="156"/>
      <c r="E303" s="35"/>
      <c r="F303" s="112"/>
      <c r="G303" s="113"/>
      <c r="H303" s="53">
        <f t="shared" si="1"/>
        <v>0</v>
      </c>
      <c r="I303" s="115"/>
      <c r="J303" s="115"/>
      <c r="K303" s="60">
        <f t="shared" si="2"/>
        <v>0</v>
      </c>
      <c r="L303" s="117"/>
    </row>
    <row r="304" ht="15.75" customHeight="1">
      <c r="A304" s="9"/>
      <c r="B304" s="164"/>
      <c r="C304" s="110"/>
      <c r="D304" s="156"/>
      <c r="E304" s="35"/>
      <c r="F304" s="112"/>
      <c r="G304" s="113"/>
      <c r="H304" s="53">
        <f t="shared" si="1"/>
        <v>0</v>
      </c>
      <c r="I304" s="115"/>
      <c r="J304" s="115"/>
      <c r="K304" s="60">
        <f t="shared" si="2"/>
        <v>0</v>
      </c>
      <c r="L304" s="117"/>
    </row>
    <row r="305" ht="15.75" customHeight="1">
      <c r="A305" s="9"/>
      <c r="B305" s="164"/>
      <c r="C305" s="110"/>
      <c r="D305" s="156"/>
      <c r="E305" s="35"/>
      <c r="F305" s="112"/>
      <c r="G305" s="113"/>
      <c r="H305" s="53">
        <f t="shared" si="1"/>
        <v>0</v>
      </c>
      <c r="I305" s="115"/>
      <c r="J305" s="115"/>
      <c r="K305" s="60">
        <f t="shared" si="2"/>
        <v>0</v>
      </c>
      <c r="L305" s="117"/>
    </row>
    <row r="306" ht="15.75" customHeight="1">
      <c r="A306" s="9"/>
      <c r="B306" s="164"/>
      <c r="C306" s="110"/>
      <c r="D306" s="156"/>
      <c r="E306" s="35"/>
      <c r="F306" s="112"/>
      <c r="G306" s="113"/>
      <c r="H306" s="53">
        <f t="shared" si="1"/>
        <v>0</v>
      </c>
      <c r="I306" s="115"/>
      <c r="J306" s="115"/>
      <c r="K306" s="60">
        <f t="shared" si="2"/>
        <v>0</v>
      </c>
      <c r="L306" s="117"/>
    </row>
    <row r="307" ht="15.75" customHeight="1">
      <c r="A307" s="9"/>
      <c r="B307" s="164"/>
      <c r="C307" s="110"/>
      <c r="D307" s="156"/>
      <c r="E307" s="35"/>
      <c r="F307" s="112"/>
      <c r="G307" s="113"/>
      <c r="H307" s="53">
        <f t="shared" si="1"/>
        <v>0</v>
      </c>
      <c r="I307" s="115"/>
      <c r="J307" s="115"/>
      <c r="K307" s="60">
        <f t="shared" si="2"/>
        <v>0</v>
      </c>
      <c r="L307" s="117"/>
    </row>
    <row r="308" ht="15.75" customHeight="1">
      <c r="A308" s="9"/>
      <c r="B308" s="164"/>
      <c r="C308" s="110"/>
      <c r="D308" s="156"/>
      <c r="E308" s="35"/>
      <c r="F308" s="112"/>
      <c r="G308" s="113"/>
      <c r="H308" s="53">
        <f t="shared" si="1"/>
        <v>0</v>
      </c>
      <c r="I308" s="115"/>
      <c r="J308" s="115"/>
      <c r="K308" s="60">
        <f t="shared" si="2"/>
        <v>0</v>
      </c>
      <c r="L308" s="117"/>
    </row>
    <row r="309" ht="15.75" customHeight="1">
      <c r="A309" s="9"/>
      <c r="B309" s="164"/>
      <c r="C309" s="110"/>
      <c r="D309" s="156"/>
      <c r="E309" s="35"/>
      <c r="F309" s="112"/>
      <c r="G309" s="113"/>
      <c r="H309" s="53">
        <f t="shared" si="1"/>
        <v>0</v>
      </c>
      <c r="I309" s="115"/>
      <c r="J309" s="115"/>
      <c r="K309" s="60">
        <f t="shared" si="2"/>
        <v>0</v>
      </c>
      <c r="L309" s="117"/>
    </row>
    <row r="310" ht="15.75" customHeight="1">
      <c r="A310" s="9"/>
      <c r="B310" s="164"/>
      <c r="C310" s="110"/>
      <c r="D310" s="156"/>
      <c r="E310" s="35"/>
      <c r="F310" s="112"/>
      <c r="G310" s="113"/>
      <c r="H310" s="53">
        <f t="shared" si="1"/>
        <v>0</v>
      </c>
      <c r="I310" s="115"/>
      <c r="J310" s="115"/>
      <c r="K310" s="60">
        <f t="shared" si="2"/>
        <v>0</v>
      </c>
      <c r="L310" s="117"/>
    </row>
    <row r="311" ht="15.75" customHeight="1">
      <c r="A311" s="9"/>
      <c r="B311" s="164"/>
      <c r="C311" s="110"/>
      <c r="D311" s="156"/>
      <c r="E311" s="35"/>
      <c r="F311" s="112"/>
      <c r="G311" s="113"/>
      <c r="H311" s="53">
        <f t="shared" si="1"/>
        <v>0</v>
      </c>
      <c r="I311" s="115"/>
      <c r="J311" s="115"/>
      <c r="K311" s="60">
        <f t="shared" si="2"/>
        <v>0</v>
      </c>
      <c r="L311" s="117"/>
    </row>
    <row r="312" ht="15.75" customHeight="1">
      <c r="A312" s="9"/>
      <c r="B312" s="164"/>
      <c r="C312" s="110"/>
      <c r="D312" s="156"/>
      <c r="E312" s="35"/>
      <c r="F312" s="112"/>
      <c r="G312" s="113"/>
      <c r="H312" s="53">
        <f t="shared" si="1"/>
        <v>0</v>
      </c>
      <c r="I312" s="115"/>
      <c r="J312" s="115"/>
      <c r="K312" s="60">
        <f t="shared" si="2"/>
        <v>0</v>
      </c>
      <c r="L312" s="117"/>
    </row>
    <row r="313" ht="15.75" customHeight="1">
      <c r="A313" s="9"/>
      <c r="B313" s="164"/>
      <c r="C313" s="110"/>
      <c r="D313" s="156"/>
      <c r="E313" s="35"/>
      <c r="F313" s="112"/>
      <c r="G313" s="113"/>
      <c r="H313" s="53">
        <f t="shared" si="1"/>
        <v>0</v>
      </c>
      <c r="I313" s="115"/>
      <c r="J313" s="115"/>
      <c r="K313" s="60">
        <f t="shared" si="2"/>
        <v>0</v>
      </c>
      <c r="L313" s="117"/>
    </row>
    <row r="314" ht="15.75" customHeight="1">
      <c r="A314" s="9"/>
      <c r="B314" s="164"/>
      <c r="C314" s="110"/>
      <c r="D314" s="156"/>
      <c r="E314" s="35"/>
      <c r="F314" s="112"/>
      <c r="G314" s="113"/>
      <c r="H314" s="53">
        <f t="shared" si="1"/>
        <v>0</v>
      </c>
      <c r="I314" s="115"/>
      <c r="J314" s="115"/>
      <c r="K314" s="60">
        <f t="shared" si="2"/>
        <v>0</v>
      </c>
      <c r="L314" s="117"/>
    </row>
    <row r="315" ht="15.75" customHeight="1">
      <c r="A315" s="9"/>
      <c r="B315" s="164"/>
      <c r="C315" s="110"/>
      <c r="D315" s="156"/>
      <c r="E315" s="35"/>
      <c r="F315" s="112"/>
      <c r="G315" s="113"/>
      <c r="H315" s="53">
        <f t="shared" si="1"/>
        <v>0</v>
      </c>
      <c r="I315" s="115"/>
      <c r="J315" s="115"/>
      <c r="K315" s="60">
        <f t="shared" si="2"/>
        <v>0</v>
      </c>
      <c r="L315" s="117"/>
    </row>
    <row r="316" ht="15.75" customHeight="1">
      <c r="A316" s="9"/>
      <c r="B316" s="164"/>
      <c r="C316" s="110"/>
      <c r="D316" s="156"/>
      <c r="E316" s="35"/>
      <c r="F316" s="112"/>
      <c r="G316" s="113"/>
      <c r="H316" s="53">
        <f t="shared" si="1"/>
        <v>0</v>
      </c>
      <c r="I316" s="115"/>
      <c r="J316" s="115"/>
      <c r="K316" s="60">
        <f t="shared" si="2"/>
        <v>0</v>
      </c>
      <c r="L316" s="117"/>
    </row>
    <row r="317" ht="15.75" customHeight="1">
      <c r="A317" s="9"/>
      <c r="B317" s="164"/>
      <c r="C317" s="110"/>
      <c r="D317" s="156"/>
      <c r="E317" s="35"/>
      <c r="F317" s="112"/>
      <c r="G317" s="113"/>
      <c r="H317" s="53">
        <f t="shared" si="1"/>
        <v>0</v>
      </c>
      <c r="I317" s="115"/>
      <c r="J317" s="115"/>
      <c r="K317" s="60">
        <f t="shared" si="2"/>
        <v>0</v>
      </c>
      <c r="L317" s="117"/>
    </row>
    <row r="318" ht="15.75" customHeight="1">
      <c r="A318" s="9"/>
      <c r="B318" s="164"/>
      <c r="C318" s="110"/>
      <c r="D318" s="156"/>
      <c r="E318" s="35"/>
      <c r="F318" s="112"/>
      <c r="G318" s="113"/>
      <c r="H318" s="53">
        <f t="shared" si="1"/>
        <v>0</v>
      </c>
      <c r="I318" s="115"/>
      <c r="J318" s="115"/>
      <c r="K318" s="60">
        <f t="shared" si="2"/>
        <v>0</v>
      </c>
      <c r="L318" s="117"/>
    </row>
    <row r="319" ht="15.75" customHeight="1">
      <c r="A319" s="9"/>
      <c r="B319" s="164"/>
      <c r="C319" s="110"/>
      <c r="D319" s="156"/>
      <c r="E319" s="35"/>
      <c r="F319" s="112"/>
      <c r="G319" s="113"/>
      <c r="H319" s="53">
        <f t="shared" si="1"/>
        <v>0</v>
      </c>
      <c r="I319" s="115"/>
      <c r="J319" s="115"/>
      <c r="K319" s="60">
        <f t="shared" si="2"/>
        <v>0</v>
      </c>
      <c r="L319" s="117"/>
    </row>
    <row r="320" ht="15.75" customHeight="1">
      <c r="A320" s="9"/>
      <c r="B320" s="164"/>
      <c r="C320" s="110"/>
      <c r="D320" s="156"/>
      <c r="E320" s="35"/>
      <c r="F320" s="112"/>
      <c r="G320" s="113"/>
      <c r="H320" s="53">
        <f t="shared" si="1"/>
        <v>0</v>
      </c>
      <c r="I320" s="115"/>
      <c r="J320" s="115"/>
      <c r="K320" s="60">
        <f t="shared" si="2"/>
        <v>0</v>
      </c>
      <c r="L320" s="117"/>
    </row>
    <row r="321" ht="15.75" customHeight="1">
      <c r="A321" s="9"/>
      <c r="B321" s="164"/>
      <c r="C321" s="110"/>
      <c r="D321" s="156"/>
      <c r="E321" s="35"/>
      <c r="F321" s="112"/>
      <c r="G321" s="113"/>
      <c r="H321" s="53">
        <f t="shared" si="1"/>
        <v>0</v>
      </c>
      <c r="I321" s="115"/>
      <c r="J321" s="115"/>
      <c r="K321" s="60">
        <f t="shared" si="2"/>
        <v>0</v>
      </c>
      <c r="L321" s="117"/>
    </row>
    <row r="322" ht="15.75" customHeight="1">
      <c r="A322" s="9"/>
      <c r="B322" s="164"/>
      <c r="C322" s="110"/>
      <c r="D322" s="156"/>
      <c r="E322" s="35"/>
      <c r="F322" s="112"/>
      <c r="G322" s="113"/>
      <c r="H322" s="53">
        <f t="shared" si="1"/>
        <v>0</v>
      </c>
      <c r="I322" s="115"/>
      <c r="J322" s="115"/>
      <c r="K322" s="60">
        <f t="shared" si="2"/>
        <v>0</v>
      </c>
      <c r="L322" s="117"/>
    </row>
    <row r="323" ht="15.75" customHeight="1">
      <c r="A323" s="9"/>
      <c r="B323" s="164"/>
      <c r="C323" s="110"/>
      <c r="D323" s="156"/>
      <c r="E323" s="35"/>
      <c r="F323" s="112"/>
      <c r="G323" s="113"/>
      <c r="H323" s="53">
        <f t="shared" si="1"/>
        <v>0</v>
      </c>
      <c r="I323" s="115"/>
      <c r="J323" s="115"/>
      <c r="K323" s="60">
        <f t="shared" si="2"/>
        <v>0</v>
      </c>
      <c r="L323" s="117"/>
    </row>
    <row r="324" ht="15.75" customHeight="1">
      <c r="A324" s="9"/>
      <c r="B324" s="164"/>
      <c r="C324" s="110"/>
      <c r="D324" s="156"/>
      <c r="E324" s="35"/>
      <c r="F324" s="112"/>
      <c r="G324" s="113"/>
      <c r="H324" s="53">
        <f t="shared" si="1"/>
        <v>0</v>
      </c>
      <c r="I324" s="115"/>
      <c r="J324" s="115"/>
      <c r="K324" s="60">
        <f t="shared" si="2"/>
        <v>0</v>
      </c>
      <c r="L324" s="117"/>
    </row>
    <row r="325" ht="15.75" customHeight="1">
      <c r="A325" s="9"/>
      <c r="B325" s="164"/>
      <c r="C325" s="110"/>
      <c r="D325" s="156"/>
      <c r="E325" s="35"/>
      <c r="F325" s="112"/>
      <c r="G325" s="113"/>
      <c r="H325" s="53">
        <f t="shared" si="1"/>
        <v>0</v>
      </c>
      <c r="I325" s="115"/>
      <c r="J325" s="115"/>
      <c r="K325" s="60">
        <f t="shared" si="2"/>
        <v>0</v>
      </c>
      <c r="L325" s="117"/>
    </row>
    <row r="326" ht="15.75" customHeight="1">
      <c r="A326" s="9"/>
      <c r="B326" s="164"/>
      <c r="C326" s="110"/>
      <c r="D326" s="156"/>
      <c r="E326" s="35"/>
      <c r="F326" s="112"/>
      <c r="G326" s="113"/>
      <c r="H326" s="53">
        <f t="shared" si="1"/>
        <v>0</v>
      </c>
      <c r="I326" s="115"/>
      <c r="J326" s="115"/>
      <c r="K326" s="60">
        <f t="shared" si="2"/>
        <v>0</v>
      </c>
      <c r="L326" s="117"/>
    </row>
    <row r="327" ht="15.75" customHeight="1">
      <c r="A327" s="9"/>
      <c r="B327" s="164"/>
      <c r="C327" s="110"/>
      <c r="D327" s="156"/>
      <c r="E327" s="35"/>
      <c r="F327" s="112"/>
      <c r="G327" s="113"/>
      <c r="H327" s="53">
        <f t="shared" si="1"/>
        <v>0</v>
      </c>
      <c r="I327" s="115"/>
      <c r="J327" s="115"/>
      <c r="K327" s="60">
        <f t="shared" si="2"/>
        <v>0</v>
      </c>
      <c r="L327" s="117"/>
    </row>
    <row r="328" ht="15.75" customHeight="1">
      <c r="A328" s="9"/>
      <c r="B328" s="164"/>
      <c r="C328" s="110"/>
      <c r="D328" s="156"/>
      <c r="E328" s="35"/>
      <c r="F328" s="112"/>
      <c r="G328" s="113"/>
      <c r="H328" s="53">
        <f t="shared" si="1"/>
        <v>0</v>
      </c>
      <c r="I328" s="115"/>
      <c r="J328" s="115"/>
      <c r="K328" s="60">
        <f t="shared" si="2"/>
        <v>0</v>
      </c>
      <c r="L328" s="117"/>
    </row>
    <row r="329" ht="15.75" customHeight="1">
      <c r="A329" s="9"/>
      <c r="B329" s="164"/>
      <c r="C329" s="110"/>
      <c r="D329" s="156"/>
      <c r="E329" s="35"/>
      <c r="F329" s="112"/>
      <c r="G329" s="113"/>
      <c r="H329" s="53">
        <f t="shared" si="1"/>
        <v>0</v>
      </c>
      <c r="I329" s="115"/>
      <c r="J329" s="115"/>
      <c r="K329" s="60">
        <f t="shared" si="2"/>
        <v>0</v>
      </c>
      <c r="L329" s="117"/>
    </row>
    <row r="330" ht="15.75" customHeight="1">
      <c r="A330" s="9"/>
      <c r="B330" s="164"/>
      <c r="C330" s="110"/>
      <c r="D330" s="156"/>
      <c r="E330" s="35"/>
      <c r="F330" s="112"/>
      <c r="G330" s="113"/>
      <c r="H330" s="53">
        <f t="shared" si="1"/>
        <v>0</v>
      </c>
      <c r="I330" s="115"/>
      <c r="J330" s="115"/>
      <c r="K330" s="60">
        <f t="shared" si="2"/>
        <v>0</v>
      </c>
      <c r="L330" s="117"/>
    </row>
    <row r="331" ht="15.75" customHeight="1">
      <c r="A331" s="9"/>
      <c r="B331" s="164"/>
      <c r="C331" s="110"/>
      <c r="D331" s="156"/>
      <c r="E331" s="35"/>
      <c r="F331" s="112"/>
      <c r="G331" s="113"/>
      <c r="H331" s="53">
        <f t="shared" si="1"/>
        <v>0</v>
      </c>
      <c r="I331" s="115"/>
      <c r="J331" s="115"/>
      <c r="K331" s="60">
        <f t="shared" si="2"/>
        <v>0</v>
      </c>
      <c r="L331" s="117"/>
    </row>
    <row r="332" ht="15.75" customHeight="1">
      <c r="A332" s="9"/>
      <c r="B332" s="164"/>
      <c r="C332" s="110"/>
      <c r="D332" s="156"/>
      <c r="E332" s="35"/>
      <c r="F332" s="112"/>
      <c r="G332" s="113"/>
      <c r="H332" s="53">
        <f t="shared" si="1"/>
        <v>0</v>
      </c>
      <c r="I332" s="115"/>
      <c r="J332" s="115"/>
      <c r="K332" s="60">
        <f t="shared" si="2"/>
        <v>0</v>
      </c>
      <c r="L332" s="117"/>
    </row>
    <row r="333" ht="15.75" customHeight="1">
      <c r="A333" s="9"/>
      <c r="B333" s="164"/>
      <c r="C333" s="110"/>
      <c r="D333" s="156"/>
      <c r="E333" s="35"/>
      <c r="F333" s="112"/>
      <c r="G333" s="113"/>
      <c r="H333" s="53">
        <f t="shared" si="1"/>
        <v>0</v>
      </c>
      <c r="I333" s="115"/>
      <c r="J333" s="115"/>
      <c r="K333" s="60">
        <f t="shared" si="2"/>
        <v>0</v>
      </c>
      <c r="L333" s="117"/>
    </row>
    <row r="334" ht="15.75" customHeight="1">
      <c r="A334" s="9"/>
      <c r="B334" s="164"/>
      <c r="C334" s="110"/>
      <c r="D334" s="156"/>
      <c r="E334" s="35"/>
      <c r="F334" s="112"/>
      <c r="G334" s="113"/>
      <c r="H334" s="53">
        <f t="shared" si="1"/>
        <v>0</v>
      </c>
      <c r="I334" s="115"/>
      <c r="J334" s="115"/>
      <c r="K334" s="60">
        <f t="shared" si="2"/>
        <v>0</v>
      </c>
      <c r="L334" s="117"/>
    </row>
    <row r="335" ht="15.75" customHeight="1">
      <c r="A335" s="9"/>
      <c r="B335" s="164"/>
      <c r="C335" s="110"/>
      <c r="D335" s="156"/>
      <c r="E335" s="35"/>
      <c r="F335" s="112"/>
      <c r="G335" s="113"/>
      <c r="H335" s="53">
        <f t="shared" si="1"/>
        <v>0</v>
      </c>
      <c r="I335" s="115"/>
      <c r="J335" s="115"/>
      <c r="K335" s="60">
        <f t="shared" si="2"/>
        <v>0</v>
      </c>
      <c r="L335" s="117"/>
    </row>
    <row r="336" ht="15.75" customHeight="1">
      <c r="A336" s="9"/>
      <c r="B336" s="164"/>
      <c r="C336" s="110"/>
      <c r="D336" s="156"/>
      <c r="E336" s="35"/>
      <c r="F336" s="112"/>
      <c r="G336" s="113"/>
      <c r="H336" s="53">
        <f t="shared" si="1"/>
        <v>0</v>
      </c>
      <c r="I336" s="115"/>
      <c r="J336" s="115"/>
      <c r="K336" s="60">
        <f t="shared" si="2"/>
        <v>0</v>
      </c>
      <c r="L336" s="117"/>
    </row>
    <row r="337" ht="15.75" customHeight="1">
      <c r="A337" s="9"/>
      <c r="B337" s="164"/>
      <c r="C337" s="110"/>
      <c r="D337" s="156"/>
      <c r="E337" s="35"/>
      <c r="F337" s="112"/>
      <c r="G337" s="113"/>
      <c r="H337" s="53">
        <f t="shared" si="1"/>
        <v>0</v>
      </c>
      <c r="I337" s="115"/>
      <c r="J337" s="115"/>
      <c r="K337" s="60">
        <f t="shared" si="2"/>
        <v>0</v>
      </c>
      <c r="L337" s="117"/>
    </row>
    <row r="338" ht="15.75" customHeight="1">
      <c r="A338" s="9"/>
      <c r="B338" s="164"/>
      <c r="C338" s="110"/>
      <c r="D338" s="156"/>
      <c r="E338" s="35"/>
      <c r="F338" s="112"/>
      <c r="G338" s="113"/>
      <c r="H338" s="53">
        <f t="shared" si="1"/>
        <v>0</v>
      </c>
      <c r="I338" s="115"/>
      <c r="J338" s="115"/>
      <c r="K338" s="60">
        <f t="shared" si="2"/>
        <v>0</v>
      </c>
      <c r="L338" s="117"/>
    </row>
    <row r="339" ht="15.75" customHeight="1">
      <c r="A339" s="9"/>
      <c r="B339" s="164"/>
      <c r="C339" s="110"/>
      <c r="D339" s="156"/>
      <c r="E339" s="35"/>
      <c r="F339" s="112"/>
      <c r="G339" s="113"/>
      <c r="H339" s="53">
        <f t="shared" si="1"/>
        <v>0</v>
      </c>
      <c r="I339" s="115"/>
      <c r="J339" s="115"/>
      <c r="K339" s="60">
        <f t="shared" si="2"/>
        <v>0</v>
      </c>
      <c r="L339" s="117"/>
    </row>
    <row r="340" ht="15.75" customHeight="1">
      <c r="A340" s="9"/>
      <c r="B340" s="164"/>
      <c r="C340" s="110"/>
      <c r="D340" s="156"/>
      <c r="E340" s="35"/>
      <c r="F340" s="112"/>
      <c r="G340" s="113"/>
      <c r="H340" s="53">
        <f t="shared" si="1"/>
        <v>0</v>
      </c>
      <c r="I340" s="115"/>
      <c r="J340" s="115"/>
      <c r="K340" s="60">
        <f t="shared" si="2"/>
        <v>0</v>
      </c>
      <c r="L340" s="117"/>
    </row>
    <row r="341" ht="15.75" customHeight="1">
      <c r="A341" s="9"/>
      <c r="B341" s="164"/>
      <c r="C341" s="110"/>
      <c r="D341" s="156"/>
      <c r="E341" s="35"/>
      <c r="F341" s="112"/>
      <c r="G341" s="113"/>
      <c r="H341" s="53">
        <f t="shared" si="1"/>
        <v>0</v>
      </c>
      <c r="I341" s="115"/>
      <c r="J341" s="115"/>
      <c r="K341" s="60">
        <f t="shared" si="2"/>
        <v>0</v>
      </c>
      <c r="L341" s="117"/>
    </row>
    <row r="342" ht="15.75" customHeight="1">
      <c r="A342" s="9"/>
      <c r="B342" s="164"/>
      <c r="C342" s="110"/>
      <c r="D342" s="156"/>
      <c r="E342" s="111"/>
      <c r="F342" s="112"/>
      <c r="G342" s="113"/>
      <c r="H342" s="53">
        <f t="shared" si="1"/>
        <v>0</v>
      </c>
      <c r="I342" s="115"/>
      <c r="J342" s="115"/>
      <c r="K342" s="60">
        <f t="shared" si="2"/>
        <v>0</v>
      </c>
      <c r="L342" s="117"/>
    </row>
    <row r="343" ht="15.75" customHeight="1">
      <c r="A343" s="9"/>
      <c r="B343" s="164"/>
      <c r="C343" s="110"/>
      <c r="D343" s="156"/>
      <c r="E343" s="111"/>
      <c r="F343" s="112"/>
      <c r="G343" s="113"/>
      <c r="H343" s="53">
        <f t="shared" si="1"/>
        <v>0</v>
      </c>
      <c r="I343" s="115"/>
      <c r="J343" s="115"/>
      <c r="K343" s="60">
        <f t="shared" si="2"/>
        <v>0</v>
      </c>
      <c r="L343" s="117"/>
    </row>
    <row r="344" ht="15.75" customHeight="1">
      <c r="A344" s="9"/>
      <c r="B344" s="164"/>
      <c r="C344" s="110"/>
      <c r="D344" s="156"/>
      <c r="E344" s="111"/>
      <c r="F344" s="112"/>
      <c r="G344" s="113"/>
      <c r="H344" s="53">
        <f t="shared" si="1"/>
        <v>0</v>
      </c>
      <c r="I344" s="115"/>
      <c r="J344" s="115"/>
      <c r="K344" s="60">
        <f t="shared" si="2"/>
        <v>0</v>
      </c>
      <c r="L344" s="117"/>
    </row>
    <row r="345" ht="15.75" customHeight="1">
      <c r="A345" s="9"/>
      <c r="B345" s="164"/>
      <c r="C345" s="110"/>
      <c r="D345" s="156"/>
      <c r="E345" s="111"/>
      <c r="F345" s="112"/>
      <c r="G345" s="113"/>
      <c r="H345" s="53">
        <f t="shared" si="1"/>
        <v>0</v>
      </c>
      <c r="I345" s="115"/>
      <c r="J345" s="115"/>
      <c r="K345" s="60">
        <f t="shared" si="2"/>
        <v>0</v>
      </c>
      <c r="L345" s="117"/>
    </row>
    <row r="346" ht="15.75" customHeight="1">
      <c r="A346" s="9"/>
      <c r="B346" s="164"/>
      <c r="C346" s="110"/>
      <c r="D346" s="156"/>
      <c r="E346" s="111"/>
      <c r="F346" s="112"/>
      <c r="G346" s="113"/>
      <c r="H346" s="53">
        <f t="shared" si="1"/>
        <v>0</v>
      </c>
      <c r="I346" s="115"/>
      <c r="J346" s="115"/>
      <c r="K346" s="60">
        <f t="shared" si="2"/>
        <v>0</v>
      </c>
      <c r="L346" s="117"/>
    </row>
    <row r="347" ht="15.75" customHeight="1">
      <c r="A347" s="9"/>
      <c r="B347" s="164"/>
      <c r="C347" s="110"/>
      <c r="D347" s="156"/>
      <c r="E347" s="111"/>
      <c r="F347" s="112"/>
      <c r="G347" s="113"/>
      <c r="H347" s="53">
        <f t="shared" si="1"/>
        <v>0</v>
      </c>
      <c r="I347" s="115"/>
      <c r="J347" s="115"/>
      <c r="K347" s="60">
        <f t="shared" si="2"/>
        <v>0</v>
      </c>
      <c r="L347" s="117"/>
    </row>
    <row r="348" ht="15.75" customHeight="1">
      <c r="A348" s="9"/>
      <c r="B348" s="164"/>
      <c r="C348" s="110"/>
      <c r="D348" s="156"/>
      <c r="E348" s="111"/>
      <c r="F348" s="112"/>
      <c r="G348" s="113"/>
      <c r="H348" s="53">
        <f t="shared" si="1"/>
        <v>0</v>
      </c>
      <c r="I348" s="115"/>
      <c r="J348" s="115"/>
      <c r="K348" s="60">
        <f t="shared" si="2"/>
        <v>0</v>
      </c>
      <c r="L348" s="117"/>
    </row>
    <row r="349" ht="15.75" customHeight="1">
      <c r="A349" s="9"/>
      <c r="B349" s="164"/>
      <c r="C349" s="110"/>
      <c r="D349" s="156"/>
      <c r="E349" s="111"/>
      <c r="F349" s="112"/>
      <c r="G349" s="113"/>
      <c r="H349" s="53">
        <f t="shared" si="1"/>
        <v>0</v>
      </c>
      <c r="I349" s="115"/>
      <c r="J349" s="115"/>
      <c r="K349" s="60">
        <f t="shared" si="2"/>
        <v>0</v>
      </c>
      <c r="L349" s="117"/>
    </row>
    <row r="350" ht="15.75" customHeight="1">
      <c r="A350" s="9"/>
      <c r="B350" s="164"/>
      <c r="C350" s="110"/>
      <c r="D350" s="156"/>
      <c r="E350" s="111"/>
      <c r="F350" s="112"/>
      <c r="G350" s="113"/>
      <c r="H350" s="53">
        <f t="shared" si="1"/>
        <v>0</v>
      </c>
      <c r="I350" s="115"/>
      <c r="J350" s="115"/>
      <c r="K350" s="60">
        <f t="shared" si="2"/>
        <v>0</v>
      </c>
      <c r="L350" s="117"/>
    </row>
    <row r="351" ht="15.75" customHeight="1">
      <c r="A351" s="9"/>
      <c r="B351" s="164"/>
      <c r="C351" s="110"/>
      <c r="D351" s="156"/>
      <c r="E351" s="111"/>
      <c r="F351" s="112"/>
      <c r="G351" s="113"/>
      <c r="H351" s="53">
        <f t="shared" si="1"/>
        <v>0</v>
      </c>
      <c r="I351" s="115"/>
      <c r="J351" s="115"/>
      <c r="K351" s="60">
        <f t="shared" si="2"/>
        <v>0</v>
      </c>
      <c r="L351" s="117"/>
    </row>
    <row r="352" ht="15.75" customHeight="1">
      <c r="A352" s="9"/>
      <c r="B352" s="164"/>
      <c r="C352" s="110"/>
      <c r="D352" s="156"/>
      <c r="E352" s="111"/>
      <c r="F352" s="112"/>
      <c r="G352" s="113"/>
      <c r="H352" s="53">
        <f t="shared" si="1"/>
        <v>0</v>
      </c>
      <c r="I352" s="115"/>
      <c r="J352" s="115"/>
      <c r="K352" s="60">
        <f t="shared" si="2"/>
        <v>0</v>
      </c>
      <c r="L352" s="117"/>
    </row>
    <row r="353" ht="15.75" customHeight="1">
      <c r="A353" s="9"/>
      <c r="B353" s="164"/>
      <c r="C353" s="110"/>
      <c r="D353" s="156"/>
      <c r="E353" s="111"/>
      <c r="F353" s="112"/>
      <c r="G353" s="113"/>
      <c r="H353" s="53">
        <f t="shared" si="1"/>
        <v>0</v>
      </c>
      <c r="I353" s="115"/>
      <c r="J353" s="115"/>
      <c r="K353" s="60">
        <f t="shared" si="2"/>
        <v>0</v>
      </c>
      <c r="L353" s="117"/>
    </row>
    <row r="354" ht="15.75" customHeight="1">
      <c r="A354" s="9"/>
      <c r="B354" s="164"/>
      <c r="C354" s="110"/>
      <c r="D354" s="156"/>
      <c r="E354" s="111"/>
      <c r="F354" s="112"/>
      <c r="G354" s="113"/>
      <c r="H354" s="53">
        <f t="shared" si="1"/>
        <v>0</v>
      </c>
      <c r="I354" s="115"/>
      <c r="J354" s="115"/>
      <c r="K354" s="60">
        <f t="shared" si="2"/>
        <v>0</v>
      </c>
      <c r="L354" s="117"/>
    </row>
    <row r="355" ht="15.75" customHeight="1">
      <c r="A355" s="9"/>
      <c r="B355" s="164"/>
      <c r="C355" s="110"/>
      <c r="D355" s="156"/>
      <c r="E355" s="111"/>
      <c r="F355" s="112"/>
      <c r="G355" s="113"/>
      <c r="H355" s="53">
        <f t="shared" si="1"/>
        <v>0</v>
      </c>
      <c r="I355" s="115"/>
      <c r="J355" s="115"/>
      <c r="K355" s="60">
        <f t="shared" si="2"/>
        <v>0</v>
      </c>
      <c r="L355" s="117"/>
    </row>
    <row r="356" ht="15.75" customHeight="1">
      <c r="A356" s="9"/>
      <c r="B356" s="164"/>
      <c r="C356" s="110"/>
      <c r="D356" s="156"/>
      <c r="E356" s="111"/>
      <c r="F356" s="112"/>
      <c r="G356" s="113"/>
      <c r="H356" s="53">
        <f t="shared" si="1"/>
        <v>0</v>
      </c>
      <c r="I356" s="115"/>
      <c r="J356" s="115"/>
      <c r="K356" s="60">
        <f t="shared" si="2"/>
        <v>0</v>
      </c>
      <c r="L356" s="117"/>
    </row>
    <row r="357" ht="15.75" customHeight="1">
      <c r="A357" s="9"/>
      <c r="B357" s="164"/>
      <c r="C357" s="110"/>
      <c r="D357" s="156"/>
      <c r="E357" s="111"/>
      <c r="F357" s="112"/>
      <c r="G357" s="113"/>
      <c r="H357" s="53">
        <f t="shared" si="1"/>
        <v>0</v>
      </c>
      <c r="I357" s="115"/>
      <c r="J357" s="115"/>
      <c r="K357" s="60">
        <f t="shared" si="2"/>
        <v>0</v>
      </c>
      <c r="L357" s="117"/>
    </row>
    <row r="358" ht="15.75" customHeight="1">
      <c r="A358" s="9"/>
      <c r="B358" s="164"/>
      <c r="C358" s="110"/>
      <c r="D358" s="156"/>
      <c r="E358" s="111"/>
      <c r="F358" s="112"/>
      <c r="G358" s="113"/>
      <c r="H358" s="53">
        <f t="shared" si="1"/>
        <v>0</v>
      </c>
      <c r="I358" s="115"/>
      <c r="J358" s="115"/>
      <c r="K358" s="60">
        <f t="shared" si="2"/>
        <v>0</v>
      </c>
      <c r="L358" s="117"/>
    </row>
    <row r="359" ht="15.75" customHeight="1">
      <c r="A359" s="9"/>
      <c r="B359" s="164"/>
      <c r="C359" s="110"/>
      <c r="D359" s="156"/>
      <c r="E359" s="111"/>
      <c r="F359" s="112"/>
      <c r="G359" s="113"/>
      <c r="H359" s="53">
        <f t="shared" si="1"/>
        <v>0</v>
      </c>
      <c r="I359" s="115"/>
      <c r="J359" s="115"/>
      <c r="K359" s="60">
        <f t="shared" si="2"/>
        <v>0</v>
      </c>
      <c r="L359" s="117"/>
    </row>
    <row r="360" ht="15.75" customHeight="1">
      <c r="A360" s="9"/>
      <c r="B360" s="164"/>
      <c r="C360" s="110"/>
      <c r="D360" s="156"/>
      <c r="E360" s="111"/>
      <c r="F360" s="112"/>
      <c r="G360" s="113"/>
      <c r="H360" s="53">
        <f t="shared" si="1"/>
        <v>0</v>
      </c>
      <c r="I360" s="115"/>
      <c r="J360" s="115"/>
      <c r="K360" s="60">
        <f t="shared" si="2"/>
        <v>0</v>
      </c>
      <c r="L360" s="117"/>
    </row>
    <row r="361" ht="15.75" customHeight="1">
      <c r="A361" s="9"/>
      <c r="B361" s="164"/>
      <c r="C361" s="110"/>
      <c r="D361" s="156"/>
      <c r="E361" s="111"/>
      <c r="F361" s="112"/>
      <c r="G361" s="113"/>
      <c r="H361" s="53">
        <f t="shared" si="1"/>
        <v>0</v>
      </c>
      <c r="I361" s="115"/>
      <c r="J361" s="115"/>
      <c r="K361" s="60">
        <f t="shared" si="2"/>
        <v>0</v>
      </c>
      <c r="L361" s="117"/>
    </row>
    <row r="362" ht="15.75" customHeight="1">
      <c r="A362" s="9"/>
      <c r="B362" s="164"/>
      <c r="C362" s="110"/>
      <c r="D362" s="156"/>
      <c r="E362" s="111"/>
      <c r="F362" s="112"/>
      <c r="G362" s="113"/>
      <c r="H362" s="53">
        <f t="shared" si="1"/>
        <v>0</v>
      </c>
      <c r="I362" s="115"/>
      <c r="J362" s="115"/>
      <c r="K362" s="60">
        <f t="shared" si="2"/>
        <v>0</v>
      </c>
      <c r="L362" s="117"/>
    </row>
    <row r="363" ht="15.75" customHeight="1">
      <c r="A363" s="9"/>
      <c r="B363" s="164"/>
      <c r="C363" s="110"/>
      <c r="D363" s="156"/>
      <c r="E363" s="111"/>
      <c r="F363" s="112"/>
      <c r="G363" s="113"/>
      <c r="H363" s="53">
        <f t="shared" si="1"/>
        <v>0</v>
      </c>
      <c r="I363" s="115"/>
      <c r="J363" s="115"/>
      <c r="K363" s="60">
        <f t="shared" si="2"/>
        <v>0</v>
      </c>
      <c r="L363" s="117"/>
    </row>
    <row r="364" ht="15.75" customHeight="1">
      <c r="A364" s="9"/>
      <c r="B364" s="164"/>
      <c r="C364" s="110"/>
      <c r="D364" s="156"/>
      <c r="E364" s="111"/>
      <c r="F364" s="112"/>
      <c r="G364" s="113"/>
      <c r="H364" s="53">
        <f t="shared" si="1"/>
        <v>0</v>
      </c>
      <c r="I364" s="115"/>
      <c r="J364" s="115"/>
      <c r="K364" s="60">
        <f t="shared" si="2"/>
        <v>0</v>
      </c>
      <c r="L364" s="117"/>
    </row>
    <row r="365" ht="15.75" customHeight="1">
      <c r="A365" s="9"/>
      <c r="B365" s="164"/>
      <c r="C365" s="110"/>
      <c r="D365" s="156"/>
      <c r="E365" s="111"/>
      <c r="F365" s="112"/>
      <c r="G365" s="113"/>
      <c r="H365" s="53">
        <f t="shared" si="1"/>
        <v>0</v>
      </c>
      <c r="I365" s="115"/>
      <c r="J365" s="115"/>
      <c r="K365" s="60">
        <f t="shared" si="2"/>
        <v>0</v>
      </c>
      <c r="L365" s="117"/>
    </row>
    <row r="366" ht="15.75" customHeight="1">
      <c r="A366" s="9"/>
      <c r="B366" s="164"/>
      <c r="C366" s="110"/>
      <c r="D366" s="156"/>
      <c r="E366" s="111"/>
      <c r="F366" s="112"/>
      <c r="G366" s="113"/>
      <c r="H366" s="53">
        <f t="shared" si="1"/>
        <v>0</v>
      </c>
      <c r="I366" s="115"/>
      <c r="J366" s="115"/>
      <c r="K366" s="60">
        <f t="shared" si="2"/>
        <v>0</v>
      </c>
      <c r="L366" s="117"/>
    </row>
    <row r="367" ht="15.75" customHeight="1">
      <c r="A367" s="9"/>
      <c r="B367" s="164"/>
      <c r="C367" s="110"/>
      <c r="D367" s="156"/>
      <c r="E367" s="111"/>
      <c r="F367" s="112"/>
      <c r="G367" s="113"/>
      <c r="H367" s="53">
        <f t="shared" si="1"/>
        <v>0</v>
      </c>
      <c r="I367" s="115"/>
      <c r="J367" s="115"/>
      <c r="K367" s="60">
        <f t="shared" si="2"/>
        <v>0</v>
      </c>
      <c r="L367" s="117"/>
    </row>
    <row r="368" ht="15.75" customHeight="1">
      <c r="A368" s="9"/>
      <c r="B368" s="164"/>
      <c r="C368" s="110"/>
      <c r="D368" s="156"/>
      <c r="E368" s="111"/>
      <c r="F368" s="112"/>
      <c r="G368" s="113"/>
      <c r="H368" s="53">
        <f t="shared" si="1"/>
        <v>0</v>
      </c>
      <c r="I368" s="115"/>
      <c r="J368" s="115"/>
      <c r="K368" s="60">
        <f t="shared" si="2"/>
        <v>0</v>
      </c>
      <c r="L368" s="117"/>
    </row>
    <row r="369" ht="15.75" customHeight="1">
      <c r="A369" s="9"/>
      <c r="B369" s="164"/>
      <c r="C369" s="110"/>
      <c r="D369" s="156"/>
      <c r="E369" s="111"/>
      <c r="F369" s="112"/>
      <c r="G369" s="113"/>
      <c r="H369" s="53">
        <f t="shared" si="1"/>
        <v>0</v>
      </c>
      <c r="I369" s="115"/>
      <c r="J369" s="115"/>
      <c r="K369" s="60">
        <f t="shared" si="2"/>
        <v>0</v>
      </c>
      <c r="L369" s="117"/>
    </row>
    <row r="370" ht="15.75" customHeight="1">
      <c r="A370" s="9"/>
      <c r="B370" s="164"/>
      <c r="C370" s="110"/>
      <c r="D370" s="156"/>
      <c r="E370" s="111"/>
      <c r="F370" s="112"/>
      <c r="G370" s="113"/>
      <c r="H370" s="53">
        <f t="shared" si="1"/>
        <v>0</v>
      </c>
      <c r="I370" s="115"/>
      <c r="J370" s="115"/>
      <c r="K370" s="60">
        <f t="shared" si="2"/>
        <v>0</v>
      </c>
      <c r="L370" s="117"/>
    </row>
    <row r="371" ht="15.75" customHeight="1">
      <c r="A371" s="9"/>
      <c r="B371" s="164"/>
      <c r="C371" s="110"/>
      <c r="D371" s="156"/>
      <c r="E371" s="111"/>
      <c r="F371" s="112"/>
      <c r="G371" s="113"/>
      <c r="H371" s="53">
        <f t="shared" si="1"/>
        <v>0</v>
      </c>
      <c r="I371" s="115"/>
      <c r="J371" s="115"/>
      <c r="K371" s="60">
        <f t="shared" si="2"/>
        <v>0</v>
      </c>
      <c r="L371" s="117"/>
    </row>
    <row r="372" ht="15.75" customHeight="1">
      <c r="A372" s="9"/>
      <c r="B372" s="164"/>
      <c r="C372" s="110"/>
      <c r="D372" s="156"/>
      <c r="E372" s="111"/>
      <c r="F372" s="112"/>
      <c r="G372" s="113"/>
      <c r="H372" s="53">
        <f t="shared" si="1"/>
        <v>0</v>
      </c>
      <c r="I372" s="115"/>
      <c r="J372" s="115"/>
      <c r="K372" s="60">
        <f t="shared" si="2"/>
        <v>0</v>
      </c>
      <c r="L372" s="117"/>
    </row>
    <row r="373" ht="15.75" customHeight="1">
      <c r="A373" s="9"/>
      <c r="B373" s="164"/>
      <c r="C373" s="110"/>
      <c r="D373" s="156"/>
      <c r="E373" s="111"/>
      <c r="F373" s="112"/>
      <c r="G373" s="113"/>
      <c r="H373" s="53">
        <f t="shared" si="1"/>
        <v>0</v>
      </c>
      <c r="I373" s="115"/>
      <c r="J373" s="115"/>
      <c r="K373" s="60">
        <f t="shared" si="2"/>
        <v>0</v>
      </c>
      <c r="L373" s="117"/>
    </row>
    <row r="374" ht="15.75" customHeight="1">
      <c r="A374" s="9"/>
      <c r="B374" s="164"/>
      <c r="C374" s="110"/>
      <c r="D374" s="156"/>
      <c r="E374" s="111"/>
      <c r="F374" s="112"/>
      <c r="G374" s="113"/>
      <c r="H374" s="53">
        <f t="shared" si="1"/>
        <v>0</v>
      </c>
      <c r="I374" s="115"/>
      <c r="J374" s="115"/>
      <c r="K374" s="60">
        <f t="shared" si="2"/>
        <v>0</v>
      </c>
      <c r="L374" s="117"/>
    </row>
    <row r="375" ht="15.75" customHeight="1">
      <c r="A375" s="9"/>
      <c r="B375" s="164"/>
      <c r="C375" s="110"/>
      <c r="D375" s="156"/>
      <c r="E375" s="111"/>
      <c r="F375" s="112"/>
      <c r="G375" s="113"/>
      <c r="H375" s="53">
        <f t="shared" si="1"/>
        <v>0</v>
      </c>
      <c r="I375" s="115"/>
      <c r="J375" s="115"/>
      <c r="K375" s="60">
        <f t="shared" si="2"/>
        <v>0</v>
      </c>
      <c r="L375" s="117"/>
    </row>
    <row r="376" ht="15.75" customHeight="1">
      <c r="A376" s="9"/>
      <c r="B376" s="164"/>
      <c r="C376" s="110"/>
      <c r="D376" s="156"/>
      <c r="E376" s="111"/>
      <c r="F376" s="112"/>
      <c r="G376" s="113"/>
      <c r="H376" s="53">
        <f t="shared" si="1"/>
        <v>0</v>
      </c>
      <c r="I376" s="115"/>
      <c r="J376" s="115"/>
      <c r="K376" s="60">
        <f t="shared" si="2"/>
        <v>0</v>
      </c>
      <c r="L376" s="117"/>
    </row>
    <row r="377" ht="15.75" customHeight="1">
      <c r="A377" s="9"/>
      <c r="B377" s="164"/>
      <c r="C377" s="110"/>
      <c r="D377" s="156"/>
      <c r="E377" s="111"/>
      <c r="F377" s="112"/>
      <c r="G377" s="113"/>
      <c r="H377" s="53">
        <f t="shared" si="1"/>
        <v>0</v>
      </c>
      <c r="I377" s="115"/>
      <c r="J377" s="115"/>
      <c r="K377" s="60">
        <f t="shared" si="2"/>
        <v>0</v>
      </c>
      <c r="L377" s="117"/>
    </row>
    <row r="378" ht="15.75" customHeight="1">
      <c r="A378" s="9"/>
      <c r="B378" s="164"/>
      <c r="C378" s="110"/>
      <c r="D378" s="156"/>
      <c r="E378" s="111"/>
      <c r="F378" s="112"/>
      <c r="G378" s="113"/>
      <c r="H378" s="53">
        <f t="shared" si="1"/>
        <v>0</v>
      </c>
      <c r="I378" s="115"/>
      <c r="J378" s="115"/>
      <c r="K378" s="60">
        <f t="shared" si="2"/>
        <v>0</v>
      </c>
      <c r="L378" s="117"/>
    </row>
    <row r="379" ht="15.75" customHeight="1">
      <c r="A379" s="9"/>
      <c r="B379" s="164"/>
      <c r="C379" s="110"/>
      <c r="D379" s="156"/>
      <c r="E379" s="111"/>
      <c r="F379" s="112"/>
      <c r="G379" s="113"/>
      <c r="H379" s="53">
        <f t="shared" si="1"/>
        <v>0</v>
      </c>
      <c r="I379" s="115"/>
      <c r="J379" s="115"/>
      <c r="K379" s="60">
        <f t="shared" si="2"/>
        <v>0</v>
      </c>
      <c r="L379" s="117"/>
    </row>
    <row r="380" ht="15.75" customHeight="1">
      <c r="A380" s="9"/>
      <c r="B380" s="164"/>
      <c r="C380" s="110"/>
      <c r="D380" s="156"/>
      <c r="E380" s="111"/>
      <c r="F380" s="112"/>
      <c r="G380" s="113"/>
      <c r="H380" s="53">
        <f t="shared" si="1"/>
        <v>0</v>
      </c>
      <c r="I380" s="115"/>
      <c r="J380" s="115"/>
      <c r="K380" s="60">
        <f t="shared" si="2"/>
        <v>0</v>
      </c>
      <c r="L380" s="117"/>
    </row>
    <row r="381" ht="15.75" customHeight="1">
      <c r="A381" s="9"/>
      <c r="B381" s="164"/>
      <c r="C381" s="110"/>
      <c r="D381" s="156"/>
      <c r="E381" s="111"/>
      <c r="F381" s="112"/>
      <c r="G381" s="113"/>
      <c r="H381" s="53">
        <f t="shared" si="1"/>
        <v>0</v>
      </c>
      <c r="I381" s="115"/>
      <c r="J381" s="115"/>
      <c r="K381" s="60">
        <f t="shared" si="2"/>
        <v>0</v>
      </c>
      <c r="L381" s="117"/>
    </row>
    <row r="382" ht="15.75" customHeight="1">
      <c r="A382" s="9"/>
      <c r="B382" s="164"/>
      <c r="C382" s="110"/>
      <c r="D382" s="156"/>
      <c r="E382" s="111"/>
      <c r="F382" s="112"/>
      <c r="G382" s="113"/>
      <c r="H382" s="53">
        <f t="shared" si="1"/>
        <v>0</v>
      </c>
      <c r="I382" s="115"/>
      <c r="J382" s="115"/>
      <c r="K382" s="60">
        <f t="shared" si="2"/>
        <v>0</v>
      </c>
      <c r="L382" s="117"/>
    </row>
    <row r="383" ht="15.75" customHeight="1">
      <c r="A383" s="9"/>
      <c r="B383" s="164"/>
      <c r="C383" s="110"/>
      <c r="D383" s="156"/>
      <c r="E383" s="111"/>
      <c r="F383" s="112"/>
      <c r="G383" s="113"/>
      <c r="H383" s="53">
        <f t="shared" si="1"/>
        <v>0</v>
      </c>
      <c r="I383" s="115"/>
      <c r="J383" s="115"/>
      <c r="K383" s="60">
        <f t="shared" si="2"/>
        <v>0</v>
      </c>
      <c r="L383" s="117"/>
    </row>
    <row r="384" ht="15.75" customHeight="1">
      <c r="A384" s="9"/>
      <c r="B384" s="164"/>
      <c r="C384" s="110"/>
      <c r="D384" s="156"/>
      <c r="E384" s="111"/>
      <c r="F384" s="112"/>
      <c r="G384" s="113"/>
      <c r="H384" s="53">
        <f t="shared" si="1"/>
        <v>0</v>
      </c>
      <c r="I384" s="115"/>
      <c r="J384" s="115"/>
      <c r="K384" s="60">
        <f t="shared" si="2"/>
        <v>0</v>
      </c>
      <c r="L384" s="117"/>
    </row>
    <row r="385" ht="15.75" customHeight="1">
      <c r="A385" s="9"/>
      <c r="B385" s="164"/>
      <c r="C385" s="110"/>
      <c r="D385" s="156"/>
      <c r="E385" s="111"/>
      <c r="F385" s="112"/>
      <c r="G385" s="113"/>
      <c r="H385" s="53">
        <f t="shared" si="1"/>
        <v>0</v>
      </c>
      <c r="I385" s="115"/>
      <c r="J385" s="115"/>
      <c r="K385" s="60">
        <f t="shared" si="2"/>
        <v>0</v>
      </c>
      <c r="L385" s="117"/>
    </row>
    <row r="386" ht="15.75" customHeight="1">
      <c r="A386" s="9"/>
      <c r="B386" s="164"/>
      <c r="C386" s="110"/>
      <c r="D386" s="156"/>
      <c r="E386" s="111"/>
      <c r="F386" s="112"/>
      <c r="G386" s="113"/>
      <c r="H386" s="53">
        <f t="shared" si="1"/>
        <v>0</v>
      </c>
      <c r="I386" s="115"/>
      <c r="J386" s="115"/>
      <c r="K386" s="60">
        <f t="shared" si="2"/>
        <v>0</v>
      </c>
      <c r="L386" s="117"/>
    </row>
    <row r="387" ht="15.75" customHeight="1">
      <c r="A387" s="9"/>
      <c r="B387" s="164"/>
      <c r="C387" s="110"/>
      <c r="D387" s="156"/>
      <c r="E387" s="111"/>
      <c r="F387" s="112"/>
      <c r="G387" s="113"/>
      <c r="H387" s="53">
        <f t="shared" si="1"/>
        <v>0</v>
      </c>
      <c r="I387" s="115"/>
      <c r="J387" s="115"/>
      <c r="K387" s="60">
        <f t="shared" si="2"/>
        <v>0</v>
      </c>
      <c r="L387" s="117"/>
    </row>
    <row r="388" ht="15.75" customHeight="1">
      <c r="A388" s="9"/>
      <c r="B388" s="164"/>
      <c r="C388" s="110"/>
      <c r="D388" s="156"/>
      <c r="E388" s="111"/>
      <c r="F388" s="112"/>
      <c r="G388" s="113"/>
      <c r="H388" s="53">
        <f t="shared" si="1"/>
        <v>0</v>
      </c>
      <c r="I388" s="115"/>
      <c r="J388" s="115"/>
      <c r="K388" s="60">
        <f t="shared" si="2"/>
        <v>0</v>
      </c>
      <c r="L388" s="117"/>
    </row>
    <row r="389" ht="15.75" customHeight="1">
      <c r="A389" s="9"/>
      <c r="B389" s="164"/>
      <c r="C389" s="110"/>
      <c r="D389" s="156"/>
      <c r="E389" s="111"/>
      <c r="F389" s="112"/>
      <c r="G389" s="113"/>
      <c r="H389" s="53">
        <f t="shared" si="1"/>
        <v>0</v>
      </c>
      <c r="I389" s="115"/>
      <c r="J389" s="115"/>
      <c r="K389" s="60">
        <f t="shared" si="2"/>
        <v>0</v>
      </c>
      <c r="L389" s="117"/>
    </row>
    <row r="390" ht="15.75" customHeight="1">
      <c r="A390" s="9"/>
      <c r="B390" s="164"/>
      <c r="C390" s="110"/>
      <c r="D390" s="156"/>
      <c r="E390" s="111"/>
      <c r="F390" s="112"/>
      <c r="G390" s="113"/>
      <c r="H390" s="53">
        <f t="shared" si="1"/>
        <v>0</v>
      </c>
      <c r="I390" s="115"/>
      <c r="J390" s="115"/>
      <c r="K390" s="60">
        <f t="shared" si="2"/>
        <v>0</v>
      </c>
      <c r="L390" s="117"/>
    </row>
    <row r="391" ht="15.75" customHeight="1">
      <c r="A391" s="9"/>
      <c r="B391" s="164"/>
      <c r="C391" s="110"/>
      <c r="D391" s="156"/>
      <c r="E391" s="111"/>
      <c r="F391" s="112"/>
      <c r="G391" s="113"/>
      <c r="H391" s="53">
        <f t="shared" si="1"/>
        <v>0</v>
      </c>
      <c r="I391" s="115"/>
      <c r="J391" s="115"/>
      <c r="K391" s="60">
        <f t="shared" si="2"/>
        <v>0</v>
      </c>
      <c r="L391" s="117"/>
    </row>
    <row r="392" ht="15.75" customHeight="1">
      <c r="A392" s="9"/>
      <c r="B392" s="164"/>
      <c r="C392" s="110"/>
      <c r="D392" s="156"/>
      <c r="E392" s="111"/>
      <c r="F392" s="112"/>
      <c r="G392" s="113"/>
      <c r="H392" s="53">
        <f t="shared" si="1"/>
        <v>0</v>
      </c>
      <c r="I392" s="115"/>
      <c r="J392" s="115"/>
      <c r="K392" s="60">
        <f t="shared" si="2"/>
        <v>0</v>
      </c>
      <c r="L392" s="117"/>
    </row>
    <row r="393" ht="15.75" customHeight="1">
      <c r="A393" s="9"/>
      <c r="B393" s="164"/>
      <c r="C393" s="110"/>
      <c r="D393" s="156"/>
      <c r="E393" s="111"/>
      <c r="F393" s="112"/>
      <c r="G393" s="113"/>
      <c r="H393" s="53">
        <f t="shared" si="1"/>
        <v>0</v>
      </c>
      <c r="I393" s="115"/>
      <c r="J393" s="115"/>
      <c r="K393" s="60">
        <f t="shared" si="2"/>
        <v>0</v>
      </c>
      <c r="L393" s="117"/>
    </row>
    <row r="394" ht="15.75" customHeight="1">
      <c r="A394" s="9"/>
      <c r="B394" s="164"/>
      <c r="C394" s="110"/>
      <c r="D394" s="156"/>
      <c r="E394" s="111"/>
      <c r="F394" s="112"/>
      <c r="G394" s="113"/>
      <c r="H394" s="53">
        <f t="shared" si="1"/>
        <v>0</v>
      </c>
      <c r="I394" s="115"/>
      <c r="J394" s="115"/>
      <c r="K394" s="60">
        <f t="shared" si="2"/>
        <v>0</v>
      </c>
      <c r="L394" s="117"/>
    </row>
    <row r="395" ht="15.75" customHeight="1">
      <c r="A395" s="9"/>
      <c r="B395" s="164"/>
      <c r="C395" s="110"/>
      <c r="D395" s="156"/>
      <c r="E395" s="111"/>
      <c r="F395" s="112"/>
      <c r="G395" s="113"/>
      <c r="H395" s="53">
        <f t="shared" si="1"/>
        <v>0</v>
      </c>
      <c r="I395" s="115"/>
      <c r="J395" s="115"/>
      <c r="K395" s="60">
        <f t="shared" si="2"/>
        <v>0</v>
      </c>
      <c r="L395" s="117"/>
    </row>
    <row r="396" ht="15.75" customHeight="1">
      <c r="A396" s="9"/>
      <c r="B396" s="164"/>
      <c r="C396" s="110"/>
      <c r="D396" s="156"/>
      <c r="E396" s="111"/>
      <c r="F396" s="112"/>
      <c r="G396" s="113"/>
      <c r="H396" s="53">
        <f t="shared" si="1"/>
        <v>0</v>
      </c>
      <c r="I396" s="115"/>
      <c r="J396" s="115"/>
      <c r="K396" s="60">
        <f t="shared" si="2"/>
        <v>0</v>
      </c>
      <c r="L396" s="117"/>
    </row>
    <row r="397" ht="15.75" customHeight="1">
      <c r="A397" s="9"/>
      <c r="B397" s="164"/>
      <c r="C397" s="110"/>
      <c r="D397" s="156"/>
      <c r="E397" s="111"/>
      <c r="F397" s="112"/>
      <c r="G397" s="113"/>
      <c r="H397" s="53">
        <f t="shared" si="1"/>
        <v>0</v>
      </c>
      <c r="I397" s="115"/>
      <c r="J397" s="115"/>
      <c r="K397" s="60">
        <f t="shared" si="2"/>
        <v>0</v>
      </c>
      <c r="L397" s="117"/>
    </row>
    <row r="398" ht="15.75" customHeight="1">
      <c r="A398" s="9"/>
      <c r="B398" s="164"/>
      <c r="C398" s="110"/>
      <c r="D398" s="156"/>
      <c r="E398" s="111"/>
      <c r="F398" s="112"/>
      <c r="G398" s="113"/>
      <c r="H398" s="53">
        <f t="shared" si="1"/>
        <v>0</v>
      </c>
      <c r="I398" s="115"/>
      <c r="J398" s="115"/>
      <c r="K398" s="60">
        <f t="shared" si="2"/>
        <v>0</v>
      </c>
      <c r="L398" s="117"/>
    </row>
    <row r="399" ht="15.75" customHeight="1">
      <c r="A399" s="9"/>
      <c r="B399" s="164"/>
      <c r="C399" s="110"/>
      <c r="D399" s="156"/>
      <c r="E399" s="111"/>
      <c r="F399" s="112"/>
      <c r="G399" s="113"/>
      <c r="H399" s="53">
        <f t="shared" si="1"/>
        <v>0</v>
      </c>
      <c r="I399" s="115"/>
      <c r="J399" s="115"/>
      <c r="K399" s="60">
        <f t="shared" si="2"/>
        <v>0</v>
      </c>
      <c r="L399" s="117"/>
    </row>
    <row r="400" ht="15.75" customHeight="1">
      <c r="A400" s="9"/>
      <c r="B400" s="164"/>
      <c r="C400" s="110"/>
      <c r="D400" s="156"/>
      <c r="E400" s="111"/>
      <c r="F400" s="112"/>
      <c r="G400" s="113"/>
      <c r="H400" s="53">
        <f t="shared" si="1"/>
        <v>0</v>
      </c>
      <c r="I400" s="115"/>
      <c r="J400" s="115"/>
      <c r="K400" s="60">
        <f t="shared" si="2"/>
        <v>0</v>
      </c>
      <c r="L400" s="117"/>
    </row>
    <row r="401" ht="15.75" customHeight="1">
      <c r="A401" s="9"/>
      <c r="B401" s="164"/>
      <c r="C401" s="110"/>
      <c r="D401" s="156"/>
      <c r="E401" s="111"/>
      <c r="F401" s="112"/>
      <c r="G401" s="113"/>
      <c r="H401" s="53">
        <f t="shared" si="1"/>
        <v>0</v>
      </c>
      <c r="I401" s="115"/>
      <c r="J401" s="115"/>
      <c r="K401" s="60">
        <f t="shared" si="2"/>
        <v>0</v>
      </c>
      <c r="L401" s="117"/>
    </row>
    <row r="402" ht="15.75" customHeight="1">
      <c r="A402" s="9"/>
      <c r="B402" s="164"/>
      <c r="C402" s="110"/>
      <c r="D402" s="156"/>
      <c r="E402" s="111"/>
      <c r="F402" s="112"/>
      <c r="G402" s="113"/>
      <c r="H402" s="53">
        <f t="shared" si="1"/>
        <v>0</v>
      </c>
      <c r="I402" s="115"/>
      <c r="J402" s="115"/>
      <c r="K402" s="60">
        <f t="shared" si="2"/>
        <v>0</v>
      </c>
      <c r="L402" s="117"/>
    </row>
    <row r="403" ht="15.75" customHeight="1">
      <c r="A403" s="9"/>
      <c r="B403" s="164"/>
      <c r="C403" s="110"/>
      <c r="D403" s="156"/>
      <c r="E403" s="111"/>
      <c r="F403" s="112"/>
      <c r="G403" s="113"/>
      <c r="H403" s="53">
        <f t="shared" si="1"/>
        <v>0</v>
      </c>
      <c r="I403" s="115"/>
      <c r="J403" s="115"/>
      <c r="K403" s="60">
        <f t="shared" si="2"/>
        <v>0</v>
      </c>
      <c r="L403" s="117"/>
    </row>
    <row r="404" ht="15.75" customHeight="1">
      <c r="A404" s="9"/>
      <c r="B404" s="164"/>
      <c r="C404" s="110"/>
      <c r="D404" s="156"/>
      <c r="E404" s="111"/>
      <c r="F404" s="112"/>
      <c r="G404" s="113"/>
      <c r="H404" s="53">
        <f t="shared" si="1"/>
        <v>0</v>
      </c>
      <c r="I404" s="115"/>
      <c r="J404" s="115"/>
      <c r="K404" s="60">
        <f t="shared" si="2"/>
        <v>0</v>
      </c>
      <c r="L404" s="117"/>
    </row>
    <row r="405" ht="15.75" customHeight="1">
      <c r="A405" s="9"/>
      <c r="B405" s="164"/>
      <c r="C405" s="110"/>
      <c r="D405" s="156"/>
      <c r="E405" s="111"/>
      <c r="F405" s="112"/>
      <c r="G405" s="113"/>
      <c r="H405" s="53">
        <f t="shared" si="1"/>
        <v>0</v>
      </c>
      <c r="I405" s="115"/>
      <c r="J405" s="115"/>
      <c r="K405" s="60">
        <f t="shared" si="2"/>
        <v>0</v>
      </c>
      <c r="L405" s="117"/>
    </row>
    <row r="406" ht="15.75" customHeight="1">
      <c r="A406" s="9"/>
      <c r="B406" s="164"/>
      <c r="C406" s="110"/>
      <c r="D406" s="156"/>
      <c r="E406" s="111"/>
      <c r="F406" s="112"/>
      <c r="G406" s="113"/>
      <c r="H406" s="53">
        <f t="shared" si="1"/>
        <v>0</v>
      </c>
      <c r="I406" s="115"/>
      <c r="J406" s="115"/>
      <c r="K406" s="60">
        <f t="shared" si="2"/>
        <v>0</v>
      </c>
      <c r="L406" s="117"/>
    </row>
    <row r="407" ht="15.75" customHeight="1">
      <c r="A407" s="9"/>
      <c r="B407" s="164"/>
      <c r="C407" s="110"/>
      <c r="D407" s="156"/>
      <c r="E407" s="111"/>
      <c r="F407" s="112"/>
      <c r="G407" s="113"/>
      <c r="H407" s="53">
        <f t="shared" si="1"/>
        <v>0</v>
      </c>
      <c r="I407" s="115"/>
      <c r="J407" s="115"/>
      <c r="K407" s="60">
        <f t="shared" si="2"/>
        <v>0</v>
      </c>
      <c r="L407" s="117"/>
    </row>
    <row r="408" ht="15.75" customHeight="1">
      <c r="A408" s="9"/>
      <c r="B408" s="164"/>
      <c r="C408" s="110"/>
      <c r="D408" s="156"/>
      <c r="E408" s="111"/>
      <c r="F408" s="112"/>
      <c r="G408" s="113"/>
      <c r="H408" s="53">
        <f t="shared" si="1"/>
        <v>0</v>
      </c>
      <c r="I408" s="115"/>
      <c r="J408" s="115"/>
      <c r="K408" s="60">
        <f t="shared" si="2"/>
        <v>0</v>
      </c>
      <c r="L408" s="117"/>
    </row>
    <row r="409" ht="15.75" customHeight="1">
      <c r="A409" s="9"/>
      <c r="B409" s="164"/>
      <c r="C409" s="110"/>
      <c r="D409" s="156"/>
      <c r="E409" s="111"/>
      <c r="F409" s="112"/>
      <c r="G409" s="113"/>
      <c r="H409" s="53">
        <f t="shared" si="1"/>
        <v>0</v>
      </c>
      <c r="I409" s="115"/>
      <c r="J409" s="115"/>
      <c r="K409" s="60">
        <f t="shared" si="2"/>
        <v>0</v>
      </c>
      <c r="L409" s="117"/>
    </row>
    <row r="410" ht="15.75" customHeight="1">
      <c r="A410" s="9"/>
      <c r="B410" s="164"/>
      <c r="C410" s="110"/>
      <c r="D410" s="156"/>
      <c r="E410" s="111"/>
      <c r="F410" s="112"/>
      <c r="G410" s="113"/>
      <c r="H410" s="53">
        <f t="shared" si="1"/>
        <v>0</v>
      </c>
      <c r="I410" s="115"/>
      <c r="J410" s="115"/>
      <c r="K410" s="60">
        <f t="shared" si="2"/>
        <v>0</v>
      </c>
      <c r="L410" s="117"/>
    </row>
    <row r="411" ht="15.75" customHeight="1">
      <c r="A411" s="9"/>
      <c r="B411" s="164"/>
      <c r="C411" s="110"/>
      <c r="D411" s="156"/>
      <c r="E411" s="111"/>
      <c r="F411" s="112"/>
      <c r="G411" s="113"/>
      <c r="H411" s="53">
        <f t="shared" si="1"/>
        <v>0</v>
      </c>
      <c r="I411" s="115"/>
      <c r="J411" s="115"/>
      <c r="K411" s="60">
        <f t="shared" si="2"/>
        <v>0</v>
      </c>
      <c r="L411" s="117"/>
    </row>
    <row r="412" ht="15.75" customHeight="1">
      <c r="A412" s="9"/>
      <c r="B412" s="164"/>
      <c r="C412" s="110"/>
      <c r="D412" s="156"/>
      <c r="E412" s="111"/>
      <c r="F412" s="112"/>
      <c r="G412" s="113"/>
      <c r="H412" s="53">
        <f t="shared" si="1"/>
        <v>0</v>
      </c>
      <c r="I412" s="115"/>
      <c r="J412" s="115"/>
      <c r="K412" s="60">
        <f t="shared" si="2"/>
        <v>0</v>
      </c>
      <c r="L412" s="117"/>
    </row>
    <row r="413" ht="15.75" customHeight="1">
      <c r="A413" s="9"/>
      <c r="B413" s="164"/>
      <c r="C413" s="110"/>
      <c r="D413" s="156"/>
      <c r="E413" s="111"/>
      <c r="F413" s="112"/>
      <c r="G413" s="113"/>
      <c r="H413" s="53">
        <f t="shared" si="1"/>
        <v>0</v>
      </c>
      <c r="I413" s="115"/>
      <c r="J413" s="115"/>
      <c r="K413" s="60">
        <f t="shared" si="2"/>
        <v>0</v>
      </c>
      <c r="L413" s="117"/>
    </row>
    <row r="414" ht="15.75" customHeight="1">
      <c r="A414" s="9"/>
      <c r="B414" s="164"/>
      <c r="C414" s="110"/>
      <c r="D414" s="156"/>
      <c r="E414" s="111"/>
      <c r="F414" s="112"/>
      <c r="G414" s="113"/>
      <c r="H414" s="53">
        <f t="shared" si="1"/>
        <v>0</v>
      </c>
      <c r="I414" s="115"/>
      <c r="J414" s="115"/>
      <c r="K414" s="60">
        <f t="shared" si="2"/>
        <v>0</v>
      </c>
      <c r="L414" s="117"/>
    </row>
    <row r="415" ht="15.75" customHeight="1">
      <c r="A415" s="9"/>
      <c r="B415" s="164"/>
      <c r="C415" s="110"/>
      <c r="D415" s="156"/>
      <c r="E415" s="111"/>
      <c r="F415" s="112"/>
      <c r="G415" s="113"/>
      <c r="H415" s="53">
        <f t="shared" si="1"/>
        <v>0</v>
      </c>
      <c r="I415" s="115"/>
      <c r="J415" s="115"/>
      <c r="K415" s="60">
        <f t="shared" si="2"/>
        <v>0</v>
      </c>
      <c r="L415" s="117"/>
    </row>
    <row r="416" ht="15.75" customHeight="1">
      <c r="A416" s="9"/>
      <c r="B416" s="164"/>
      <c r="C416" s="110"/>
      <c r="D416" s="156"/>
      <c r="E416" s="111"/>
      <c r="F416" s="112"/>
      <c r="G416" s="113"/>
      <c r="H416" s="53">
        <f t="shared" si="1"/>
        <v>0</v>
      </c>
      <c r="I416" s="115"/>
      <c r="J416" s="115"/>
      <c r="K416" s="60">
        <f t="shared" si="2"/>
        <v>0</v>
      </c>
      <c r="L416" s="117"/>
    </row>
    <row r="417" ht="15.75" customHeight="1">
      <c r="A417" s="9"/>
      <c r="B417" s="164"/>
      <c r="C417" s="110"/>
      <c r="D417" s="156"/>
      <c r="E417" s="111"/>
      <c r="F417" s="112"/>
      <c r="G417" s="113"/>
      <c r="H417" s="53">
        <f t="shared" si="1"/>
        <v>0</v>
      </c>
      <c r="I417" s="115"/>
      <c r="J417" s="115"/>
      <c r="K417" s="60">
        <f t="shared" si="2"/>
        <v>0</v>
      </c>
      <c r="L417" s="117"/>
    </row>
    <row r="418" ht="15.75" customHeight="1">
      <c r="A418" s="9"/>
      <c r="B418" s="164"/>
      <c r="C418" s="110"/>
      <c r="D418" s="156"/>
      <c r="E418" s="111"/>
      <c r="F418" s="112"/>
      <c r="G418" s="113"/>
      <c r="H418" s="53">
        <f t="shared" si="1"/>
        <v>0</v>
      </c>
      <c r="I418" s="115"/>
      <c r="J418" s="115"/>
      <c r="K418" s="60">
        <f t="shared" si="2"/>
        <v>0</v>
      </c>
      <c r="L418" s="117"/>
    </row>
    <row r="419" ht="15.75" customHeight="1">
      <c r="A419" s="9"/>
      <c r="B419" s="164"/>
      <c r="C419" s="110"/>
      <c r="D419" s="156"/>
      <c r="E419" s="111"/>
      <c r="F419" s="112"/>
      <c r="G419" s="113"/>
      <c r="H419" s="53">
        <f t="shared" si="1"/>
        <v>0</v>
      </c>
      <c r="I419" s="115"/>
      <c r="J419" s="115"/>
      <c r="K419" s="60">
        <f t="shared" si="2"/>
        <v>0</v>
      </c>
      <c r="L419" s="117"/>
    </row>
    <row r="420" ht="15.75" customHeight="1">
      <c r="A420" s="9"/>
      <c r="B420" s="164"/>
      <c r="C420" s="110"/>
      <c r="D420" s="156"/>
      <c r="E420" s="111"/>
      <c r="F420" s="112"/>
      <c r="G420" s="113"/>
      <c r="H420" s="53">
        <f t="shared" si="1"/>
        <v>0</v>
      </c>
      <c r="I420" s="115"/>
      <c r="J420" s="115"/>
      <c r="K420" s="60">
        <f t="shared" si="2"/>
        <v>0</v>
      </c>
      <c r="L420" s="117"/>
    </row>
    <row r="421" ht="15.75" customHeight="1">
      <c r="A421" s="9"/>
      <c r="B421" s="164"/>
      <c r="C421" s="110"/>
      <c r="D421" s="156"/>
      <c r="E421" s="111"/>
      <c r="F421" s="112"/>
      <c r="G421" s="113"/>
      <c r="H421" s="53">
        <f t="shared" si="1"/>
        <v>0</v>
      </c>
      <c r="I421" s="115"/>
      <c r="J421" s="115"/>
      <c r="K421" s="60">
        <f t="shared" si="2"/>
        <v>0</v>
      </c>
      <c r="L421" s="117"/>
    </row>
    <row r="422" ht="15.75" customHeight="1">
      <c r="A422" s="9"/>
      <c r="B422" s="164"/>
      <c r="C422" s="110"/>
      <c r="D422" s="156"/>
      <c r="E422" s="111"/>
      <c r="F422" s="112"/>
      <c r="G422" s="113"/>
      <c r="H422" s="53">
        <f t="shared" si="1"/>
        <v>0</v>
      </c>
      <c r="I422" s="115"/>
      <c r="J422" s="115"/>
      <c r="K422" s="60">
        <f t="shared" si="2"/>
        <v>0</v>
      </c>
      <c r="L422" s="117"/>
    </row>
    <row r="423" ht="15.75" customHeight="1">
      <c r="A423" s="9"/>
      <c r="B423" s="164"/>
      <c r="C423" s="110"/>
      <c r="D423" s="156"/>
      <c r="E423" s="111"/>
      <c r="F423" s="112"/>
      <c r="G423" s="113"/>
      <c r="H423" s="53">
        <f t="shared" si="1"/>
        <v>0</v>
      </c>
      <c r="I423" s="115"/>
      <c r="J423" s="115"/>
      <c r="K423" s="60">
        <f t="shared" si="2"/>
        <v>0</v>
      </c>
      <c r="L423" s="117"/>
    </row>
    <row r="424" ht="15.75" customHeight="1">
      <c r="A424" s="9"/>
      <c r="B424" s="164"/>
      <c r="C424" s="110"/>
      <c r="D424" s="156"/>
      <c r="E424" s="111"/>
      <c r="F424" s="112"/>
      <c r="G424" s="113"/>
      <c r="H424" s="53">
        <f t="shared" si="1"/>
        <v>0</v>
      </c>
      <c r="I424" s="115"/>
      <c r="J424" s="115"/>
      <c r="K424" s="60">
        <f t="shared" si="2"/>
        <v>0</v>
      </c>
      <c r="L424" s="117"/>
    </row>
    <row r="425" ht="15.75" customHeight="1">
      <c r="A425" s="9"/>
      <c r="B425" s="164"/>
      <c r="C425" s="110"/>
      <c r="D425" s="156"/>
      <c r="E425" s="111"/>
      <c r="F425" s="112"/>
      <c r="G425" s="113"/>
      <c r="H425" s="53">
        <f t="shared" si="1"/>
        <v>0</v>
      </c>
      <c r="I425" s="115"/>
      <c r="J425" s="115"/>
      <c r="K425" s="60">
        <f t="shared" si="2"/>
        <v>0</v>
      </c>
      <c r="L425" s="117"/>
    </row>
    <row r="426" ht="15.75" customHeight="1">
      <c r="A426" s="9"/>
      <c r="B426" s="164"/>
      <c r="C426" s="110"/>
      <c r="D426" s="156"/>
      <c r="E426" s="111"/>
      <c r="F426" s="112"/>
      <c r="G426" s="113"/>
      <c r="H426" s="53">
        <f t="shared" si="1"/>
        <v>0</v>
      </c>
      <c r="I426" s="115"/>
      <c r="J426" s="115"/>
      <c r="K426" s="60">
        <f t="shared" si="2"/>
        <v>0</v>
      </c>
      <c r="L426" s="117"/>
    </row>
    <row r="427" ht="15.75" customHeight="1">
      <c r="A427" s="9"/>
      <c r="B427" s="164"/>
      <c r="C427" s="110"/>
      <c r="D427" s="156"/>
      <c r="E427" s="111"/>
      <c r="F427" s="112"/>
      <c r="G427" s="113"/>
      <c r="H427" s="53">
        <f t="shared" si="1"/>
        <v>0</v>
      </c>
      <c r="I427" s="115"/>
      <c r="J427" s="115"/>
      <c r="K427" s="60">
        <f t="shared" si="2"/>
        <v>0</v>
      </c>
      <c r="L427" s="117"/>
    </row>
    <row r="428" ht="15.75" customHeight="1">
      <c r="A428" s="9"/>
      <c r="B428" s="164"/>
      <c r="C428" s="110"/>
      <c r="D428" s="156"/>
      <c r="E428" s="111"/>
      <c r="F428" s="112"/>
      <c r="G428" s="113"/>
      <c r="H428" s="53">
        <f t="shared" si="1"/>
        <v>0</v>
      </c>
      <c r="I428" s="115"/>
      <c r="J428" s="115"/>
      <c r="K428" s="60">
        <f t="shared" si="2"/>
        <v>0</v>
      </c>
      <c r="L428" s="117"/>
    </row>
    <row r="429" ht="15.75" customHeight="1">
      <c r="A429" s="9"/>
      <c r="B429" s="164"/>
      <c r="C429" s="110"/>
      <c r="D429" s="156"/>
      <c r="E429" s="111"/>
      <c r="F429" s="112"/>
      <c r="G429" s="113"/>
      <c r="H429" s="53">
        <f t="shared" si="1"/>
        <v>0</v>
      </c>
      <c r="I429" s="115"/>
      <c r="J429" s="115"/>
      <c r="K429" s="60">
        <f t="shared" si="2"/>
        <v>0</v>
      </c>
      <c r="L429" s="117"/>
    </row>
    <row r="430" ht="15.75" customHeight="1">
      <c r="A430" s="9"/>
      <c r="B430" s="164"/>
      <c r="C430" s="110"/>
      <c r="D430" s="156"/>
      <c r="E430" s="111"/>
      <c r="F430" s="112"/>
      <c r="G430" s="113"/>
      <c r="H430" s="53">
        <f t="shared" si="1"/>
        <v>0</v>
      </c>
      <c r="I430" s="115"/>
      <c r="J430" s="115"/>
      <c r="K430" s="60">
        <f t="shared" si="2"/>
        <v>0</v>
      </c>
      <c r="L430" s="117"/>
    </row>
    <row r="431" ht="15.75" customHeight="1">
      <c r="A431" s="9"/>
      <c r="B431" s="164"/>
      <c r="C431" s="110"/>
      <c r="D431" s="156"/>
      <c r="E431" s="111"/>
      <c r="F431" s="112"/>
      <c r="G431" s="113"/>
      <c r="H431" s="53">
        <f t="shared" si="1"/>
        <v>0</v>
      </c>
      <c r="I431" s="115"/>
      <c r="J431" s="115"/>
      <c r="K431" s="60">
        <f t="shared" si="2"/>
        <v>0</v>
      </c>
      <c r="L431" s="117"/>
    </row>
    <row r="432" ht="15.75" customHeight="1">
      <c r="A432" s="9"/>
      <c r="B432" s="164"/>
      <c r="C432" s="110"/>
      <c r="D432" s="156"/>
      <c r="E432" s="111"/>
      <c r="F432" s="112"/>
      <c r="G432" s="113"/>
      <c r="H432" s="53">
        <f t="shared" si="1"/>
        <v>0</v>
      </c>
      <c r="I432" s="115"/>
      <c r="J432" s="115"/>
      <c r="K432" s="60">
        <f t="shared" si="2"/>
        <v>0</v>
      </c>
      <c r="L432" s="117"/>
    </row>
    <row r="433" ht="15.75" customHeight="1">
      <c r="A433" s="9"/>
      <c r="B433" s="164"/>
      <c r="C433" s="110"/>
      <c r="D433" s="156"/>
      <c r="E433" s="111"/>
      <c r="F433" s="112"/>
      <c r="G433" s="113"/>
      <c r="H433" s="53">
        <f t="shared" si="1"/>
        <v>0</v>
      </c>
      <c r="I433" s="115"/>
      <c r="J433" s="115"/>
      <c r="K433" s="60">
        <f t="shared" si="2"/>
        <v>0</v>
      </c>
      <c r="L433" s="117"/>
    </row>
    <row r="434" ht="15.75" customHeight="1">
      <c r="A434" s="9"/>
      <c r="B434" s="164"/>
      <c r="C434" s="110"/>
      <c r="D434" s="156"/>
      <c r="E434" s="111"/>
      <c r="F434" s="112"/>
      <c r="G434" s="113"/>
      <c r="H434" s="53">
        <f t="shared" si="1"/>
        <v>0</v>
      </c>
      <c r="I434" s="115"/>
      <c r="J434" s="115"/>
      <c r="K434" s="60">
        <f t="shared" si="2"/>
        <v>0</v>
      </c>
      <c r="L434" s="117"/>
    </row>
    <row r="435" ht="15.75" customHeight="1">
      <c r="A435" s="9"/>
      <c r="B435" s="164"/>
      <c r="C435" s="110"/>
      <c r="D435" s="156"/>
      <c r="E435" s="111"/>
      <c r="F435" s="112"/>
      <c r="G435" s="113"/>
      <c r="H435" s="53">
        <f t="shared" si="1"/>
        <v>0</v>
      </c>
      <c r="I435" s="115"/>
      <c r="J435" s="115"/>
      <c r="K435" s="60">
        <f t="shared" si="2"/>
        <v>0</v>
      </c>
      <c r="L435" s="117"/>
    </row>
    <row r="436" ht="15.75" customHeight="1">
      <c r="A436" s="9"/>
      <c r="B436" s="164"/>
      <c r="C436" s="110"/>
      <c r="D436" s="156"/>
      <c r="E436" s="111"/>
      <c r="F436" s="112"/>
      <c r="G436" s="113"/>
      <c r="H436" s="53">
        <f t="shared" si="1"/>
        <v>0</v>
      </c>
      <c r="I436" s="115"/>
      <c r="J436" s="115"/>
      <c r="K436" s="60">
        <f t="shared" si="2"/>
        <v>0</v>
      </c>
      <c r="L436" s="117"/>
    </row>
    <row r="437" ht="15.75" customHeight="1">
      <c r="A437" s="9"/>
      <c r="B437" s="164"/>
      <c r="C437" s="110"/>
      <c r="D437" s="156"/>
      <c r="E437" s="111"/>
      <c r="F437" s="112"/>
      <c r="G437" s="113"/>
      <c r="H437" s="53">
        <f t="shared" si="1"/>
        <v>0</v>
      </c>
      <c r="I437" s="115"/>
      <c r="J437" s="115"/>
      <c r="K437" s="60">
        <f t="shared" si="2"/>
        <v>0</v>
      </c>
      <c r="L437" s="117"/>
    </row>
    <row r="438" ht="15.75" customHeight="1">
      <c r="A438" s="9"/>
      <c r="B438" s="164"/>
      <c r="C438" s="110"/>
      <c r="D438" s="156"/>
      <c r="E438" s="111"/>
      <c r="F438" s="112"/>
      <c r="G438" s="113"/>
      <c r="H438" s="53">
        <f t="shared" si="1"/>
        <v>0</v>
      </c>
      <c r="I438" s="115"/>
      <c r="J438" s="115"/>
      <c r="K438" s="60">
        <f t="shared" si="2"/>
        <v>0</v>
      </c>
      <c r="L438" s="117"/>
    </row>
    <row r="439" ht="15.75" customHeight="1">
      <c r="A439" s="9"/>
      <c r="B439" s="164"/>
      <c r="C439" s="110"/>
      <c r="D439" s="156"/>
      <c r="E439" s="111"/>
      <c r="F439" s="112"/>
      <c r="G439" s="113"/>
      <c r="H439" s="53">
        <f t="shared" si="1"/>
        <v>0</v>
      </c>
      <c r="I439" s="115"/>
      <c r="J439" s="115"/>
      <c r="K439" s="60">
        <f t="shared" si="2"/>
        <v>0</v>
      </c>
      <c r="L439" s="117"/>
    </row>
    <row r="440" ht="15.75" customHeight="1">
      <c r="A440" s="9"/>
      <c r="B440" s="164"/>
      <c r="C440" s="110"/>
      <c r="D440" s="156"/>
      <c r="E440" s="111"/>
      <c r="F440" s="112"/>
      <c r="G440" s="113"/>
      <c r="H440" s="53">
        <f t="shared" si="1"/>
        <v>0</v>
      </c>
      <c r="I440" s="115"/>
      <c r="J440" s="115"/>
      <c r="K440" s="60">
        <f t="shared" si="2"/>
        <v>0</v>
      </c>
      <c r="L440" s="117"/>
    </row>
    <row r="441" ht="15.75" customHeight="1">
      <c r="A441" s="9"/>
      <c r="B441" s="164"/>
      <c r="C441" s="110"/>
      <c r="D441" s="156"/>
      <c r="E441" s="111"/>
      <c r="F441" s="112"/>
      <c r="G441" s="113"/>
      <c r="H441" s="53">
        <f t="shared" si="1"/>
        <v>0</v>
      </c>
      <c r="I441" s="115"/>
      <c r="J441" s="115"/>
      <c r="K441" s="60">
        <f t="shared" si="2"/>
        <v>0</v>
      </c>
      <c r="L441" s="117"/>
    </row>
    <row r="442" ht="15.75" customHeight="1">
      <c r="A442" s="9"/>
      <c r="B442" s="164"/>
      <c r="C442" s="110"/>
      <c r="D442" s="156"/>
      <c r="E442" s="111"/>
      <c r="F442" s="112"/>
      <c r="G442" s="113"/>
      <c r="H442" s="53">
        <f t="shared" si="1"/>
        <v>0</v>
      </c>
      <c r="I442" s="115"/>
      <c r="J442" s="115"/>
      <c r="K442" s="60">
        <f t="shared" si="2"/>
        <v>0</v>
      </c>
      <c r="L442" s="117"/>
    </row>
    <row r="443" ht="15.75" customHeight="1">
      <c r="A443" s="9"/>
      <c r="B443" s="164"/>
      <c r="C443" s="110"/>
      <c r="D443" s="156"/>
      <c r="E443" s="111"/>
      <c r="F443" s="112"/>
      <c r="G443" s="113"/>
      <c r="H443" s="53">
        <f t="shared" si="1"/>
        <v>0</v>
      </c>
      <c r="I443" s="115"/>
      <c r="J443" s="115"/>
      <c r="K443" s="60">
        <f t="shared" si="2"/>
        <v>0</v>
      </c>
      <c r="L443" s="117"/>
    </row>
    <row r="444" ht="15.75" customHeight="1">
      <c r="A444" s="9"/>
      <c r="B444" s="164"/>
      <c r="C444" s="110"/>
      <c r="D444" s="156"/>
      <c r="E444" s="111"/>
      <c r="F444" s="112"/>
      <c r="G444" s="113"/>
      <c r="H444" s="53">
        <f t="shared" si="1"/>
        <v>0</v>
      </c>
      <c r="I444" s="115"/>
      <c r="J444" s="115"/>
      <c r="K444" s="60">
        <f t="shared" si="2"/>
        <v>0</v>
      </c>
      <c r="L444" s="117"/>
    </row>
    <row r="445" ht="15.75" customHeight="1">
      <c r="A445" s="9"/>
      <c r="B445" s="164"/>
      <c r="C445" s="110"/>
      <c r="D445" s="156"/>
      <c r="E445" s="111"/>
      <c r="F445" s="112"/>
      <c r="G445" s="113"/>
      <c r="H445" s="53">
        <f t="shared" si="1"/>
        <v>0</v>
      </c>
      <c r="I445" s="115"/>
      <c r="J445" s="115"/>
      <c r="K445" s="60">
        <f t="shared" si="2"/>
        <v>0</v>
      </c>
      <c r="L445" s="117"/>
    </row>
    <row r="446" ht="15.75" customHeight="1">
      <c r="A446" s="9"/>
      <c r="B446" s="164"/>
      <c r="C446" s="110"/>
      <c r="D446" s="156"/>
      <c r="E446" s="111"/>
      <c r="F446" s="112"/>
      <c r="G446" s="113"/>
      <c r="H446" s="53">
        <f t="shared" si="1"/>
        <v>0</v>
      </c>
      <c r="I446" s="115"/>
      <c r="J446" s="115"/>
      <c r="K446" s="60">
        <f t="shared" si="2"/>
        <v>0</v>
      </c>
      <c r="L446" s="117"/>
    </row>
    <row r="447" ht="15.75" customHeight="1">
      <c r="A447" s="9"/>
      <c r="B447" s="164"/>
      <c r="C447" s="110"/>
      <c r="D447" s="156"/>
      <c r="E447" s="111"/>
      <c r="F447" s="112"/>
      <c r="G447" s="113"/>
      <c r="H447" s="53">
        <f t="shared" si="1"/>
        <v>0</v>
      </c>
      <c r="I447" s="115"/>
      <c r="J447" s="115"/>
      <c r="K447" s="60">
        <f t="shared" si="2"/>
        <v>0</v>
      </c>
      <c r="L447" s="117"/>
    </row>
    <row r="448" ht="15.75" customHeight="1">
      <c r="A448" s="9"/>
      <c r="B448" s="164"/>
      <c r="C448" s="110"/>
      <c r="D448" s="156"/>
      <c r="E448" s="111"/>
      <c r="F448" s="112"/>
      <c r="G448" s="113"/>
      <c r="H448" s="53">
        <f t="shared" si="1"/>
        <v>0</v>
      </c>
      <c r="I448" s="115"/>
      <c r="J448" s="115"/>
      <c r="K448" s="60">
        <f t="shared" si="2"/>
        <v>0</v>
      </c>
      <c r="L448" s="117"/>
    </row>
    <row r="449" ht="15.75" customHeight="1">
      <c r="A449" s="9"/>
      <c r="B449" s="164"/>
      <c r="C449" s="110"/>
      <c r="D449" s="156"/>
      <c r="E449" s="111"/>
      <c r="F449" s="112"/>
      <c r="G449" s="113"/>
      <c r="H449" s="53">
        <f t="shared" si="1"/>
        <v>0</v>
      </c>
      <c r="I449" s="115"/>
      <c r="J449" s="115"/>
      <c r="K449" s="60">
        <f t="shared" si="2"/>
        <v>0</v>
      </c>
      <c r="L449" s="117"/>
    </row>
    <row r="450" ht="15.75" customHeight="1">
      <c r="A450" s="9"/>
      <c r="B450" s="164"/>
      <c r="C450" s="110"/>
      <c r="D450" s="156"/>
      <c r="E450" s="111"/>
      <c r="F450" s="112"/>
      <c r="G450" s="113"/>
      <c r="H450" s="53">
        <f t="shared" si="1"/>
        <v>0</v>
      </c>
      <c r="I450" s="115"/>
      <c r="J450" s="115"/>
      <c r="K450" s="60">
        <f t="shared" si="2"/>
        <v>0</v>
      </c>
      <c r="L450" s="117"/>
    </row>
    <row r="451" ht="15.75" customHeight="1">
      <c r="A451" s="9"/>
      <c r="B451" s="164"/>
      <c r="C451" s="110"/>
      <c r="D451" s="156"/>
      <c r="E451" s="111"/>
      <c r="F451" s="112"/>
      <c r="G451" s="113"/>
      <c r="H451" s="53">
        <f t="shared" si="1"/>
        <v>0</v>
      </c>
      <c r="I451" s="115"/>
      <c r="J451" s="115"/>
      <c r="K451" s="60">
        <f t="shared" si="2"/>
        <v>0</v>
      </c>
      <c r="L451" s="117"/>
    </row>
    <row r="452" ht="15.75" customHeight="1">
      <c r="A452" s="9"/>
      <c r="B452" s="164"/>
      <c r="C452" s="110"/>
      <c r="D452" s="156"/>
      <c r="E452" s="111"/>
      <c r="F452" s="112"/>
      <c r="G452" s="113"/>
      <c r="H452" s="53">
        <f t="shared" si="1"/>
        <v>0</v>
      </c>
      <c r="I452" s="115"/>
      <c r="J452" s="115"/>
      <c r="K452" s="60">
        <f t="shared" si="2"/>
        <v>0</v>
      </c>
      <c r="L452" s="117"/>
    </row>
    <row r="453" ht="15.75" customHeight="1">
      <c r="A453" s="9"/>
      <c r="B453" s="164"/>
      <c r="C453" s="110"/>
      <c r="D453" s="156"/>
      <c r="E453" s="111"/>
      <c r="F453" s="112"/>
      <c r="G453" s="113"/>
      <c r="H453" s="53">
        <f t="shared" si="1"/>
        <v>0</v>
      </c>
      <c r="I453" s="115"/>
      <c r="J453" s="115"/>
      <c r="K453" s="60">
        <f t="shared" si="2"/>
        <v>0</v>
      </c>
      <c r="L453" s="117"/>
    </row>
    <row r="454" ht="15.75" customHeight="1">
      <c r="A454" s="9"/>
      <c r="B454" s="164"/>
      <c r="C454" s="110"/>
      <c r="D454" s="156"/>
      <c r="E454" s="111"/>
      <c r="F454" s="112"/>
      <c r="G454" s="113"/>
      <c r="H454" s="53">
        <f t="shared" si="1"/>
        <v>0</v>
      </c>
      <c r="I454" s="115"/>
      <c r="J454" s="115"/>
      <c r="K454" s="60">
        <f t="shared" si="2"/>
        <v>0</v>
      </c>
      <c r="L454" s="117"/>
    </row>
    <row r="455" ht="15.75" customHeight="1">
      <c r="A455" s="9"/>
      <c r="B455" s="164"/>
      <c r="C455" s="110"/>
      <c r="D455" s="156"/>
      <c r="E455" s="111"/>
      <c r="F455" s="112"/>
      <c r="G455" s="113"/>
      <c r="H455" s="53">
        <f t="shared" si="1"/>
        <v>0</v>
      </c>
      <c r="I455" s="115"/>
      <c r="J455" s="115"/>
      <c r="K455" s="60">
        <f t="shared" si="2"/>
        <v>0</v>
      </c>
      <c r="L455" s="117"/>
    </row>
    <row r="456" ht="15.75" customHeight="1">
      <c r="A456" s="9"/>
      <c r="B456" s="164"/>
      <c r="C456" s="110"/>
      <c r="D456" s="156"/>
      <c r="E456" s="111"/>
      <c r="F456" s="112"/>
      <c r="G456" s="113"/>
      <c r="H456" s="53">
        <f t="shared" si="1"/>
        <v>0</v>
      </c>
      <c r="I456" s="115"/>
      <c r="J456" s="115"/>
      <c r="K456" s="60">
        <f t="shared" si="2"/>
        <v>0</v>
      </c>
      <c r="L456" s="117"/>
    </row>
    <row r="457" ht="15.75" customHeight="1">
      <c r="A457" s="9"/>
      <c r="B457" s="164"/>
      <c r="C457" s="110"/>
      <c r="D457" s="156"/>
      <c r="E457" s="111"/>
      <c r="F457" s="112"/>
      <c r="G457" s="113"/>
      <c r="H457" s="53">
        <f t="shared" si="1"/>
        <v>0</v>
      </c>
      <c r="I457" s="115"/>
      <c r="J457" s="115"/>
      <c r="K457" s="60">
        <f t="shared" si="2"/>
        <v>0</v>
      </c>
      <c r="L457" s="117"/>
    </row>
    <row r="458" ht="15.75" customHeight="1">
      <c r="A458" s="9"/>
      <c r="B458" s="164"/>
      <c r="C458" s="110"/>
      <c r="D458" s="156"/>
      <c r="E458" s="111"/>
      <c r="F458" s="112"/>
      <c r="G458" s="113"/>
      <c r="H458" s="53">
        <f t="shared" si="1"/>
        <v>0</v>
      </c>
      <c r="I458" s="115"/>
      <c r="J458" s="115"/>
      <c r="K458" s="60">
        <f t="shared" si="2"/>
        <v>0</v>
      </c>
      <c r="L458" s="117"/>
    </row>
    <row r="459" ht="15.75" customHeight="1">
      <c r="A459" s="9"/>
      <c r="B459" s="164"/>
      <c r="C459" s="110"/>
      <c r="D459" s="156"/>
      <c r="E459" s="111"/>
      <c r="F459" s="112"/>
      <c r="G459" s="113"/>
      <c r="H459" s="53">
        <f t="shared" si="1"/>
        <v>0</v>
      </c>
      <c r="I459" s="115"/>
      <c r="J459" s="115"/>
      <c r="K459" s="60">
        <f t="shared" si="2"/>
        <v>0</v>
      </c>
      <c r="L459" s="117"/>
    </row>
    <row r="460" ht="15.75" customHeight="1">
      <c r="A460" s="9"/>
      <c r="B460" s="164"/>
      <c r="C460" s="110"/>
      <c r="D460" s="156"/>
      <c r="E460" s="111"/>
      <c r="F460" s="112"/>
      <c r="G460" s="113"/>
      <c r="H460" s="53">
        <f t="shared" si="1"/>
        <v>0</v>
      </c>
      <c r="I460" s="115"/>
      <c r="J460" s="115"/>
      <c r="K460" s="60">
        <f t="shared" si="2"/>
        <v>0</v>
      </c>
      <c r="L460" s="117"/>
    </row>
    <row r="461" ht="15.75" customHeight="1">
      <c r="A461" s="9"/>
      <c r="B461" s="164"/>
      <c r="C461" s="110"/>
      <c r="D461" s="156"/>
      <c r="E461" s="111"/>
      <c r="F461" s="112"/>
      <c r="G461" s="113"/>
      <c r="H461" s="53">
        <f t="shared" si="1"/>
        <v>0</v>
      </c>
      <c r="I461" s="115"/>
      <c r="J461" s="115"/>
      <c r="K461" s="60">
        <f t="shared" si="2"/>
        <v>0</v>
      </c>
      <c r="L461" s="117"/>
    </row>
    <row r="462" ht="15.75" customHeight="1">
      <c r="A462" s="9"/>
      <c r="B462" s="164"/>
      <c r="C462" s="110"/>
      <c r="D462" s="156"/>
      <c r="E462" s="111"/>
      <c r="F462" s="112"/>
      <c r="G462" s="113"/>
      <c r="H462" s="53">
        <f t="shared" si="1"/>
        <v>0</v>
      </c>
      <c r="I462" s="115"/>
      <c r="J462" s="115"/>
      <c r="K462" s="60">
        <f t="shared" si="2"/>
        <v>0</v>
      </c>
      <c r="L462" s="117"/>
    </row>
    <row r="463" ht="15.75" customHeight="1">
      <c r="A463" s="9"/>
      <c r="B463" s="164"/>
      <c r="C463" s="110"/>
      <c r="D463" s="156"/>
      <c r="E463" s="111"/>
      <c r="F463" s="112"/>
      <c r="G463" s="113"/>
      <c r="H463" s="53">
        <f t="shared" si="1"/>
        <v>0</v>
      </c>
      <c r="I463" s="115"/>
      <c r="J463" s="115"/>
      <c r="K463" s="60">
        <f t="shared" si="2"/>
        <v>0</v>
      </c>
      <c r="L463" s="117"/>
    </row>
    <row r="464" ht="15.75" customHeight="1">
      <c r="A464" s="9"/>
      <c r="B464" s="164"/>
      <c r="C464" s="110"/>
      <c r="D464" s="156"/>
      <c r="E464" s="111"/>
      <c r="F464" s="112"/>
      <c r="G464" s="113"/>
      <c r="H464" s="53">
        <f t="shared" si="1"/>
        <v>0</v>
      </c>
      <c r="I464" s="115"/>
      <c r="J464" s="115"/>
      <c r="K464" s="60">
        <f t="shared" si="2"/>
        <v>0</v>
      </c>
      <c r="L464" s="117"/>
    </row>
    <row r="465" ht="15.75" customHeight="1">
      <c r="A465" s="9"/>
      <c r="B465" s="164"/>
      <c r="C465" s="110"/>
      <c r="D465" s="156"/>
      <c r="E465" s="111"/>
      <c r="F465" s="112"/>
      <c r="G465" s="113"/>
      <c r="H465" s="53">
        <f t="shared" si="1"/>
        <v>0</v>
      </c>
      <c r="I465" s="115"/>
      <c r="J465" s="115"/>
      <c r="K465" s="60">
        <f t="shared" si="2"/>
        <v>0</v>
      </c>
      <c r="L465" s="117"/>
    </row>
    <row r="466" ht="15.75" customHeight="1">
      <c r="A466" s="9"/>
      <c r="B466" s="164"/>
      <c r="C466" s="110"/>
      <c r="D466" s="156"/>
      <c r="E466" s="111"/>
      <c r="F466" s="112"/>
      <c r="G466" s="113"/>
      <c r="H466" s="53">
        <f t="shared" si="1"/>
        <v>0</v>
      </c>
      <c r="I466" s="115"/>
      <c r="J466" s="115"/>
      <c r="K466" s="60">
        <f t="shared" si="2"/>
        <v>0</v>
      </c>
      <c r="L466" s="117"/>
    </row>
    <row r="467" ht="15.75" customHeight="1">
      <c r="A467" s="9"/>
      <c r="B467" s="164"/>
      <c r="C467" s="110"/>
      <c r="D467" s="156"/>
      <c r="E467" s="111"/>
      <c r="F467" s="112"/>
      <c r="G467" s="113"/>
      <c r="H467" s="53">
        <f t="shared" si="1"/>
        <v>0</v>
      </c>
      <c r="I467" s="115"/>
      <c r="J467" s="115"/>
      <c r="K467" s="60">
        <f t="shared" si="2"/>
        <v>0</v>
      </c>
      <c r="L467" s="117"/>
    </row>
    <row r="468" ht="15.75" customHeight="1">
      <c r="A468" s="9"/>
      <c r="B468" s="164"/>
      <c r="C468" s="110"/>
      <c r="D468" s="156"/>
      <c r="E468" s="111"/>
      <c r="F468" s="112"/>
      <c r="G468" s="113"/>
      <c r="H468" s="53">
        <f t="shared" si="1"/>
        <v>0</v>
      </c>
      <c r="I468" s="115"/>
      <c r="J468" s="115"/>
      <c r="K468" s="60">
        <f t="shared" si="2"/>
        <v>0</v>
      </c>
      <c r="L468" s="117"/>
    </row>
    <row r="469" ht="15.75" customHeight="1">
      <c r="A469" s="9"/>
      <c r="B469" s="164"/>
      <c r="C469" s="110"/>
      <c r="D469" s="156"/>
      <c r="E469" s="111"/>
      <c r="F469" s="112"/>
      <c r="G469" s="113"/>
      <c r="H469" s="53">
        <f t="shared" si="1"/>
        <v>0</v>
      </c>
      <c r="I469" s="115"/>
      <c r="J469" s="115"/>
      <c r="K469" s="60">
        <f t="shared" si="2"/>
        <v>0</v>
      </c>
      <c r="L469" s="117"/>
    </row>
    <row r="470" ht="15.75" customHeight="1">
      <c r="A470" s="9"/>
      <c r="B470" s="164"/>
      <c r="C470" s="110"/>
      <c r="D470" s="156"/>
      <c r="E470" s="111"/>
      <c r="F470" s="112"/>
      <c r="G470" s="113"/>
      <c r="H470" s="53">
        <f t="shared" si="1"/>
        <v>0</v>
      </c>
      <c r="I470" s="115"/>
      <c r="J470" s="115"/>
      <c r="K470" s="60">
        <f t="shared" si="2"/>
        <v>0</v>
      </c>
      <c r="L470" s="117"/>
    </row>
    <row r="471" ht="15.75" customHeight="1">
      <c r="A471" s="9"/>
      <c r="B471" s="164"/>
      <c r="C471" s="110"/>
      <c r="D471" s="156"/>
      <c r="E471" s="111"/>
      <c r="F471" s="112"/>
      <c r="G471" s="113"/>
      <c r="H471" s="53">
        <f t="shared" si="1"/>
        <v>0</v>
      </c>
      <c r="I471" s="115"/>
      <c r="J471" s="115"/>
      <c r="K471" s="60">
        <f t="shared" si="2"/>
        <v>0</v>
      </c>
      <c r="L471" s="117"/>
    </row>
    <row r="472" ht="15.75" customHeight="1">
      <c r="A472" s="9"/>
      <c r="B472" s="164"/>
      <c r="C472" s="110"/>
      <c r="D472" s="156"/>
      <c r="E472" s="111"/>
      <c r="F472" s="112"/>
      <c r="G472" s="113"/>
      <c r="H472" s="53">
        <f t="shared" si="1"/>
        <v>0</v>
      </c>
      <c r="I472" s="115"/>
      <c r="J472" s="115"/>
      <c r="K472" s="60">
        <f t="shared" si="2"/>
        <v>0</v>
      </c>
      <c r="L472" s="117"/>
    </row>
    <row r="473" ht="15.75" customHeight="1">
      <c r="A473" s="9"/>
      <c r="B473" s="164"/>
      <c r="C473" s="110"/>
      <c r="D473" s="156"/>
      <c r="E473" s="111"/>
      <c r="F473" s="112"/>
      <c r="G473" s="113"/>
      <c r="H473" s="53">
        <f t="shared" si="1"/>
        <v>0</v>
      </c>
      <c r="I473" s="115"/>
      <c r="J473" s="115"/>
      <c r="K473" s="60">
        <f t="shared" si="2"/>
        <v>0</v>
      </c>
      <c r="L473" s="117"/>
    </row>
    <row r="474" ht="15.75" customHeight="1">
      <c r="A474" s="9"/>
      <c r="B474" s="164"/>
      <c r="C474" s="110"/>
      <c r="D474" s="156"/>
      <c r="E474" s="111"/>
      <c r="F474" s="112"/>
      <c r="G474" s="113"/>
      <c r="H474" s="53">
        <f t="shared" si="1"/>
        <v>0</v>
      </c>
      <c r="I474" s="115"/>
      <c r="J474" s="115"/>
      <c r="K474" s="60">
        <f t="shared" si="2"/>
        <v>0</v>
      </c>
      <c r="L474" s="117"/>
    </row>
    <row r="475" ht="15.75" customHeight="1">
      <c r="A475" s="9"/>
      <c r="B475" s="164"/>
      <c r="C475" s="110"/>
      <c r="D475" s="156"/>
      <c r="E475" s="111"/>
      <c r="F475" s="112"/>
      <c r="G475" s="113"/>
      <c r="H475" s="53">
        <f t="shared" si="1"/>
        <v>0</v>
      </c>
      <c r="I475" s="115"/>
      <c r="J475" s="115"/>
      <c r="K475" s="60">
        <f t="shared" si="2"/>
        <v>0</v>
      </c>
      <c r="L475" s="117"/>
    </row>
    <row r="476" ht="15.75" customHeight="1">
      <c r="A476" s="9"/>
      <c r="B476" s="164"/>
      <c r="C476" s="110"/>
      <c r="D476" s="156"/>
      <c r="E476" s="111"/>
      <c r="F476" s="112"/>
      <c r="G476" s="113"/>
      <c r="H476" s="53">
        <f t="shared" si="1"/>
        <v>0</v>
      </c>
      <c r="I476" s="115"/>
      <c r="J476" s="115"/>
      <c r="K476" s="60">
        <f t="shared" si="2"/>
        <v>0</v>
      </c>
      <c r="L476" s="117"/>
    </row>
    <row r="477" ht="15.75" customHeight="1">
      <c r="A477" s="9"/>
      <c r="B477" s="164"/>
      <c r="C477" s="110"/>
      <c r="D477" s="156"/>
      <c r="E477" s="111"/>
      <c r="F477" s="112"/>
      <c r="G477" s="113"/>
      <c r="H477" s="53">
        <f t="shared" si="1"/>
        <v>0</v>
      </c>
      <c r="I477" s="115"/>
      <c r="J477" s="115"/>
      <c r="K477" s="60">
        <f t="shared" si="2"/>
        <v>0</v>
      </c>
      <c r="L477" s="117"/>
    </row>
    <row r="478" ht="15.75" customHeight="1">
      <c r="A478" s="9"/>
      <c r="B478" s="164"/>
      <c r="C478" s="110"/>
      <c r="D478" s="156"/>
      <c r="E478" s="111"/>
      <c r="F478" s="112"/>
      <c r="G478" s="113"/>
      <c r="H478" s="53">
        <f t="shared" si="1"/>
        <v>0</v>
      </c>
      <c r="I478" s="115"/>
      <c r="J478" s="115"/>
      <c r="K478" s="60">
        <f t="shared" si="2"/>
        <v>0</v>
      </c>
      <c r="L478" s="117"/>
    </row>
    <row r="479" ht="15.75" customHeight="1">
      <c r="A479" s="9"/>
      <c r="B479" s="164"/>
      <c r="C479" s="110"/>
      <c r="D479" s="156"/>
      <c r="E479" s="111"/>
      <c r="F479" s="112"/>
      <c r="G479" s="113"/>
      <c r="H479" s="53">
        <f t="shared" si="1"/>
        <v>0</v>
      </c>
      <c r="I479" s="115"/>
      <c r="J479" s="115"/>
      <c r="K479" s="60">
        <f t="shared" si="2"/>
        <v>0</v>
      </c>
      <c r="L479" s="117"/>
    </row>
    <row r="480" ht="15.75" customHeight="1">
      <c r="A480" s="9"/>
      <c r="B480" s="164"/>
      <c r="C480" s="110"/>
      <c r="D480" s="156"/>
      <c r="E480" s="111"/>
      <c r="F480" s="112"/>
      <c r="G480" s="113"/>
      <c r="H480" s="53">
        <f t="shared" si="1"/>
        <v>0</v>
      </c>
      <c r="I480" s="115"/>
      <c r="J480" s="115"/>
      <c r="K480" s="60">
        <f t="shared" si="2"/>
        <v>0</v>
      </c>
      <c r="L480" s="117"/>
    </row>
    <row r="481" ht="15.75" customHeight="1">
      <c r="A481" s="9"/>
      <c r="B481" s="164"/>
      <c r="C481" s="110"/>
      <c r="D481" s="156"/>
      <c r="E481" s="111"/>
      <c r="F481" s="112"/>
      <c r="G481" s="113"/>
      <c r="H481" s="53">
        <f t="shared" si="1"/>
        <v>0</v>
      </c>
      <c r="I481" s="115"/>
      <c r="J481" s="115"/>
      <c r="K481" s="60">
        <f t="shared" si="2"/>
        <v>0</v>
      </c>
      <c r="L481" s="117"/>
    </row>
    <row r="482" ht="15.75" customHeight="1">
      <c r="A482" s="9"/>
      <c r="B482" s="164"/>
      <c r="C482" s="110"/>
      <c r="D482" s="156"/>
      <c r="E482" s="111"/>
      <c r="F482" s="112"/>
      <c r="G482" s="113"/>
      <c r="H482" s="53">
        <f t="shared" si="1"/>
        <v>0</v>
      </c>
      <c r="I482" s="115"/>
      <c r="J482" s="115"/>
      <c r="K482" s="60">
        <f t="shared" si="2"/>
        <v>0</v>
      </c>
      <c r="L482" s="117"/>
    </row>
    <row r="483" ht="15.75" customHeight="1">
      <c r="A483" s="9"/>
      <c r="B483" s="164"/>
      <c r="C483" s="110"/>
      <c r="D483" s="156"/>
      <c r="E483" s="111"/>
      <c r="F483" s="112"/>
      <c r="G483" s="113"/>
      <c r="H483" s="53">
        <f t="shared" si="1"/>
        <v>0</v>
      </c>
      <c r="I483" s="115"/>
      <c r="J483" s="115"/>
      <c r="K483" s="60">
        <f t="shared" si="2"/>
        <v>0</v>
      </c>
      <c r="L483" s="117"/>
    </row>
    <row r="484" ht="15.75" customHeight="1">
      <c r="A484" s="9"/>
      <c r="B484" s="164"/>
      <c r="C484" s="110"/>
      <c r="D484" s="156"/>
      <c r="E484" s="111"/>
      <c r="F484" s="112"/>
      <c r="G484" s="113"/>
      <c r="H484" s="53">
        <f t="shared" si="1"/>
        <v>0</v>
      </c>
      <c r="I484" s="115"/>
      <c r="J484" s="115"/>
      <c r="K484" s="60">
        <f t="shared" si="2"/>
        <v>0</v>
      </c>
      <c r="L484" s="117"/>
    </row>
    <row r="485" ht="15.75" customHeight="1">
      <c r="A485" s="9"/>
      <c r="B485" s="164"/>
      <c r="C485" s="110"/>
      <c r="D485" s="156"/>
      <c r="E485" s="111"/>
      <c r="F485" s="112"/>
      <c r="G485" s="113"/>
      <c r="H485" s="53">
        <f t="shared" si="1"/>
        <v>0</v>
      </c>
      <c r="I485" s="115"/>
      <c r="J485" s="115"/>
      <c r="K485" s="60">
        <f t="shared" si="2"/>
        <v>0</v>
      </c>
      <c r="L485" s="117"/>
    </row>
    <row r="486" ht="15.75" customHeight="1">
      <c r="A486" s="9"/>
      <c r="B486" s="164"/>
      <c r="C486" s="110"/>
      <c r="D486" s="156"/>
      <c r="E486" s="111"/>
      <c r="F486" s="112"/>
      <c r="G486" s="113"/>
      <c r="H486" s="53">
        <f t="shared" si="1"/>
        <v>0</v>
      </c>
      <c r="I486" s="115"/>
      <c r="J486" s="115"/>
      <c r="K486" s="60">
        <f t="shared" si="2"/>
        <v>0</v>
      </c>
      <c r="L486" s="117"/>
    </row>
    <row r="487" ht="15.75" customHeight="1">
      <c r="A487" s="9"/>
      <c r="B487" s="164"/>
      <c r="C487" s="110"/>
      <c r="D487" s="156"/>
      <c r="E487" s="111"/>
      <c r="F487" s="112"/>
      <c r="G487" s="113"/>
      <c r="H487" s="53">
        <f t="shared" si="1"/>
        <v>0</v>
      </c>
      <c r="I487" s="115"/>
      <c r="J487" s="115"/>
      <c r="K487" s="60">
        <f t="shared" si="2"/>
        <v>0</v>
      </c>
      <c r="L487" s="117"/>
    </row>
    <row r="488" ht="15.75" customHeight="1">
      <c r="A488" s="9"/>
      <c r="B488" s="164"/>
      <c r="C488" s="110"/>
      <c r="D488" s="156"/>
      <c r="E488" s="111"/>
      <c r="F488" s="112"/>
      <c r="G488" s="113"/>
      <c r="H488" s="53">
        <f t="shared" si="1"/>
        <v>0</v>
      </c>
      <c r="I488" s="115"/>
      <c r="J488" s="115"/>
      <c r="K488" s="60">
        <f t="shared" si="2"/>
        <v>0</v>
      </c>
      <c r="L488" s="117"/>
    </row>
    <row r="489" ht="15.75" customHeight="1">
      <c r="A489" s="9"/>
      <c r="B489" s="164"/>
      <c r="C489" s="110"/>
      <c r="D489" s="156"/>
      <c r="E489" s="111"/>
      <c r="F489" s="112"/>
      <c r="G489" s="113"/>
      <c r="H489" s="53">
        <f t="shared" si="1"/>
        <v>0</v>
      </c>
      <c r="I489" s="115"/>
      <c r="J489" s="115"/>
      <c r="K489" s="60">
        <f t="shared" si="2"/>
        <v>0</v>
      </c>
      <c r="L489" s="117"/>
    </row>
    <row r="490" ht="15.75" customHeight="1">
      <c r="A490" s="9"/>
      <c r="B490" s="164"/>
      <c r="C490" s="110"/>
      <c r="D490" s="156"/>
      <c r="E490" s="111"/>
      <c r="F490" s="112"/>
      <c r="G490" s="113"/>
      <c r="H490" s="53">
        <f t="shared" si="1"/>
        <v>0</v>
      </c>
      <c r="I490" s="115"/>
      <c r="J490" s="115"/>
      <c r="K490" s="60">
        <f t="shared" si="2"/>
        <v>0</v>
      </c>
      <c r="L490" s="117"/>
    </row>
    <row r="491" ht="15.75" customHeight="1">
      <c r="A491" s="9"/>
      <c r="B491" s="164"/>
      <c r="C491" s="110"/>
      <c r="D491" s="156"/>
      <c r="E491" s="111"/>
      <c r="F491" s="112"/>
      <c r="G491" s="113"/>
      <c r="H491" s="53">
        <f t="shared" si="1"/>
        <v>0</v>
      </c>
      <c r="I491" s="115"/>
      <c r="J491" s="115"/>
      <c r="K491" s="60">
        <f t="shared" si="2"/>
        <v>0</v>
      </c>
      <c r="L491" s="117"/>
    </row>
    <row r="492" ht="15.75" customHeight="1">
      <c r="A492" s="9"/>
      <c r="B492" s="164"/>
      <c r="C492" s="110"/>
      <c r="D492" s="156"/>
      <c r="E492" s="111"/>
      <c r="F492" s="112"/>
      <c r="G492" s="113"/>
      <c r="H492" s="53">
        <f t="shared" si="1"/>
        <v>0</v>
      </c>
      <c r="I492" s="115"/>
      <c r="J492" s="115"/>
      <c r="K492" s="60">
        <f t="shared" si="2"/>
        <v>0</v>
      </c>
      <c r="L492" s="117"/>
    </row>
    <row r="493" ht="15.75" customHeight="1">
      <c r="A493" s="9"/>
      <c r="B493" s="164"/>
      <c r="C493" s="110"/>
      <c r="D493" s="156"/>
      <c r="E493" s="111"/>
      <c r="F493" s="112"/>
      <c r="G493" s="113"/>
      <c r="H493" s="53">
        <f t="shared" si="1"/>
        <v>0</v>
      </c>
      <c r="I493" s="115"/>
      <c r="J493" s="115"/>
      <c r="K493" s="60">
        <f t="shared" si="2"/>
        <v>0</v>
      </c>
      <c r="L493" s="117"/>
    </row>
    <row r="494" ht="15.75" customHeight="1">
      <c r="A494" s="9"/>
      <c r="B494" s="164"/>
      <c r="C494" s="110"/>
      <c r="D494" s="156"/>
      <c r="E494" s="111"/>
      <c r="F494" s="112"/>
      <c r="G494" s="113"/>
      <c r="H494" s="53">
        <f t="shared" si="1"/>
        <v>0</v>
      </c>
      <c r="I494" s="115"/>
      <c r="J494" s="115"/>
      <c r="K494" s="60">
        <f t="shared" si="2"/>
        <v>0</v>
      </c>
      <c r="L494" s="117"/>
    </row>
    <row r="495" ht="15.75" customHeight="1">
      <c r="A495" s="9"/>
      <c r="B495" s="164"/>
      <c r="C495" s="110"/>
      <c r="D495" s="156"/>
      <c r="E495" s="111"/>
      <c r="F495" s="112"/>
      <c r="G495" s="113"/>
      <c r="H495" s="53">
        <f t="shared" si="1"/>
        <v>0</v>
      </c>
      <c r="I495" s="115"/>
      <c r="J495" s="115"/>
      <c r="K495" s="60">
        <f t="shared" si="2"/>
        <v>0</v>
      </c>
      <c r="L495" s="117"/>
    </row>
    <row r="496" ht="15.75" customHeight="1">
      <c r="A496" s="9"/>
      <c r="B496" s="164"/>
      <c r="C496" s="110"/>
      <c r="D496" s="156"/>
      <c r="E496" s="111"/>
      <c r="F496" s="112"/>
      <c r="G496" s="113"/>
      <c r="H496" s="53">
        <f t="shared" si="1"/>
        <v>0</v>
      </c>
      <c r="I496" s="115"/>
      <c r="J496" s="115"/>
      <c r="K496" s="60">
        <f t="shared" si="2"/>
        <v>0</v>
      </c>
      <c r="L496" s="117"/>
    </row>
    <row r="497" ht="15.75" customHeight="1">
      <c r="A497" s="9"/>
      <c r="B497" s="164"/>
      <c r="C497" s="110"/>
      <c r="D497" s="156"/>
      <c r="E497" s="111"/>
      <c r="F497" s="112"/>
      <c r="G497" s="113"/>
      <c r="H497" s="53">
        <f t="shared" si="1"/>
        <v>0</v>
      </c>
      <c r="I497" s="115"/>
      <c r="J497" s="115"/>
      <c r="K497" s="60">
        <f t="shared" si="2"/>
        <v>0</v>
      </c>
      <c r="L497" s="117"/>
    </row>
    <row r="498" ht="15.75" customHeight="1">
      <c r="A498" s="9"/>
      <c r="B498" s="164"/>
      <c r="C498" s="110"/>
      <c r="D498" s="156"/>
      <c r="E498" s="111"/>
      <c r="F498" s="112"/>
      <c r="G498" s="113"/>
      <c r="H498" s="53">
        <f t="shared" si="1"/>
        <v>0</v>
      </c>
      <c r="I498" s="115"/>
      <c r="J498" s="115"/>
      <c r="K498" s="60">
        <f t="shared" si="2"/>
        <v>0</v>
      </c>
      <c r="L498" s="117"/>
    </row>
    <row r="499" ht="15.75" customHeight="1">
      <c r="A499" s="9"/>
      <c r="B499" s="164"/>
      <c r="C499" s="110"/>
      <c r="D499" s="156"/>
      <c r="E499" s="111"/>
      <c r="F499" s="112"/>
      <c r="G499" s="113"/>
      <c r="H499" s="53">
        <f t="shared" si="1"/>
        <v>0</v>
      </c>
      <c r="I499" s="115"/>
      <c r="J499" s="115"/>
      <c r="K499" s="60">
        <f t="shared" si="2"/>
        <v>0</v>
      </c>
      <c r="L499" s="117"/>
    </row>
    <row r="500" ht="15.75" customHeight="1">
      <c r="A500" s="9"/>
      <c r="B500" s="164"/>
      <c r="C500" s="110"/>
      <c r="D500" s="156"/>
      <c r="E500" s="111"/>
      <c r="F500" s="112"/>
      <c r="G500" s="113"/>
      <c r="H500" s="53">
        <f t="shared" si="1"/>
        <v>0</v>
      </c>
      <c r="I500" s="115"/>
      <c r="J500" s="115"/>
      <c r="K500" s="60">
        <f t="shared" si="2"/>
        <v>0</v>
      </c>
      <c r="L500" s="117"/>
    </row>
    <row r="501" ht="15.75" customHeight="1">
      <c r="A501" s="9"/>
      <c r="B501" s="164"/>
      <c r="C501" s="110"/>
      <c r="D501" s="156"/>
      <c r="E501" s="111"/>
      <c r="F501" s="112"/>
      <c r="G501" s="113"/>
      <c r="H501" s="53">
        <f t="shared" si="1"/>
        <v>0</v>
      </c>
      <c r="I501" s="115"/>
      <c r="J501" s="115"/>
      <c r="K501" s="60">
        <f t="shared" si="2"/>
        <v>0</v>
      </c>
      <c r="L501" s="117"/>
    </row>
    <row r="502" ht="15.75" customHeight="1">
      <c r="A502" s="9"/>
      <c r="B502" s="164"/>
      <c r="C502" s="110"/>
      <c r="D502" s="156"/>
      <c r="E502" s="111"/>
      <c r="F502" s="112"/>
      <c r="G502" s="113"/>
      <c r="H502" s="53">
        <f t="shared" si="1"/>
        <v>0</v>
      </c>
      <c r="I502" s="115"/>
      <c r="J502" s="115"/>
      <c r="K502" s="60">
        <f t="shared" si="2"/>
        <v>0</v>
      </c>
      <c r="L502" s="117"/>
    </row>
    <row r="503" ht="15.75" customHeight="1">
      <c r="A503" s="9"/>
      <c r="B503" s="164"/>
      <c r="C503" s="110"/>
      <c r="D503" s="156"/>
      <c r="E503" s="111"/>
      <c r="F503" s="112"/>
      <c r="G503" s="113"/>
      <c r="H503" s="53">
        <f t="shared" si="1"/>
        <v>0</v>
      </c>
      <c r="I503" s="115"/>
      <c r="J503" s="115"/>
      <c r="K503" s="60">
        <f t="shared" si="2"/>
        <v>0</v>
      </c>
      <c r="L503" s="117"/>
    </row>
    <row r="504" ht="15.75" customHeight="1">
      <c r="A504" s="9"/>
      <c r="B504" s="164"/>
      <c r="C504" s="110"/>
      <c r="D504" s="156"/>
      <c r="E504" s="111"/>
      <c r="F504" s="112"/>
      <c r="G504" s="113"/>
      <c r="H504" s="53">
        <f t="shared" si="1"/>
        <v>0</v>
      </c>
      <c r="I504" s="115"/>
      <c r="J504" s="115"/>
      <c r="K504" s="60">
        <f t="shared" si="2"/>
        <v>0</v>
      </c>
      <c r="L504" s="117"/>
    </row>
    <row r="505" ht="15.75" customHeight="1">
      <c r="A505" s="9"/>
      <c r="B505" s="164"/>
      <c r="C505" s="110"/>
      <c r="D505" s="156"/>
      <c r="E505" s="111"/>
      <c r="F505" s="112"/>
      <c r="G505" s="113"/>
      <c r="H505" s="53">
        <f t="shared" si="1"/>
        <v>0</v>
      </c>
      <c r="I505" s="115"/>
      <c r="J505" s="115"/>
      <c r="K505" s="60">
        <f t="shared" si="2"/>
        <v>0</v>
      </c>
      <c r="L505" s="117"/>
    </row>
    <row r="506" ht="15.75" customHeight="1">
      <c r="A506" s="9"/>
      <c r="B506" s="164"/>
      <c r="C506" s="110"/>
      <c r="D506" s="156"/>
      <c r="E506" s="111"/>
      <c r="F506" s="112"/>
      <c r="G506" s="113"/>
      <c r="H506" s="53">
        <f t="shared" si="1"/>
        <v>0</v>
      </c>
      <c r="I506" s="115"/>
      <c r="J506" s="115"/>
      <c r="K506" s="60">
        <f t="shared" si="2"/>
        <v>0</v>
      </c>
      <c r="L506" s="117"/>
    </row>
    <row r="507" ht="15.75" customHeight="1">
      <c r="A507" s="9"/>
      <c r="B507" s="164"/>
      <c r="C507" s="110"/>
      <c r="D507" s="156"/>
      <c r="E507" s="111"/>
      <c r="F507" s="112"/>
      <c r="G507" s="113"/>
      <c r="H507" s="53">
        <f t="shared" si="1"/>
        <v>0</v>
      </c>
      <c r="I507" s="115"/>
      <c r="J507" s="115"/>
      <c r="K507" s="60">
        <f t="shared" si="2"/>
        <v>0</v>
      </c>
      <c r="L507" s="117"/>
    </row>
    <row r="508" ht="15.75" customHeight="1">
      <c r="A508" s="9"/>
      <c r="B508" s="164"/>
      <c r="C508" s="110"/>
      <c r="D508" s="156"/>
      <c r="E508" s="111"/>
      <c r="F508" s="112"/>
      <c r="G508" s="113"/>
      <c r="H508" s="53">
        <f t="shared" si="1"/>
        <v>0</v>
      </c>
      <c r="I508" s="115"/>
      <c r="J508" s="115"/>
      <c r="K508" s="60">
        <f t="shared" si="2"/>
        <v>0</v>
      </c>
      <c r="L508" s="117"/>
    </row>
    <row r="509" ht="15.75" customHeight="1">
      <c r="A509" s="9"/>
      <c r="B509" s="164"/>
      <c r="C509" s="110"/>
      <c r="D509" s="156"/>
      <c r="E509" s="111"/>
      <c r="F509" s="112"/>
      <c r="G509" s="113"/>
      <c r="H509" s="53">
        <f t="shared" si="1"/>
        <v>0</v>
      </c>
      <c r="I509" s="115"/>
      <c r="J509" s="115"/>
      <c r="K509" s="60">
        <f t="shared" si="2"/>
        <v>0</v>
      </c>
      <c r="L509" s="117"/>
    </row>
    <row r="510" ht="15.75" customHeight="1">
      <c r="A510" s="9"/>
      <c r="B510" s="164"/>
      <c r="C510" s="110"/>
      <c r="D510" s="156"/>
      <c r="E510" s="111"/>
      <c r="F510" s="112"/>
      <c r="G510" s="113"/>
      <c r="H510" s="53">
        <f t="shared" si="1"/>
        <v>0</v>
      </c>
      <c r="I510" s="115"/>
      <c r="J510" s="115"/>
      <c r="K510" s="60">
        <f t="shared" si="2"/>
        <v>0</v>
      </c>
      <c r="L510" s="117"/>
    </row>
    <row r="511" ht="15.75" customHeight="1">
      <c r="A511" s="9"/>
      <c r="B511" s="164"/>
      <c r="C511" s="110"/>
      <c r="D511" s="156"/>
      <c r="E511" s="111"/>
      <c r="F511" s="112"/>
      <c r="G511" s="113"/>
      <c r="H511" s="53">
        <f t="shared" si="1"/>
        <v>0</v>
      </c>
      <c r="I511" s="115"/>
      <c r="J511" s="115"/>
      <c r="K511" s="60">
        <f t="shared" si="2"/>
        <v>0</v>
      </c>
      <c r="L511" s="117"/>
    </row>
    <row r="512" ht="15.75" customHeight="1">
      <c r="A512" s="9"/>
      <c r="B512" s="164"/>
      <c r="C512" s="110"/>
      <c r="D512" s="156"/>
      <c r="E512" s="111"/>
      <c r="F512" s="112"/>
      <c r="G512" s="113"/>
      <c r="H512" s="53">
        <f t="shared" si="1"/>
        <v>0</v>
      </c>
      <c r="I512" s="115"/>
      <c r="J512" s="115"/>
      <c r="K512" s="60">
        <f t="shared" si="2"/>
        <v>0</v>
      </c>
      <c r="L512" s="117"/>
    </row>
    <row r="513" ht="15.75" customHeight="1">
      <c r="A513" s="9"/>
      <c r="B513" s="164"/>
      <c r="C513" s="110"/>
      <c r="D513" s="156"/>
      <c r="E513" s="111"/>
      <c r="F513" s="112"/>
      <c r="G513" s="113"/>
      <c r="H513" s="53">
        <f t="shared" si="1"/>
        <v>0</v>
      </c>
      <c r="I513" s="115"/>
      <c r="J513" s="115"/>
      <c r="K513" s="60">
        <f t="shared" si="2"/>
        <v>0</v>
      </c>
      <c r="L513" s="117"/>
    </row>
    <row r="514" ht="15.75" customHeight="1">
      <c r="A514" s="9"/>
      <c r="B514" s="164"/>
      <c r="C514" s="110"/>
      <c r="D514" s="156"/>
      <c r="E514" s="111"/>
      <c r="F514" s="112"/>
      <c r="G514" s="113"/>
      <c r="H514" s="53">
        <f t="shared" si="1"/>
        <v>0</v>
      </c>
      <c r="I514" s="115"/>
      <c r="J514" s="115"/>
      <c r="K514" s="60">
        <f t="shared" si="2"/>
        <v>0</v>
      </c>
      <c r="L514" s="117"/>
    </row>
    <row r="515" ht="15.75" customHeight="1">
      <c r="A515" s="9"/>
      <c r="B515" s="164"/>
      <c r="C515" s="110"/>
      <c r="D515" s="156"/>
      <c r="E515" s="111"/>
      <c r="F515" s="112"/>
      <c r="G515" s="113"/>
      <c r="H515" s="53">
        <f t="shared" si="1"/>
        <v>0</v>
      </c>
      <c r="I515" s="115"/>
      <c r="J515" s="115"/>
      <c r="K515" s="60">
        <f t="shared" si="2"/>
        <v>0</v>
      </c>
      <c r="L515" s="117"/>
    </row>
    <row r="516" ht="15.75" customHeight="1">
      <c r="A516" s="9"/>
      <c r="B516" s="164"/>
      <c r="C516" s="110"/>
      <c r="D516" s="156"/>
      <c r="E516" s="111"/>
      <c r="F516" s="112"/>
      <c r="G516" s="113"/>
      <c r="H516" s="53">
        <f t="shared" si="1"/>
        <v>0</v>
      </c>
      <c r="I516" s="115"/>
      <c r="J516" s="115"/>
      <c r="K516" s="60">
        <f t="shared" si="2"/>
        <v>0</v>
      </c>
      <c r="L516" s="117"/>
    </row>
    <row r="517" ht="15.75" customHeight="1">
      <c r="A517" s="9"/>
      <c r="B517" s="164"/>
      <c r="C517" s="110"/>
      <c r="D517" s="156"/>
      <c r="E517" s="111"/>
      <c r="F517" s="112"/>
      <c r="G517" s="113"/>
      <c r="H517" s="53">
        <f t="shared" si="1"/>
        <v>0</v>
      </c>
      <c r="I517" s="115"/>
      <c r="J517" s="115"/>
      <c r="K517" s="60">
        <f t="shared" si="2"/>
        <v>0</v>
      </c>
      <c r="L517" s="117"/>
    </row>
    <row r="518" ht="15.75" customHeight="1">
      <c r="A518" s="9"/>
      <c r="B518" s="164"/>
      <c r="C518" s="110"/>
      <c r="D518" s="156"/>
      <c r="E518" s="111"/>
      <c r="F518" s="112"/>
      <c r="G518" s="113"/>
      <c r="H518" s="53">
        <f t="shared" si="1"/>
        <v>0</v>
      </c>
      <c r="I518" s="115"/>
      <c r="J518" s="115"/>
      <c r="K518" s="60">
        <f t="shared" si="2"/>
        <v>0</v>
      </c>
      <c r="L518" s="117"/>
    </row>
    <row r="519" ht="15.75" customHeight="1">
      <c r="A519" s="9"/>
      <c r="B519" s="164"/>
      <c r="C519" s="110"/>
      <c r="D519" s="156"/>
      <c r="E519" s="111"/>
      <c r="F519" s="112"/>
      <c r="G519" s="113"/>
      <c r="H519" s="53">
        <f t="shared" si="1"/>
        <v>0</v>
      </c>
      <c r="I519" s="115"/>
      <c r="J519" s="115"/>
      <c r="K519" s="60">
        <f t="shared" si="2"/>
        <v>0</v>
      </c>
      <c r="L519" s="117"/>
    </row>
    <row r="520" ht="15.75" customHeight="1">
      <c r="A520" s="9"/>
      <c r="B520" s="164"/>
      <c r="C520" s="110"/>
      <c r="D520" s="156"/>
      <c r="E520" s="111"/>
      <c r="F520" s="112"/>
      <c r="G520" s="113"/>
      <c r="H520" s="53">
        <f t="shared" si="1"/>
        <v>0</v>
      </c>
      <c r="I520" s="115"/>
      <c r="J520" s="115"/>
      <c r="K520" s="60">
        <f t="shared" si="2"/>
        <v>0</v>
      </c>
      <c r="L520" s="117"/>
    </row>
    <row r="521" ht="15.75" customHeight="1">
      <c r="A521" s="9"/>
      <c r="B521" s="164"/>
      <c r="C521" s="110"/>
      <c r="D521" s="156"/>
      <c r="E521" s="111"/>
      <c r="F521" s="112"/>
      <c r="G521" s="113"/>
      <c r="H521" s="53">
        <f t="shared" si="1"/>
        <v>0</v>
      </c>
      <c r="I521" s="115"/>
      <c r="J521" s="115"/>
      <c r="K521" s="60">
        <f t="shared" si="2"/>
        <v>0</v>
      </c>
      <c r="L521" s="117"/>
    </row>
    <row r="522" ht="15.75" customHeight="1">
      <c r="A522" s="9"/>
      <c r="B522" s="164"/>
      <c r="C522" s="110"/>
      <c r="D522" s="156"/>
      <c r="E522" s="111"/>
      <c r="F522" s="112"/>
      <c r="G522" s="113"/>
      <c r="H522" s="53">
        <f t="shared" si="1"/>
        <v>0</v>
      </c>
      <c r="I522" s="115"/>
      <c r="J522" s="115"/>
      <c r="K522" s="60">
        <f t="shared" si="2"/>
        <v>0</v>
      </c>
      <c r="L522" s="117"/>
    </row>
    <row r="523" ht="15.75" customHeight="1">
      <c r="A523" s="9"/>
      <c r="B523" s="164"/>
      <c r="C523" s="110"/>
      <c r="D523" s="156"/>
      <c r="E523" s="111"/>
      <c r="F523" s="112"/>
      <c r="G523" s="113"/>
      <c r="H523" s="53">
        <f t="shared" si="1"/>
        <v>0</v>
      </c>
      <c r="I523" s="115"/>
      <c r="J523" s="115"/>
      <c r="K523" s="60">
        <f t="shared" si="2"/>
        <v>0</v>
      </c>
      <c r="L523" s="117"/>
    </row>
    <row r="524" ht="15.75" customHeight="1">
      <c r="A524" s="9"/>
      <c r="B524" s="164"/>
      <c r="C524" s="110"/>
      <c r="D524" s="156"/>
      <c r="E524" s="111"/>
      <c r="F524" s="112"/>
      <c r="G524" s="113"/>
      <c r="H524" s="53">
        <f t="shared" si="1"/>
        <v>0</v>
      </c>
      <c r="I524" s="115"/>
      <c r="J524" s="115"/>
      <c r="K524" s="60">
        <f t="shared" si="2"/>
        <v>0</v>
      </c>
      <c r="L524" s="117"/>
    </row>
    <row r="525" ht="15.75" customHeight="1">
      <c r="A525" s="9"/>
      <c r="B525" s="164"/>
      <c r="C525" s="110"/>
      <c r="D525" s="156"/>
      <c r="E525" s="111"/>
      <c r="F525" s="112"/>
      <c r="G525" s="113"/>
      <c r="H525" s="53">
        <f t="shared" si="1"/>
        <v>0</v>
      </c>
      <c r="I525" s="115"/>
      <c r="J525" s="115"/>
      <c r="K525" s="60">
        <f t="shared" si="2"/>
        <v>0</v>
      </c>
      <c r="L525" s="117"/>
    </row>
    <row r="526" ht="15.75" customHeight="1">
      <c r="A526" s="9"/>
      <c r="B526" s="164"/>
      <c r="C526" s="110"/>
      <c r="D526" s="156"/>
      <c r="E526" s="111"/>
      <c r="F526" s="112"/>
      <c r="G526" s="113"/>
      <c r="H526" s="53">
        <f t="shared" si="1"/>
        <v>0</v>
      </c>
      <c r="I526" s="115"/>
      <c r="J526" s="115"/>
      <c r="K526" s="60">
        <f t="shared" si="2"/>
        <v>0</v>
      </c>
      <c r="L526" s="117"/>
    </row>
    <row r="527" ht="15.75" customHeight="1">
      <c r="A527" s="9"/>
      <c r="B527" s="164"/>
      <c r="C527" s="110"/>
      <c r="D527" s="156"/>
      <c r="E527" s="111"/>
      <c r="F527" s="112"/>
      <c r="G527" s="113"/>
      <c r="H527" s="53">
        <f t="shared" si="1"/>
        <v>0</v>
      </c>
      <c r="I527" s="115"/>
      <c r="J527" s="115"/>
      <c r="K527" s="60">
        <f t="shared" si="2"/>
        <v>0</v>
      </c>
      <c r="L527" s="117"/>
    </row>
    <row r="528" ht="15.75" customHeight="1">
      <c r="A528" s="9"/>
      <c r="B528" s="164"/>
      <c r="C528" s="110"/>
      <c r="D528" s="156"/>
      <c r="E528" s="111"/>
      <c r="F528" s="112"/>
      <c r="G528" s="113"/>
      <c r="H528" s="53">
        <f t="shared" si="1"/>
        <v>0</v>
      </c>
      <c r="I528" s="115"/>
      <c r="J528" s="115"/>
      <c r="K528" s="60">
        <f t="shared" si="2"/>
        <v>0</v>
      </c>
      <c r="L528" s="117"/>
    </row>
    <row r="529" ht="15.75" customHeight="1">
      <c r="A529" s="9"/>
      <c r="B529" s="164"/>
      <c r="C529" s="110"/>
      <c r="D529" s="156"/>
      <c r="E529" s="111"/>
      <c r="F529" s="112"/>
      <c r="G529" s="113"/>
      <c r="H529" s="53">
        <f t="shared" si="1"/>
        <v>0</v>
      </c>
      <c r="I529" s="115"/>
      <c r="J529" s="115"/>
      <c r="K529" s="60">
        <f t="shared" si="2"/>
        <v>0</v>
      </c>
      <c r="L529" s="117"/>
    </row>
    <row r="530" ht="15.75" customHeight="1">
      <c r="A530" s="9"/>
      <c r="B530" s="164"/>
      <c r="C530" s="110"/>
      <c r="D530" s="156"/>
      <c r="E530" s="111"/>
      <c r="F530" s="112"/>
      <c r="G530" s="113"/>
      <c r="H530" s="53">
        <f t="shared" si="1"/>
        <v>0</v>
      </c>
      <c r="I530" s="115"/>
      <c r="J530" s="115"/>
      <c r="K530" s="60">
        <f t="shared" si="2"/>
        <v>0</v>
      </c>
      <c r="L530" s="117"/>
    </row>
    <row r="531" ht="15.75" customHeight="1">
      <c r="A531" s="9"/>
      <c r="B531" s="164"/>
      <c r="C531" s="110"/>
      <c r="D531" s="156"/>
      <c r="E531" s="111"/>
      <c r="F531" s="112"/>
      <c r="G531" s="113"/>
      <c r="H531" s="53">
        <f t="shared" si="1"/>
        <v>0</v>
      </c>
      <c r="I531" s="115"/>
      <c r="J531" s="115"/>
      <c r="K531" s="60">
        <f t="shared" si="2"/>
        <v>0</v>
      </c>
      <c r="L531" s="117"/>
    </row>
    <row r="532" ht="15.75" customHeight="1">
      <c r="A532" s="9"/>
      <c r="B532" s="164"/>
      <c r="C532" s="110"/>
      <c r="D532" s="156"/>
      <c r="E532" s="111"/>
      <c r="F532" s="112"/>
      <c r="G532" s="113"/>
      <c r="H532" s="53">
        <f t="shared" si="1"/>
        <v>0</v>
      </c>
      <c r="I532" s="115"/>
      <c r="J532" s="115"/>
      <c r="K532" s="60">
        <f t="shared" si="2"/>
        <v>0</v>
      </c>
      <c r="L532" s="117"/>
    </row>
    <row r="533" ht="15.75" customHeight="1">
      <c r="A533" s="9"/>
      <c r="B533" s="164"/>
      <c r="C533" s="110"/>
      <c r="D533" s="156"/>
      <c r="E533" s="111"/>
      <c r="F533" s="112"/>
      <c r="G533" s="113"/>
      <c r="H533" s="53">
        <f t="shared" si="1"/>
        <v>0</v>
      </c>
      <c r="I533" s="115"/>
      <c r="J533" s="115"/>
      <c r="K533" s="60">
        <f t="shared" si="2"/>
        <v>0</v>
      </c>
      <c r="L533" s="117"/>
    </row>
    <row r="534" ht="15.75" customHeight="1">
      <c r="A534" s="9"/>
      <c r="B534" s="164"/>
      <c r="C534" s="110"/>
      <c r="D534" s="156"/>
      <c r="E534" s="111"/>
      <c r="F534" s="112"/>
      <c r="G534" s="113"/>
      <c r="H534" s="53">
        <f t="shared" si="1"/>
        <v>0</v>
      </c>
      <c r="I534" s="115"/>
      <c r="J534" s="115"/>
      <c r="K534" s="60">
        <f t="shared" si="2"/>
        <v>0</v>
      </c>
      <c r="L534" s="117"/>
    </row>
    <row r="535" ht="15.75" customHeight="1">
      <c r="A535" s="9"/>
      <c r="B535" s="164"/>
      <c r="C535" s="110"/>
      <c r="D535" s="156"/>
      <c r="E535" s="111"/>
      <c r="F535" s="112"/>
      <c r="G535" s="113"/>
      <c r="H535" s="53">
        <f t="shared" si="1"/>
        <v>0</v>
      </c>
      <c r="I535" s="115"/>
      <c r="J535" s="115"/>
      <c r="K535" s="60">
        <f t="shared" si="2"/>
        <v>0</v>
      </c>
      <c r="L535" s="117"/>
    </row>
    <row r="536" ht="15.75" customHeight="1">
      <c r="A536" s="9"/>
      <c r="B536" s="164"/>
      <c r="C536" s="110"/>
      <c r="D536" s="156"/>
      <c r="E536" s="111"/>
      <c r="F536" s="112"/>
      <c r="G536" s="113"/>
      <c r="H536" s="53">
        <f t="shared" si="1"/>
        <v>0</v>
      </c>
      <c r="I536" s="115"/>
      <c r="J536" s="115"/>
      <c r="K536" s="60">
        <f t="shared" si="2"/>
        <v>0</v>
      </c>
      <c r="L536" s="117"/>
    </row>
    <row r="537" ht="15.75" customHeight="1">
      <c r="A537" s="9"/>
      <c r="B537" s="164"/>
      <c r="C537" s="110"/>
      <c r="D537" s="156"/>
      <c r="E537" s="111"/>
      <c r="F537" s="112"/>
      <c r="G537" s="113"/>
      <c r="H537" s="53">
        <f t="shared" si="1"/>
        <v>0</v>
      </c>
      <c r="I537" s="115"/>
      <c r="J537" s="115"/>
      <c r="K537" s="60">
        <f t="shared" si="2"/>
        <v>0</v>
      </c>
      <c r="L537" s="117"/>
    </row>
    <row r="538" ht="15.75" customHeight="1">
      <c r="A538" s="9"/>
      <c r="B538" s="164"/>
      <c r="C538" s="110"/>
      <c r="D538" s="156"/>
      <c r="E538" s="111"/>
      <c r="F538" s="112"/>
      <c r="G538" s="113"/>
      <c r="H538" s="53">
        <f t="shared" si="1"/>
        <v>0</v>
      </c>
      <c r="I538" s="115"/>
      <c r="J538" s="115"/>
      <c r="K538" s="60">
        <f t="shared" si="2"/>
        <v>0</v>
      </c>
      <c r="L538" s="117"/>
    </row>
    <row r="539" ht="15.75" customHeight="1">
      <c r="A539" s="9"/>
      <c r="B539" s="164"/>
      <c r="C539" s="110"/>
      <c r="D539" s="156"/>
      <c r="E539" s="111"/>
      <c r="F539" s="112"/>
      <c r="G539" s="113"/>
      <c r="H539" s="53">
        <f t="shared" si="1"/>
        <v>0</v>
      </c>
      <c r="I539" s="115"/>
      <c r="J539" s="115"/>
      <c r="K539" s="60">
        <f t="shared" si="2"/>
        <v>0</v>
      </c>
      <c r="L539" s="117"/>
    </row>
    <row r="540" ht="15.75" customHeight="1">
      <c r="A540" s="9"/>
      <c r="B540" s="164"/>
      <c r="C540" s="110"/>
      <c r="D540" s="156"/>
      <c r="E540" s="111"/>
      <c r="F540" s="112"/>
      <c r="G540" s="113"/>
      <c r="H540" s="53">
        <f t="shared" si="1"/>
        <v>0</v>
      </c>
      <c r="I540" s="115"/>
      <c r="J540" s="115"/>
      <c r="K540" s="60">
        <f t="shared" si="2"/>
        <v>0</v>
      </c>
      <c r="L540" s="117"/>
    </row>
    <row r="541" ht="15.75" customHeight="1">
      <c r="A541" s="9"/>
      <c r="B541" s="164"/>
      <c r="C541" s="110"/>
      <c r="D541" s="156"/>
      <c r="E541" s="111"/>
      <c r="F541" s="112"/>
      <c r="G541" s="113"/>
      <c r="H541" s="53">
        <f t="shared" si="1"/>
        <v>0</v>
      </c>
      <c r="I541" s="115"/>
      <c r="J541" s="115"/>
      <c r="K541" s="60">
        <f t="shared" si="2"/>
        <v>0</v>
      </c>
      <c r="L541" s="117"/>
    </row>
    <row r="542" ht="15.75" customHeight="1">
      <c r="A542" s="9"/>
      <c r="B542" s="164"/>
      <c r="C542" s="110"/>
      <c r="D542" s="156"/>
      <c r="E542" s="111"/>
      <c r="F542" s="112"/>
      <c r="G542" s="113"/>
      <c r="H542" s="53">
        <f t="shared" si="1"/>
        <v>0</v>
      </c>
      <c r="I542" s="115"/>
      <c r="J542" s="115"/>
      <c r="K542" s="60">
        <f t="shared" si="2"/>
        <v>0</v>
      </c>
      <c r="L542" s="117"/>
    </row>
    <row r="543" ht="15.75" customHeight="1">
      <c r="A543" s="9"/>
      <c r="B543" s="164"/>
      <c r="C543" s="110"/>
      <c r="D543" s="156"/>
      <c r="E543" s="111"/>
      <c r="F543" s="112"/>
      <c r="G543" s="113"/>
      <c r="H543" s="53">
        <f t="shared" si="1"/>
        <v>0</v>
      </c>
      <c r="I543" s="115"/>
      <c r="J543" s="115"/>
      <c r="K543" s="60">
        <f t="shared" si="2"/>
        <v>0</v>
      </c>
      <c r="L543" s="117"/>
    </row>
    <row r="544" ht="15.75" customHeight="1">
      <c r="A544" s="9"/>
      <c r="B544" s="164"/>
      <c r="C544" s="110"/>
      <c r="D544" s="156"/>
      <c r="E544" s="111"/>
      <c r="F544" s="112"/>
      <c r="G544" s="113"/>
      <c r="H544" s="53">
        <f t="shared" si="1"/>
        <v>0</v>
      </c>
      <c r="I544" s="115"/>
      <c r="J544" s="115"/>
      <c r="K544" s="60">
        <f t="shared" si="2"/>
        <v>0</v>
      </c>
      <c r="L544" s="117"/>
    </row>
    <row r="545" ht="15.75" customHeight="1">
      <c r="A545" s="9"/>
      <c r="B545" s="164"/>
      <c r="C545" s="110"/>
      <c r="D545" s="156"/>
      <c r="E545" s="111"/>
      <c r="F545" s="112"/>
      <c r="G545" s="113"/>
      <c r="H545" s="53">
        <f t="shared" si="1"/>
        <v>0</v>
      </c>
      <c r="I545" s="115"/>
      <c r="J545" s="115"/>
      <c r="K545" s="60">
        <f t="shared" si="2"/>
        <v>0</v>
      </c>
      <c r="L545" s="117"/>
    </row>
    <row r="546" ht="15.75" customHeight="1">
      <c r="A546" s="9"/>
      <c r="B546" s="164"/>
      <c r="C546" s="110"/>
      <c r="D546" s="156"/>
      <c r="E546" s="111"/>
      <c r="F546" s="112"/>
      <c r="G546" s="113"/>
      <c r="H546" s="53">
        <f t="shared" si="1"/>
        <v>0</v>
      </c>
      <c r="I546" s="115"/>
      <c r="J546" s="115"/>
      <c r="K546" s="60">
        <f t="shared" si="2"/>
        <v>0</v>
      </c>
      <c r="L546" s="117"/>
    </row>
    <row r="547" ht="15.75" customHeight="1">
      <c r="A547" s="9"/>
      <c r="B547" s="164"/>
      <c r="C547" s="110"/>
      <c r="D547" s="156"/>
      <c r="E547" s="111"/>
      <c r="F547" s="112"/>
      <c r="G547" s="113"/>
      <c r="H547" s="53">
        <f t="shared" si="1"/>
        <v>0</v>
      </c>
      <c r="I547" s="115"/>
      <c r="J547" s="115"/>
      <c r="K547" s="60">
        <f t="shared" si="2"/>
        <v>0</v>
      </c>
      <c r="L547" s="117"/>
    </row>
    <row r="548" ht="15.75" customHeight="1">
      <c r="A548" s="9"/>
      <c r="B548" s="164"/>
      <c r="C548" s="110"/>
      <c r="D548" s="156"/>
      <c r="E548" s="111"/>
      <c r="F548" s="112"/>
      <c r="G548" s="113"/>
      <c r="H548" s="53">
        <f t="shared" si="1"/>
        <v>0</v>
      </c>
      <c r="I548" s="115"/>
      <c r="J548" s="115"/>
      <c r="K548" s="60">
        <f t="shared" si="2"/>
        <v>0</v>
      </c>
      <c r="L548" s="117"/>
    </row>
    <row r="549" ht="15.75" customHeight="1">
      <c r="A549" s="9"/>
      <c r="B549" s="164"/>
      <c r="C549" s="110"/>
      <c r="D549" s="156"/>
      <c r="E549" s="111"/>
      <c r="F549" s="112"/>
      <c r="G549" s="113"/>
      <c r="H549" s="53">
        <f t="shared" si="1"/>
        <v>0</v>
      </c>
      <c r="I549" s="115"/>
      <c r="J549" s="115"/>
      <c r="K549" s="60">
        <f t="shared" si="2"/>
        <v>0</v>
      </c>
      <c r="L549" s="117"/>
    </row>
    <row r="550" ht="15.75" customHeight="1">
      <c r="A550" s="9"/>
      <c r="B550" s="164"/>
      <c r="C550" s="110"/>
      <c r="D550" s="156"/>
      <c r="E550" s="111"/>
      <c r="F550" s="112"/>
      <c r="G550" s="113"/>
      <c r="H550" s="53">
        <f t="shared" si="1"/>
        <v>0</v>
      </c>
      <c r="I550" s="115"/>
      <c r="J550" s="115"/>
      <c r="K550" s="60">
        <f t="shared" si="2"/>
        <v>0</v>
      </c>
      <c r="L550" s="117"/>
    </row>
    <row r="551" ht="15.75" customHeight="1">
      <c r="A551" s="9"/>
      <c r="B551" s="164"/>
      <c r="C551" s="110"/>
      <c r="D551" s="156"/>
      <c r="E551" s="111"/>
      <c r="F551" s="112"/>
      <c r="G551" s="113"/>
      <c r="H551" s="53">
        <f t="shared" si="1"/>
        <v>0</v>
      </c>
      <c r="I551" s="115"/>
      <c r="J551" s="115"/>
      <c r="K551" s="60">
        <f t="shared" si="2"/>
        <v>0</v>
      </c>
      <c r="L551" s="117"/>
    </row>
    <row r="552" ht="15.75" customHeight="1">
      <c r="A552" s="9"/>
      <c r="B552" s="164"/>
      <c r="C552" s="110"/>
      <c r="D552" s="156"/>
      <c r="E552" s="111"/>
      <c r="F552" s="112"/>
      <c r="G552" s="113"/>
      <c r="H552" s="53">
        <f t="shared" si="1"/>
        <v>0</v>
      </c>
      <c r="I552" s="115"/>
      <c r="J552" s="115"/>
      <c r="K552" s="60">
        <f t="shared" si="2"/>
        <v>0</v>
      </c>
      <c r="L552" s="117"/>
    </row>
    <row r="553" ht="15.75" customHeight="1">
      <c r="A553" s="9"/>
      <c r="B553" s="164"/>
      <c r="C553" s="110"/>
      <c r="D553" s="156"/>
      <c r="E553" s="111"/>
      <c r="F553" s="112"/>
      <c r="G553" s="113"/>
      <c r="H553" s="53">
        <f t="shared" si="1"/>
        <v>0</v>
      </c>
      <c r="I553" s="115"/>
      <c r="J553" s="115"/>
      <c r="K553" s="60">
        <f t="shared" si="2"/>
        <v>0</v>
      </c>
      <c r="L553" s="117"/>
    </row>
    <row r="554" ht="15.75" customHeight="1">
      <c r="A554" s="9"/>
      <c r="B554" s="164"/>
      <c r="C554" s="110"/>
      <c r="D554" s="156"/>
      <c r="E554" s="111"/>
      <c r="F554" s="112"/>
      <c r="G554" s="113"/>
      <c r="H554" s="53">
        <f t="shared" si="1"/>
        <v>0</v>
      </c>
      <c r="I554" s="115"/>
      <c r="J554" s="115"/>
      <c r="K554" s="60">
        <f t="shared" si="2"/>
        <v>0</v>
      </c>
      <c r="L554" s="117"/>
    </row>
    <row r="555" ht="15.75" customHeight="1">
      <c r="A555" s="9"/>
      <c r="B555" s="164"/>
      <c r="C555" s="110"/>
      <c r="D555" s="156"/>
      <c r="E555" s="111"/>
      <c r="F555" s="112"/>
      <c r="G555" s="113"/>
      <c r="H555" s="53">
        <f t="shared" si="1"/>
        <v>0</v>
      </c>
      <c r="I555" s="115"/>
      <c r="J555" s="115"/>
      <c r="K555" s="60">
        <f t="shared" si="2"/>
        <v>0</v>
      </c>
      <c r="L555" s="117"/>
    </row>
    <row r="556" ht="15.75" customHeight="1">
      <c r="A556" s="9"/>
      <c r="B556" s="164"/>
      <c r="C556" s="110"/>
      <c r="D556" s="156"/>
      <c r="E556" s="111"/>
      <c r="F556" s="112"/>
      <c r="G556" s="113"/>
      <c r="H556" s="53">
        <f t="shared" si="1"/>
        <v>0</v>
      </c>
      <c r="I556" s="115"/>
      <c r="J556" s="115"/>
      <c r="K556" s="60">
        <f t="shared" si="2"/>
        <v>0</v>
      </c>
      <c r="L556" s="117"/>
    </row>
    <row r="557" ht="15.75" customHeight="1">
      <c r="A557" s="9"/>
      <c r="B557" s="164"/>
      <c r="C557" s="110"/>
      <c r="D557" s="156"/>
      <c r="E557" s="111"/>
      <c r="F557" s="112"/>
      <c r="G557" s="113"/>
      <c r="H557" s="53">
        <f t="shared" si="1"/>
        <v>0</v>
      </c>
      <c r="I557" s="115"/>
      <c r="J557" s="115"/>
      <c r="K557" s="60">
        <f t="shared" si="2"/>
        <v>0</v>
      </c>
      <c r="L557" s="117"/>
    </row>
    <row r="558" ht="15.75" customHeight="1">
      <c r="A558" s="9"/>
      <c r="B558" s="164"/>
      <c r="C558" s="110"/>
      <c r="D558" s="156"/>
      <c r="E558" s="111"/>
      <c r="F558" s="112"/>
      <c r="G558" s="113"/>
      <c r="H558" s="53">
        <f t="shared" si="1"/>
        <v>0</v>
      </c>
      <c r="I558" s="115"/>
      <c r="J558" s="115"/>
      <c r="K558" s="60">
        <f t="shared" si="2"/>
        <v>0</v>
      </c>
      <c r="L558" s="117"/>
    </row>
    <row r="559" ht="15.75" customHeight="1">
      <c r="A559" s="9"/>
      <c r="B559" s="164"/>
      <c r="C559" s="110"/>
      <c r="D559" s="156"/>
      <c r="E559" s="111"/>
      <c r="F559" s="112"/>
      <c r="G559" s="113"/>
      <c r="H559" s="53">
        <f t="shared" si="1"/>
        <v>0</v>
      </c>
      <c r="I559" s="115"/>
      <c r="J559" s="115"/>
      <c r="K559" s="60">
        <f t="shared" si="2"/>
        <v>0</v>
      </c>
      <c r="L559" s="117"/>
    </row>
    <row r="560" ht="15.75" customHeight="1">
      <c r="A560" s="9"/>
      <c r="B560" s="164"/>
      <c r="C560" s="110"/>
      <c r="D560" s="156"/>
      <c r="E560" s="111"/>
      <c r="F560" s="112"/>
      <c r="G560" s="113"/>
      <c r="H560" s="53">
        <f t="shared" si="1"/>
        <v>0</v>
      </c>
      <c r="I560" s="115"/>
      <c r="J560" s="115"/>
      <c r="K560" s="60">
        <f t="shared" si="2"/>
        <v>0</v>
      </c>
      <c r="L560" s="117"/>
    </row>
    <row r="561" ht="15.75" customHeight="1">
      <c r="A561" s="9"/>
      <c r="B561" s="164"/>
      <c r="C561" s="110"/>
      <c r="D561" s="156"/>
      <c r="E561" s="111"/>
      <c r="F561" s="112"/>
      <c r="G561" s="113"/>
      <c r="H561" s="53">
        <f t="shared" si="1"/>
        <v>0</v>
      </c>
      <c r="I561" s="115"/>
      <c r="J561" s="115"/>
      <c r="K561" s="60">
        <f t="shared" si="2"/>
        <v>0</v>
      </c>
      <c r="L561" s="117"/>
    </row>
    <row r="562" ht="15.75" customHeight="1">
      <c r="A562" s="9"/>
      <c r="B562" s="164"/>
      <c r="C562" s="110"/>
      <c r="D562" s="156"/>
      <c r="E562" s="111"/>
      <c r="F562" s="112"/>
      <c r="G562" s="113"/>
      <c r="H562" s="53">
        <f t="shared" si="1"/>
        <v>0</v>
      </c>
      <c r="I562" s="115"/>
      <c r="J562" s="115"/>
      <c r="K562" s="60">
        <f t="shared" si="2"/>
        <v>0</v>
      </c>
      <c r="L562" s="117"/>
    </row>
    <row r="563" ht="15.75" customHeight="1">
      <c r="A563" s="9"/>
      <c r="B563" s="164"/>
      <c r="C563" s="110"/>
      <c r="D563" s="156"/>
      <c r="E563" s="111"/>
      <c r="F563" s="112"/>
      <c r="G563" s="113"/>
      <c r="H563" s="53">
        <f t="shared" si="1"/>
        <v>0</v>
      </c>
      <c r="I563" s="115"/>
      <c r="J563" s="115"/>
      <c r="K563" s="60">
        <f t="shared" si="2"/>
        <v>0</v>
      </c>
      <c r="L563" s="117"/>
    </row>
    <row r="564" ht="15.75" customHeight="1">
      <c r="A564" s="9"/>
      <c r="B564" s="164"/>
      <c r="C564" s="110"/>
      <c r="D564" s="156"/>
      <c r="E564" s="111"/>
      <c r="F564" s="112"/>
      <c r="G564" s="113"/>
      <c r="H564" s="53">
        <f t="shared" si="1"/>
        <v>0</v>
      </c>
      <c r="I564" s="115"/>
      <c r="J564" s="115"/>
      <c r="K564" s="60">
        <f t="shared" si="2"/>
        <v>0</v>
      </c>
      <c r="L564" s="117"/>
    </row>
    <row r="565" ht="15.75" customHeight="1">
      <c r="A565" s="9"/>
      <c r="B565" s="164"/>
      <c r="C565" s="110"/>
      <c r="D565" s="156"/>
      <c r="E565" s="111"/>
      <c r="F565" s="112"/>
      <c r="G565" s="113"/>
      <c r="H565" s="53">
        <f t="shared" si="1"/>
        <v>0</v>
      </c>
      <c r="I565" s="115"/>
      <c r="J565" s="115"/>
      <c r="K565" s="60">
        <f t="shared" si="2"/>
        <v>0</v>
      </c>
      <c r="L565" s="117"/>
    </row>
    <row r="566" ht="15.75" customHeight="1">
      <c r="A566" s="9"/>
      <c r="B566" s="164"/>
      <c r="C566" s="110"/>
      <c r="D566" s="156"/>
      <c r="E566" s="111"/>
      <c r="F566" s="112"/>
      <c r="G566" s="113"/>
      <c r="H566" s="53">
        <f t="shared" si="1"/>
        <v>0</v>
      </c>
      <c r="I566" s="115"/>
      <c r="J566" s="115"/>
      <c r="K566" s="60">
        <f t="shared" si="2"/>
        <v>0</v>
      </c>
      <c r="L566" s="117"/>
    </row>
    <row r="567" ht="15.75" customHeight="1">
      <c r="A567" s="9"/>
      <c r="B567" s="164"/>
      <c r="C567" s="110"/>
      <c r="D567" s="156"/>
      <c r="E567" s="111"/>
      <c r="F567" s="112"/>
      <c r="G567" s="113"/>
      <c r="H567" s="53">
        <f t="shared" si="1"/>
        <v>0</v>
      </c>
      <c r="I567" s="115"/>
      <c r="J567" s="115"/>
      <c r="K567" s="60">
        <f t="shared" si="2"/>
        <v>0</v>
      </c>
      <c r="L567" s="117"/>
    </row>
    <row r="568" ht="15.75" customHeight="1">
      <c r="A568" s="9"/>
      <c r="B568" s="164"/>
      <c r="C568" s="110"/>
      <c r="D568" s="156"/>
      <c r="E568" s="111"/>
      <c r="F568" s="112"/>
      <c r="G568" s="113"/>
      <c r="H568" s="53">
        <f t="shared" si="1"/>
        <v>0</v>
      </c>
      <c r="I568" s="115"/>
      <c r="J568" s="115"/>
      <c r="K568" s="60">
        <f t="shared" si="2"/>
        <v>0</v>
      </c>
      <c r="L568" s="117"/>
    </row>
    <row r="569" ht="15.75" customHeight="1">
      <c r="A569" s="9"/>
      <c r="B569" s="164"/>
      <c r="C569" s="110"/>
      <c r="D569" s="156"/>
      <c r="E569" s="111"/>
      <c r="F569" s="112"/>
      <c r="G569" s="113"/>
      <c r="H569" s="53">
        <f t="shared" si="1"/>
        <v>0</v>
      </c>
      <c r="I569" s="115"/>
      <c r="J569" s="115"/>
      <c r="K569" s="60">
        <f t="shared" si="2"/>
        <v>0</v>
      </c>
      <c r="L569" s="117"/>
    </row>
    <row r="570" ht="15.75" customHeight="1">
      <c r="A570" s="9"/>
      <c r="B570" s="164"/>
      <c r="C570" s="110"/>
      <c r="D570" s="156"/>
      <c r="E570" s="111"/>
      <c r="F570" s="112"/>
      <c r="G570" s="113"/>
      <c r="H570" s="53">
        <f t="shared" si="1"/>
        <v>0</v>
      </c>
      <c r="I570" s="115"/>
      <c r="J570" s="115"/>
      <c r="K570" s="60">
        <f t="shared" si="2"/>
        <v>0</v>
      </c>
      <c r="L570" s="117"/>
    </row>
    <row r="571" ht="15.75" customHeight="1">
      <c r="A571" s="9"/>
      <c r="B571" s="164"/>
      <c r="C571" s="110"/>
      <c r="D571" s="156"/>
      <c r="E571" s="111"/>
      <c r="F571" s="112"/>
      <c r="G571" s="113"/>
      <c r="H571" s="53">
        <f t="shared" si="1"/>
        <v>0</v>
      </c>
      <c r="I571" s="115"/>
      <c r="J571" s="115"/>
      <c r="K571" s="60">
        <f t="shared" si="2"/>
        <v>0</v>
      </c>
      <c r="L571" s="117"/>
    </row>
    <row r="572" ht="15.75" customHeight="1">
      <c r="A572" s="9"/>
      <c r="B572" s="164"/>
      <c r="C572" s="110"/>
      <c r="D572" s="156"/>
      <c r="E572" s="111"/>
      <c r="F572" s="112"/>
      <c r="G572" s="113"/>
      <c r="H572" s="53">
        <f t="shared" si="1"/>
        <v>0</v>
      </c>
      <c r="I572" s="115"/>
      <c r="J572" s="115"/>
      <c r="K572" s="60">
        <f t="shared" si="2"/>
        <v>0</v>
      </c>
      <c r="L572" s="117"/>
    </row>
    <row r="573" ht="15.75" customHeight="1">
      <c r="A573" s="9"/>
      <c r="B573" s="164"/>
      <c r="C573" s="110"/>
      <c r="D573" s="156"/>
      <c r="E573" s="111"/>
      <c r="F573" s="112"/>
      <c r="G573" s="113"/>
      <c r="H573" s="53">
        <f t="shared" si="1"/>
        <v>0</v>
      </c>
      <c r="I573" s="115"/>
      <c r="J573" s="115"/>
      <c r="K573" s="60">
        <f t="shared" si="2"/>
        <v>0</v>
      </c>
      <c r="L573" s="117"/>
    </row>
    <row r="574" ht="15.75" customHeight="1">
      <c r="A574" s="9"/>
      <c r="B574" s="164"/>
      <c r="C574" s="110"/>
      <c r="D574" s="156"/>
      <c r="E574" s="111"/>
      <c r="F574" s="112"/>
      <c r="G574" s="113"/>
      <c r="H574" s="53">
        <f t="shared" si="1"/>
        <v>0</v>
      </c>
      <c r="I574" s="115"/>
      <c r="J574" s="115"/>
      <c r="K574" s="60">
        <f t="shared" si="2"/>
        <v>0</v>
      </c>
      <c r="L574" s="117"/>
    </row>
    <row r="575" ht="15.75" customHeight="1">
      <c r="A575" s="9"/>
      <c r="B575" s="164"/>
      <c r="C575" s="110"/>
      <c r="D575" s="156"/>
      <c r="E575" s="111"/>
      <c r="F575" s="112"/>
      <c r="G575" s="113"/>
      <c r="H575" s="53">
        <f t="shared" si="1"/>
        <v>0</v>
      </c>
      <c r="I575" s="115"/>
      <c r="J575" s="115"/>
      <c r="K575" s="60">
        <f t="shared" si="2"/>
        <v>0</v>
      </c>
      <c r="L575" s="117"/>
    </row>
    <row r="576" ht="15.75" customHeight="1">
      <c r="A576" s="9"/>
      <c r="B576" s="164"/>
      <c r="C576" s="110"/>
      <c r="D576" s="156"/>
      <c r="E576" s="111"/>
      <c r="F576" s="112"/>
      <c r="G576" s="113"/>
      <c r="H576" s="53">
        <f t="shared" si="1"/>
        <v>0</v>
      </c>
      <c r="I576" s="115"/>
      <c r="J576" s="115"/>
      <c r="K576" s="60">
        <f t="shared" si="2"/>
        <v>0</v>
      </c>
      <c r="L576" s="117"/>
    </row>
    <row r="577" ht="15.75" customHeight="1">
      <c r="A577" s="9"/>
      <c r="B577" s="164"/>
      <c r="C577" s="110"/>
      <c r="D577" s="156"/>
      <c r="E577" s="111"/>
      <c r="F577" s="112"/>
      <c r="G577" s="113"/>
      <c r="H577" s="53">
        <f t="shared" si="1"/>
        <v>0</v>
      </c>
      <c r="I577" s="115"/>
      <c r="J577" s="115"/>
      <c r="K577" s="60">
        <f t="shared" si="2"/>
        <v>0</v>
      </c>
      <c r="L577" s="117"/>
    </row>
    <row r="578" ht="15.75" customHeight="1">
      <c r="A578" s="9"/>
      <c r="B578" s="164"/>
      <c r="C578" s="110"/>
      <c r="D578" s="156"/>
      <c r="E578" s="111"/>
      <c r="F578" s="112"/>
      <c r="G578" s="113"/>
      <c r="H578" s="53">
        <f t="shared" si="1"/>
        <v>0</v>
      </c>
      <c r="I578" s="115"/>
      <c r="J578" s="115"/>
      <c r="K578" s="60">
        <f t="shared" si="2"/>
        <v>0</v>
      </c>
      <c r="L578" s="117"/>
    </row>
    <row r="579" ht="15.75" customHeight="1">
      <c r="A579" s="9"/>
      <c r="B579" s="164"/>
      <c r="C579" s="110"/>
      <c r="D579" s="156"/>
      <c r="E579" s="111"/>
      <c r="F579" s="112"/>
      <c r="G579" s="113"/>
      <c r="H579" s="53">
        <f t="shared" si="1"/>
        <v>0</v>
      </c>
      <c r="I579" s="115"/>
      <c r="J579" s="115"/>
      <c r="K579" s="60">
        <f t="shared" si="2"/>
        <v>0</v>
      </c>
      <c r="L579" s="117"/>
    </row>
    <row r="580" ht="15.75" customHeight="1">
      <c r="A580" s="9"/>
      <c r="B580" s="164"/>
      <c r="C580" s="110"/>
      <c r="D580" s="156"/>
      <c r="E580" s="111"/>
      <c r="F580" s="112"/>
      <c r="G580" s="113"/>
      <c r="H580" s="53">
        <f t="shared" si="1"/>
        <v>0</v>
      </c>
      <c r="I580" s="115"/>
      <c r="J580" s="115"/>
      <c r="K580" s="60">
        <f t="shared" si="2"/>
        <v>0</v>
      </c>
      <c r="L580" s="117"/>
    </row>
    <row r="581" ht="15.75" customHeight="1">
      <c r="A581" s="9"/>
      <c r="B581" s="164"/>
      <c r="C581" s="110"/>
      <c r="D581" s="156"/>
      <c r="E581" s="111"/>
      <c r="F581" s="112"/>
      <c r="G581" s="113"/>
      <c r="H581" s="53">
        <f t="shared" si="1"/>
        <v>0</v>
      </c>
      <c r="I581" s="115"/>
      <c r="J581" s="115"/>
      <c r="K581" s="60">
        <f t="shared" si="2"/>
        <v>0</v>
      </c>
      <c r="L581" s="117"/>
    </row>
    <row r="582" ht="15.75" customHeight="1">
      <c r="A582" s="9"/>
      <c r="B582" s="164"/>
      <c r="C582" s="110"/>
      <c r="D582" s="156"/>
      <c r="E582" s="111"/>
      <c r="F582" s="112"/>
      <c r="G582" s="113"/>
      <c r="H582" s="53">
        <f t="shared" si="1"/>
        <v>0</v>
      </c>
      <c r="I582" s="115"/>
      <c r="J582" s="115"/>
      <c r="K582" s="60">
        <f t="shared" si="2"/>
        <v>0</v>
      </c>
      <c r="L582" s="117"/>
    </row>
    <row r="583" ht="15.75" customHeight="1">
      <c r="A583" s="9"/>
      <c r="B583" s="164"/>
      <c r="C583" s="110"/>
      <c r="D583" s="156"/>
      <c r="E583" s="111"/>
      <c r="F583" s="112"/>
      <c r="G583" s="113"/>
      <c r="H583" s="53">
        <f t="shared" si="1"/>
        <v>0</v>
      </c>
      <c r="I583" s="115"/>
      <c r="J583" s="115"/>
      <c r="K583" s="60">
        <f t="shared" si="2"/>
        <v>0</v>
      </c>
      <c r="L583" s="117"/>
    </row>
    <row r="584" ht="15.75" customHeight="1">
      <c r="A584" s="9"/>
      <c r="B584" s="164"/>
      <c r="C584" s="110"/>
      <c r="D584" s="156"/>
      <c r="E584" s="111"/>
      <c r="F584" s="112"/>
      <c r="G584" s="113"/>
      <c r="H584" s="53">
        <f t="shared" si="1"/>
        <v>0</v>
      </c>
      <c r="I584" s="115"/>
      <c r="J584" s="115"/>
      <c r="K584" s="60">
        <f t="shared" si="2"/>
        <v>0</v>
      </c>
      <c r="L584" s="117"/>
    </row>
    <row r="585" ht="15.75" customHeight="1">
      <c r="A585" s="9"/>
      <c r="B585" s="164"/>
      <c r="C585" s="110"/>
      <c r="D585" s="156"/>
      <c r="E585" s="111"/>
      <c r="F585" s="112"/>
      <c r="G585" s="113"/>
      <c r="H585" s="53">
        <f t="shared" si="1"/>
        <v>0</v>
      </c>
      <c r="I585" s="115"/>
      <c r="J585" s="115"/>
      <c r="K585" s="60">
        <f t="shared" si="2"/>
        <v>0</v>
      </c>
      <c r="L585" s="117"/>
    </row>
    <row r="586" ht="15.75" customHeight="1">
      <c r="A586" s="9"/>
      <c r="B586" s="164"/>
      <c r="C586" s="110"/>
      <c r="D586" s="156"/>
      <c r="E586" s="111"/>
      <c r="F586" s="112"/>
      <c r="G586" s="113"/>
      <c r="H586" s="53">
        <f t="shared" si="1"/>
        <v>0</v>
      </c>
      <c r="I586" s="115"/>
      <c r="J586" s="115"/>
      <c r="K586" s="60">
        <f t="shared" si="2"/>
        <v>0</v>
      </c>
      <c r="L586" s="117"/>
    </row>
    <row r="587" ht="15.75" customHeight="1">
      <c r="A587" s="9"/>
      <c r="B587" s="164"/>
      <c r="C587" s="110"/>
      <c r="D587" s="156"/>
      <c r="E587" s="111"/>
      <c r="F587" s="112"/>
      <c r="G587" s="113"/>
      <c r="H587" s="53">
        <f t="shared" si="1"/>
        <v>0</v>
      </c>
      <c r="I587" s="115"/>
      <c r="J587" s="115"/>
      <c r="K587" s="60">
        <f t="shared" si="2"/>
        <v>0</v>
      </c>
      <c r="L587" s="117"/>
    </row>
    <row r="588" ht="15.75" customHeight="1">
      <c r="A588" s="9"/>
      <c r="B588" s="164"/>
      <c r="C588" s="110"/>
      <c r="D588" s="156"/>
      <c r="E588" s="111"/>
      <c r="F588" s="112"/>
      <c r="G588" s="113"/>
      <c r="H588" s="53">
        <f t="shared" si="1"/>
        <v>0</v>
      </c>
      <c r="I588" s="115"/>
      <c r="J588" s="115"/>
      <c r="K588" s="60">
        <f t="shared" si="2"/>
        <v>0</v>
      </c>
      <c r="L588" s="117"/>
    </row>
    <row r="589" ht="15.75" customHeight="1">
      <c r="A589" s="9"/>
      <c r="B589" s="164"/>
      <c r="C589" s="110"/>
      <c r="D589" s="156"/>
      <c r="E589" s="111"/>
      <c r="F589" s="112"/>
      <c r="G589" s="113"/>
      <c r="H589" s="53">
        <f t="shared" si="1"/>
        <v>0</v>
      </c>
      <c r="I589" s="115"/>
      <c r="J589" s="115"/>
      <c r="K589" s="60">
        <f t="shared" si="2"/>
        <v>0</v>
      </c>
      <c r="L589" s="117"/>
    </row>
    <row r="590" ht="15.75" customHeight="1">
      <c r="A590" s="9"/>
      <c r="B590" s="164"/>
      <c r="C590" s="110"/>
      <c r="D590" s="156"/>
      <c r="E590" s="111"/>
      <c r="F590" s="112"/>
      <c r="G590" s="113"/>
      <c r="H590" s="53">
        <f t="shared" si="1"/>
        <v>0</v>
      </c>
      <c r="I590" s="115"/>
      <c r="J590" s="115"/>
      <c r="K590" s="60">
        <f t="shared" si="2"/>
        <v>0</v>
      </c>
      <c r="L590" s="117"/>
    </row>
    <row r="591" ht="15.75" customHeight="1">
      <c r="A591" s="9"/>
      <c r="B591" s="164"/>
      <c r="C591" s="110"/>
      <c r="D591" s="156"/>
      <c r="E591" s="111"/>
      <c r="F591" s="112"/>
      <c r="G591" s="113"/>
      <c r="H591" s="53">
        <f t="shared" si="1"/>
        <v>0</v>
      </c>
      <c r="I591" s="115"/>
      <c r="J591" s="115"/>
      <c r="K591" s="60">
        <f t="shared" si="2"/>
        <v>0</v>
      </c>
      <c r="L591" s="117"/>
    </row>
    <row r="592" ht="15.75" customHeight="1">
      <c r="A592" s="9"/>
      <c r="B592" s="164"/>
      <c r="C592" s="110"/>
      <c r="D592" s="156"/>
      <c r="E592" s="111"/>
      <c r="F592" s="112"/>
      <c r="G592" s="113"/>
      <c r="H592" s="53">
        <f t="shared" si="1"/>
        <v>0</v>
      </c>
      <c r="I592" s="115"/>
      <c r="J592" s="115"/>
      <c r="K592" s="60">
        <f t="shared" si="2"/>
        <v>0</v>
      </c>
      <c r="L592" s="117"/>
    </row>
    <row r="593" ht="15.75" customHeight="1">
      <c r="A593" s="9"/>
      <c r="B593" s="164"/>
      <c r="C593" s="110"/>
      <c r="D593" s="156"/>
      <c r="E593" s="111"/>
      <c r="F593" s="112"/>
      <c r="G593" s="113"/>
      <c r="H593" s="53">
        <f t="shared" si="1"/>
        <v>0</v>
      </c>
      <c r="I593" s="115"/>
      <c r="J593" s="115"/>
      <c r="K593" s="60">
        <f t="shared" si="2"/>
        <v>0</v>
      </c>
      <c r="L593" s="117"/>
    </row>
    <row r="594" ht="15.75" customHeight="1">
      <c r="A594" s="9"/>
      <c r="B594" s="164"/>
      <c r="C594" s="110"/>
      <c r="D594" s="156"/>
      <c r="E594" s="111"/>
      <c r="F594" s="112"/>
      <c r="G594" s="113"/>
      <c r="H594" s="53">
        <f t="shared" si="1"/>
        <v>0</v>
      </c>
      <c r="I594" s="115"/>
      <c r="J594" s="115"/>
      <c r="K594" s="60">
        <f t="shared" si="2"/>
        <v>0</v>
      </c>
      <c r="L594" s="117"/>
    </row>
    <row r="595" ht="15.75" customHeight="1">
      <c r="A595" s="9"/>
      <c r="B595" s="164"/>
      <c r="C595" s="110"/>
      <c r="D595" s="156"/>
      <c r="E595" s="111"/>
      <c r="F595" s="112"/>
      <c r="G595" s="113"/>
      <c r="H595" s="53">
        <f t="shared" si="1"/>
        <v>0</v>
      </c>
      <c r="I595" s="115"/>
      <c r="J595" s="115"/>
      <c r="K595" s="60">
        <f t="shared" si="2"/>
        <v>0</v>
      </c>
      <c r="L595" s="117"/>
    </row>
    <row r="596" ht="15.75" customHeight="1">
      <c r="A596" s="9"/>
      <c r="B596" s="164"/>
      <c r="C596" s="110"/>
      <c r="D596" s="156"/>
      <c r="E596" s="111"/>
      <c r="F596" s="112"/>
      <c r="G596" s="113"/>
      <c r="H596" s="53">
        <f t="shared" si="1"/>
        <v>0</v>
      </c>
      <c r="I596" s="115"/>
      <c r="J596" s="115"/>
      <c r="K596" s="60">
        <f t="shared" si="2"/>
        <v>0</v>
      </c>
      <c r="L596" s="117"/>
    </row>
    <row r="597" ht="15.75" customHeight="1">
      <c r="A597" s="9"/>
      <c r="B597" s="164"/>
      <c r="C597" s="110"/>
      <c r="D597" s="156"/>
      <c r="E597" s="111"/>
      <c r="F597" s="112"/>
      <c r="G597" s="113"/>
      <c r="H597" s="53">
        <f t="shared" si="1"/>
        <v>0</v>
      </c>
      <c r="I597" s="115"/>
      <c r="J597" s="115"/>
      <c r="K597" s="60">
        <f t="shared" si="2"/>
        <v>0</v>
      </c>
      <c r="L597" s="117"/>
    </row>
    <row r="598" ht="15.75" customHeight="1">
      <c r="A598" s="9"/>
      <c r="B598" s="164"/>
      <c r="C598" s="110"/>
      <c r="D598" s="156"/>
      <c r="E598" s="111"/>
      <c r="F598" s="112"/>
      <c r="G598" s="113"/>
      <c r="H598" s="53">
        <f t="shared" si="1"/>
        <v>0</v>
      </c>
      <c r="I598" s="115"/>
      <c r="J598" s="115"/>
      <c r="K598" s="60">
        <f t="shared" si="2"/>
        <v>0</v>
      </c>
      <c r="L598" s="117"/>
    </row>
    <row r="599" ht="15.75" customHeight="1">
      <c r="A599" s="9"/>
      <c r="B599" s="164"/>
      <c r="C599" s="110"/>
      <c r="D599" s="156"/>
      <c r="E599" s="111"/>
      <c r="F599" s="112"/>
      <c r="G599" s="113"/>
      <c r="H599" s="53">
        <f t="shared" si="1"/>
        <v>0</v>
      </c>
      <c r="I599" s="115"/>
      <c r="J599" s="115"/>
      <c r="K599" s="60">
        <f t="shared" si="2"/>
        <v>0</v>
      </c>
      <c r="L599" s="117"/>
    </row>
    <row r="600" ht="15.75" customHeight="1">
      <c r="A600" s="9"/>
      <c r="B600" s="164"/>
      <c r="C600" s="110"/>
      <c r="D600" s="156"/>
      <c r="E600" s="111"/>
      <c r="F600" s="112"/>
      <c r="G600" s="113"/>
      <c r="H600" s="53">
        <f t="shared" si="1"/>
        <v>0</v>
      </c>
      <c r="I600" s="115"/>
      <c r="J600" s="115"/>
      <c r="K600" s="60">
        <f t="shared" si="2"/>
        <v>0</v>
      </c>
      <c r="L600" s="117"/>
    </row>
    <row r="601" ht="15.75" customHeight="1">
      <c r="A601" s="9"/>
      <c r="B601" s="164"/>
      <c r="C601" s="110"/>
      <c r="D601" s="156"/>
      <c r="E601" s="111"/>
      <c r="F601" s="112"/>
      <c r="G601" s="113"/>
      <c r="H601" s="53">
        <f t="shared" si="1"/>
        <v>0</v>
      </c>
      <c r="I601" s="115"/>
      <c r="J601" s="115"/>
      <c r="K601" s="60">
        <f t="shared" si="2"/>
        <v>0</v>
      </c>
      <c r="L601" s="117"/>
    </row>
    <row r="602" ht="15.75" customHeight="1">
      <c r="A602" s="9"/>
      <c r="B602" s="164"/>
      <c r="C602" s="110"/>
      <c r="D602" s="156"/>
      <c r="E602" s="111"/>
      <c r="F602" s="112"/>
      <c r="G602" s="113"/>
      <c r="H602" s="53">
        <f t="shared" si="1"/>
        <v>0</v>
      </c>
      <c r="I602" s="115"/>
      <c r="J602" s="115"/>
      <c r="K602" s="60">
        <f t="shared" si="2"/>
        <v>0</v>
      </c>
      <c r="L602" s="117"/>
    </row>
    <row r="603" ht="15.75" customHeight="1">
      <c r="A603" s="9"/>
      <c r="B603" s="164"/>
      <c r="C603" s="110"/>
      <c r="D603" s="156"/>
      <c r="E603" s="111"/>
      <c r="F603" s="112"/>
      <c r="G603" s="113"/>
      <c r="H603" s="53">
        <f t="shared" si="1"/>
        <v>0</v>
      </c>
      <c r="I603" s="115"/>
      <c r="J603" s="115"/>
      <c r="K603" s="60">
        <f t="shared" si="2"/>
        <v>0</v>
      </c>
      <c r="L603" s="117"/>
    </row>
    <row r="604" ht="15.75" customHeight="1">
      <c r="A604" s="9"/>
      <c r="B604" s="164"/>
      <c r="C604" s="110"/>
      <c r="D604" s="156"/>
      <c r="E604" s="111"/>
      <c r="F604" s="112"/>
      <c r="G604" s="113"/>
      <c r="H604" s="53">
        <f t="shared" si="1"/>
        <v>0</v>
      </c>
      <c r="I604" s="115"/>
      <c r="J604" s="115"/>
      <c r="K604" s="60">
        <f t="shared" si="2"/>
        <v>0</v>
      </c>
      <c r="L604" s="117"/>
    </row>
    <row r="605" ht="15.75" customHeight="1">
      <c r="A605" s="9"/>
      <c r="B605" s="164"/>
      <c r="C605" s="110"/>
      <c r="D605" s="156"/>
      <c r="E605" s="111"/>
      <c r="F605" s="112"/>
      <c r="G605" s="113"/>
      <c r="H605" s="53">
        <f t="shared" si="1"/>
        <v>0</v>
      </c>
      <c r="I605" s="115"/>
      <c r="J605" s="115"/>
      <c r="K605" s="60">
        <f t="shared" si="2"/>
        <v>0</v>
      </c>
      <c r="L605" s="117"/>
    </row>
    <row r="606" ht="15.75" customHeight="1">
      <c r="A606" s="9"/>
      <c r="B606" s="164"/>
      <c r="C606" s="110"/>
      <c r="D606" s="156"/>
      <c r="E606" s="111"/>
      <c r="F606" s="112"/>
      <c r="G606" s="113"/>
      <c r="H606" s="53">
        <f t="shared" si="1"/>
        <v>0</v>
      </c>
      <c r="I606" s="115"/>
      <c r="J606" s="115"/>
      <c r="K606" s="60">
        <f t="shared" si="2"/>
        <v>0</v>
      </c>
      <c r="L606" s="117"/>
    </row>
    <row r="607" ht="15.75" customHeight="1">
      <c r="A607" s="9"/>
      <c r="B607" s="164"/>
      <c r="C607" s="110"/>
      <c r="D607" s="156"/>
      <c r="E607" s="111"/>
      <c r="F607" s="112"/>
      <c r="G607" s="113"/>
      <c r="H607" s="53">
        <f t="shared" si="1"/>
        <v>0</v>
      </c>
      <c r="I607" s="115"/>
      <c r="J607" s="115"/>
      <c r="K607" s="60">
        <f t="shared" si="2"/>
        <v>0</v>
      </c>
      <c r="L607" s="117"/>
    </row>
    <row r="608" ht="15.75" customHeight="1">
      <c r="A608" s="9"/>
      <c r="B608" s="164"/>
      <c r="C608" s="110"/>
      <c r="D608" s="156"/>
      <c r="E608" s="111"/>
      <c r="F608" s="112"/>
      <c r="G608" s="113"/>
      <c r="H608" s="53">
        <f t="shared" si="1"/>
        <v>0</v>
      </c>
      <c r="I608" s="115"/>
      <c r="J608" s="115"/>
      <c r="K608" s="60">
        <f t="shared" si="2"/>
        <v>0</v>
      </c>
      <c r="L608" s="117"/>
    </row>
    <row r="609" ht="15.75" customHeight="1">
      <c r="A609" s="9"/>
      <c r="B609" s="164"/>
      <c r="C609" s="110"/>
      <c r="D609" s="156"/>
      <c r="E609" s="111"/>
      <c r="F609" s="112"/>
      <c r="G609" s="113"/>
      <c r="H609" s="53">
        <f t="shared" si="1"/>
        <v>0</v>
      </c>
      <c r="I609" s="115"/>
      <c r="J609" s="115"/>
      <c r="K609" s="60">
        <f t="shared" si="2"/>
        <v>0</v>
      </c>
      <c r="L609" s="117"/>
    </row>
    <row r="610" ht="15.75" customHeight="1">
      <c r="A610" s="9"/>
      <c r="B610" s="164"/>
      <c r="C610" s="110"/>
      <c r="D610" s="156"/>
      <c r="E610" s="111"/>
      <c r="F610" s="112"/>
      <c r="G610" s="113"/>
      <c r="H610" s="53">
        <f t="shared" si="1"/>
        <v>0</v>
      </c>
      <c r="I610" s="115"/>
      <c r="J610" s="115"/>
      <c r="K610" s="60">
        <f t="shared" si="2"/>
        <v>0</v>
      </c>
      <c r="L610" s="117"/>
    </row>
    <row r="611" ht="15.75" customHeight="1">
      <c r="A611" s="9"/>
      <c r="B611" s="164"/>
      <c r="C611" s="110"/>
      <c r="D611" s="156"/>
      <c r="E611" s="111"/>
      <c r="F611" s="112"/>
      <c r="G611" s="113"/>
      <c r="H611" s="53">
        <f t="shared" si="1"/>
        <v>0</v>
      </c>
      <c r="I611" s="115"/>
      <c r="J611" s="115"/>
      <c r="K611" s="60">
        <f t="shared" si="2"/>
        <v>0</v>
      </c>
      <c r="L611" s="117"/>
    </row>
    <row r="612" ht="15.75" customHeight="1">
      <c r="A612" s="9"/>
      <c r="B612" s="164"/>
      <c r="C612" s="110"/>
      <c r="D612" s="156"/>
      <c r="E612" s="111"/>
      <c r="F612" s="112"/>
      <c r="G612" s="113"/>
      <c r="H612" s="53">
        <f t="shared" si="1"/>
        <v>0</v>
      </c>
      <c r="I612" s="115"/>
      <c r="J612" s="115"/>
      <c r="K612" s="60">
        <f t="shared" si="2"/>
        <v>0</v>
      </c>
      <c r="L612" s="117"/>
    </row>
    <row r="613" ht="15.75" customHeight="1">
      <c r="A613" s="9"/>
      <c r="B613" s="164"/>
      <c r="C613" s="110"/>
      <c r="D613" s="156"/>
      <c r="E613" s="111"/>
      <c r="F613" s="112"/>
      <c r="G613" s="113"/>
      <c r="H613" s="53">
        <f t="shared" si="1"/>
        <v>0</v>
      </c>
      <c r="I613" s="115"/>
      <c r="J613" s="115"/>
      <c r="K613" s="60">
        <f t="shared" si="2"/>
        <v>0</v>
      </c>
      <c r="L613" s="117"/>
    </row>
    <row r="614" ht="15.75" customHeight="1">
      <c r="A614" s="9"/>
      <c r="B614" s="164"/>
      <c r="C614" s="110"/>
      <c r="D614" s="156"/>
      <c r="E614" s="111"/>
      <c r="F614" s="112"/>
      <c r="G614" s="113"/>
      <c r="H614" s="53">
        <f t="shared" si="1"/>
        <v>0</v>
      </c>
      <c r="I614" s="115"/>
      <c r="J614" s="115"/>
      <c r="K614" s="60">
        <f t="shared" si="2"/>
        <v>0</v>
      </c>
      <c r="L614" s="117"/>
    </row>
    <row r="615" ht="15.75" customHeight="1">
      <c r="A615" s="9"/>
      <c r="B615" s="164"/>
      <c r="C615" s="110"/>
      <c r="D615" s="156"/>
      <c r="E615" s="111"/>
      <c r="F615" s="112"/>
      <c r="G615" s="113"/>
      <c r="H615" s="53">
        <f t="shared" si="1"/>
        <v>0</v>
      </c>
      <c r="I615" s="115"/>
      <c r="J615" s="115"/>
      <c r="K615" s="60">
        <f t="shared" si="2"/>
        <v>0</v>
      </c>
      <c r="L615" s="117"/>
    </row>
    <row r="616" ht="15.75" customHeight="1">
      <c r="A616" s="9"/>
      <c r="B616" s="164"/>
      <c r="C616" s="110"/>
      <c r="D616" s="156"/>
      <c r="E616" s="111"/>
      <c r="F616" s="112"/>
      <c r="G616" s="113"/>
      <c r="H616" s="53">
        <f t="shared" si="1"/>
        <v>0</v>
      </c>
      <c r="I616" s="115"/>
      <c r="J616" s="115"/>
      <c r="K616" s="60">
        <f t="shared" si="2"/>
        <v>0</v>
      </c>
      <c r="L616" s="117"/>
    </row>
    <row r="617" ht="15.75" customHeight="1">
      <c r="A617" s="9"/>
      <c r="B617" s="164"/>
      <c r="C617" s="110"/>
      <c r="D617" s="156"/>
      <c r="E617" s="111"/>
      <c r="F617" s="112"/>
      <c r="G617" s="113"/>
      <c r="H617" s="53">
        <f t="shared" si="1"/>
        <v>0</v>
      </c>
      <c r="I617" s="115"/>
      <c r="J617" s="115"/>
      <c r="K617" s="60">
        <f t="shared" si="2"/>
        <v>0</v>
      </c>
      <c r="L617" s="117"/>
    </row>
    <row r="618" ht="15.75" customHeight="1">
      <c r="A618" s="9"/>
      <c r="B618" s="164"/>
      <c r="C618" s="110"/>
      <c r="D618" s="156"/>
      <c r="E618" s="111"/>
      <c r="F618" s="112"/>
      <c r="G618" s="113"/>
      <c r="H618" s="53">
        <f t="shared" si="1"/>
        <v>0</v>
      </c>
      <c r="I618" s="115"/>
      <c r="J618" s="115"/>
      <c r="K618" s="60">
        <f t="shared" si="2"/>
        <v>0</v>
      </c>
      <c r="L618" s="117"/>
    </row>
    <row r="619" ht="15.75" customHeight="1">
      <c r="A619" s="9"/>
      <c r="B619" s="164"/>
      <c r="C619" s="110"/>
      <c r="D619" s="156"/>
      <c r="E619" s="111"/>
      <c r="F619" s="112"/>
      <c r="G619" s="113"/>
      <c r="H619" s="53">
        <f t="shared" si="1"/>
        <v>0</v>
      </c>
      <c r="I619" s="115"/>
      <c r="J619" s="115"/>
      <c r="K619" s="60">
        <f t="shared" si="2"/>
        <v>0</v>
      </c>
      <c r="L619" s="117"/>
    </row>
    <row r="620" ht="15.75" customHeight="1">
      <c r="A620" s="9"/>
      <c r="B620" s="164"/>
      <c r="C620" s="110"/>
      <c r="D620" s="156"/>
      <c r="E620" s="111"/>
      <c r="F620" s="112"/>
      <c r="G620" s="113"/>
      <c r="H620" s="53">
        <f t="shared" si="1"/>
        <v>0</v>
      </c>
      <c r="I620" s="115"/>
      <c r="J620" s="115"/>
      <c r="K620" s="60">
        <f t="shared" si="2"/>
        <v>0</v>
      </c>
      <c r="L620" s="117"/>
    </row>
    <row r="621" ht="15.75" customHeight="1">
      <c r="A621" s="9"/>
      <c r="B621" s="164"/>
      <c r="C621" s="110"/>
      <c r="D621" s="156"/>
      <c r="E621" s="111"/>
      <c r="F621" s="112"/>
      <c r="G621" s="113"/>
      <c r="H621" s="53">
        <f t="shared" si="1"/>
        <v>0</v>
      </c>
      <c r="I621" s="115"/>
      <c r="J621" s="115"/>
      <c r="K621" s="60">
        <f t="shared" si="2"/>
        <v>0</v>
      </c>
      <c r="L621" s="117"/>
    </row>
    <row r="622" ht="15.75" customHeight="1">
      <c r="A622" s="9"/>
      <c r="B622" s="164"/>
      <c r="C622" s="110"/>
      <c r="D622" s="156"/>
      <c r="E622" s="111"/>
      <c r="F622" s="112"/>
      <c r="G622" s="113"/>
      <c r="H622" s="53">
        <f t="shared" si="1"/>
        <v>0</v>
      </c>
      <c r="I622" s="115"/>
      <c r="J622" s="115"/>
      <c r="K622" s="60">
        <f t="shared" si="2"/>
        <v>0</v>
      </c>
      <c r="L622" s="117"/>
    </row>
    <row r="623" ht="15.75" customHeight="1">
      <c r="A623" s="9"/>
      <c r="B623" s="164"/>
      <c r="C623" s="110"/>
      <c r="D623" s="156"/>
      <c r="E623" s="111"/>
      <c r="F623" s="112"/>
      <c r="G623" s="113"/>
      <c r="H623" s="53">
        <f t="shared" si="1"/>
        <v>0</v>
      </c>
      <c r="I623" s="115"/>
      <c r="J623" s="115"/>
      <c r="K623" s="60">
        <f t="shared" si="2"/>
        <v>0</v>
      </c>
      <c r="L623" s="117"/>
    </row>
    <row r="624" ht="15.75" customHeight="1">
      <c r="A624" s="9"/>
      <c r="B624" s="164"/>
      <c r="C624" s="110"/>
      <c r="D624" s="156"/>
      <c r="E624" s="111"/>
      <c r="F624" s="112"/>
      <c r="G624" s="113"/>
      <c r="H624" s="53">
        <f t="shared" si="1"/>
        <v>0</v>
      </c>
      <c r="I624" s="115"/>
      <c r="J624" s="115"/>
      <c r="K624" s="60">
        <f t="shared" si="2"/>
        <v>0</v>
      </c>
      <c r="L624" s="117"/>
    </row>
    <row r="625" ht="15.75" customHeight="1">
      <c r="A625" s="9"/>
      <c r="B625" s="164"/>
      <c r="C625" s="110"/>
      <c r="D625" s="156"/>
      <c r="E625" s="111"/>
      <c r="F625" s="112"/>
      <c r="G625" s="113"/>
      <c r="H625" s="53">
        <f t="shared" si="1"/>
        <v>0</v>
      </c>
      <c r="I625" s="115"/>
      <c r="J625" s="115"/>
      <c r="K625" s="60">
        <f t="shared" si="2"/>
        <v>0</v>
      </c>
      <c r="L625" s="117"/>
    </row>
    <row r="626" ht="15.75" customHeight="1">
      <c r="A626" s="9"/>
      <c r="B626" s="164"/>
      <c r="C626" s="110"/>
      <c r="D626" s="156"/>
      <c r="E626" s="111"/>
      <c r="F626" s="112"/>
      <c r="G626" s="113"/>
      <c r="H626" s="53">
        <f t="shared" si="1"/>
        <v>0</v>
      </c>
      <c r="I626" s="115"/>
      <c r="J626" s="115"/>
      <c r="K626" s="60">
        <f t="shared" si="2"/>
        <v>0</v>
      </c>
      <c r="L626" s="117"/>
    </row>
    <row r="627" ht="15.75" customHeight="1">
      <c r="A627" s="9"/>
      <c r="B627" s="164"/>
      <c r="C627" s="110"/>
      <c r="D627" s="156"/>
      <c r="E627" s="111"/>
      <c r="F627" s="112"/>
      <c r="G627" s="113"/>
      <c r="H627" s="53">
        <f t="shared" si="1"/>
        <v>0</v>
      </c>
      <c r="I627" s="115"/>
      <c r="J627" s="115"/>
      <c r="K627" s="60">
        <f t="shared" si="2"/>
        <v>0</v>
      </c>
      <c r="L627" s="117"/>
    </row>
    <row r="628" ht="15.75" customHeight="1">
      <c r="A628" s="9"/>
      <c r="B628" s="164"/>
      <c r="C628" s="110"/>
      <c r="D628" s="156"/>
      <c r="E628" s="111"/>
      <c r="F628" s="112"/>
      <c r="G628" s="113"/>
      <c r="H628" s="53">
        <f t="shared" si="1"/>
        <v>0</v>
      </c>
      <c r="I628" s="115"/>
      <c r="J628" s="115"/>
      <c r="K628" s="60">
        <f t="shared" si="2"/>
        <v>0</v>
      </c>
      <c r="L628" s="117"/>
    </row>
    <row r="629" ht="15.75" customHeight="1">
      <c r="A629" s="9"/>
      <c r="B629" s="164"/>
      <c r="C629" s="110"/>
      <c r="D629" s="156"/>
      <c r="E629" s="111"/>
      <c r="F629" s="112"/>
      <c r="G629" s="113"/>
      <c r="H629" s="53">
        <f t="shared" si="1"/>
        <v>0</v>
      </c>
      <c r="I629" s="115"/>
      <c r="J629" s="115"/>
      <c r="K629" s="60">
        <f t="shared" si="2"/>
        <v>0</v>
      </c>
      <c r="L629" s="117"/>
    </row>
    <row r="630" ht="15.75" customHeight="1">
      <c r="A630" s="9"/>
      <c r="B630" s="164"/>
      <c r="C630" s="110"/>
      <c r="D630" s="156"/>
      <c r="E630" s="111"/>
      <c r="F630" s="112"/>
      <c r="G630" s="113"/>
      <c r="H630" s="53">
        <f t="shared" si="1"/>
        <v>0</v>
      </c>
      <c r="I630" s="115"/>
      <c r="J630" s="115"/>
      <c r="K630" s="60">
        <f t="shared" si="2"/>
        <v>0</v>
      </c>
      <c r="L630" s="117"/>
    </row>
    <row r="631" ht="15.75" customHeight="1">
      <c r="A631" s="9"/>
      <c r="B631" s="164"/>
      <c r="C631" s="110"/>
      <c r="D631" s="156"/>
      <c r="E631" s="111"/>
      <c r="F631" s="112"/>
      <c r="G631" s="113"/>
      <c r="H631" s="53">
        <f t="shared" si="1"/>
        <v>0</v>
      </c>
      <c r="I631" s="115"/>
      <c r="J631" s="115"/>
      <c r="K631" s="60">
        <f t="shared" si="2"/>
        <v>0</v>
      </c>
      <c r="L631" s="117"/>
    </row>
    <row r="632" ht="15.75" customHeight="1">
      <c r="A632" s="9"/>
      <c r="B632" s="164"/>
      <c r="C632" s="110"/>
      <c r="D632" s="156"/>
      <c r="E632" s="111"/>
      <c r="F632" s="112"/>
      <c r="G632" s="113"/>
      <c r="H632" s="53">
        <f t="shared" si="1"/>
        <v>0</v>
      </c>
      <c r="I632" s="115"/>
      <c r="J632" s="115"/>
      <c r="K632" s="60">
        <f t="shared" si="2"/>
        <v>0</v>
      </c>
      <c r="L632" s="117"/>
    </row>
    <row r="633" ht="15.75" customHeight="1">
      <c r="A633" s="9"/>
      <c r="B633" s="164"/>
      <c r="C633" s="110"/>
      <c r="D633" s="156"/>
      <c r="E633" s="111"/>
      <c r="F633" s="112"/>
      <c r="G633" s="113"/>
      <c r="H633" s="53">
        <f t="shared" si="1"/>
        <v>0</v>
      </c>
      <c r="I633" s="115"/>
      <c r="J633" s="115"/>
      <c r="K633" s="60">
        <f t="shared" si="2"/>
        <v>0</v>
      </c>
      <c r="L633" s="117"/>
    </row>
    <row r="634" ht="15.75" customHeight="1">
      <c r="A634" s="9"/>
      <c r="B634" s="164"/>
      <c r="C634" s="110"/>
      <c r="D634" s="156"/>
      <c r="E634" s="111"/>
      <c r="F634" s="112"/>
      <c r="G634" s="113"/>
      <c r="H634" s="53">
        <f t="shared" si="1"/>
        <v>0</v>
      </c>
      <c r="I634" s="115"/>
      <c r="J634" s="115"/>
      <c r="K634" s="60">
        <f t="shared" si="2"/>
        <v>0</v>
      </c>
      <c r="L634" s="117"/>
    </row>
    <row r="635" ht="15.75" customHeight="1">
      <c r="A635" s="9"/>
      <c r="B635" s="164"/>
      <c r="C635" s="110"/>
      <c r="D635" s="156"/>
      <c r="E635" s="111"/>
      <c r="F635" s="112"/>
      <c r="G635" s="113"/>
      <c r="H635" s="53">
        <f t="shared" si="1"/>
        <v>0</v>
      </c>
      <c r="I635" s="115"/>
      <c r="J635" s="115"/>
      <c r="K635" s="60">
        <f t="shared" si="2"/>
        <v>0</v>
      </c>
      <c r="L635" s="117"/>
    </row>
    <row r="636" ht="15.75" customHeight="1">
      <c r="A636" s="9"/>
      <c r="B636" s="164"/>
      <c r="C636" s="110"/>
      <c r="D636" s="156"/>
      <c r="E636" s="111"/>
      <c r="F636" s="112"/>
      <c r="G636" s="113"/>
      <c r="H636" s="53">
        <f t="shared" si="1"/>
        <v>0</v>
      </c>
      <c r="I636" s="115"/>
      <c r="J636" s="115"/>
      <c r="K636" s="60">
        <f t="shared" si="2"/>
        <v>0</v>
      </c>
      <c r="L636" s="117"/>
    </row>
    <row r="637" ht="15.75" customHeight="1">
      <c r="A637" s="9"/>
      <c r="B637" s="164"/>
      <c r="C637" s="110"/>
      <c r="D637" s="156"/>
      <c r="E637" s="111"/>
      <c r="F637" s="112"/>
      <c r="G637" s="113"/>
      <c r="H637" s="53">
        <f t="shared" si="1"/>
        <v>0</v>
      </c>
      <c r="I637" s="115"/>
      <c r="J637" s="115"/>
      <c r="K637" s="60">
        <f t="shared" si="2"/>
        <v>0</v>
      </c>
      <c r="L637" s="117"/>
    </row>
    <row r="638" ht="15.75" customHeight="1">
      <c r="A638" s="9"/>
      <c r="B638" s="164"/>
      <c r="C638" s="110"/>
      <c r="D638" s="156"/>
      <c r="E638" s="111"/>
      <c r="F638" s="112"/>
      <c r="G638" s="113"/>
      <c r="H638" s="53">
        <f t="shared" si="1"/>
        <v>0</v>
      </c>
      <c r="I638" s="115"/>
      <c r="J638" s="115"/>
      <c r="K638" s="60">
        <f t="shared" si="2"/>
        <v>0</v>
      </c>
      <c r="L638" s="117"/>
    </row>
    <row r="639" ht="15.75" customHeight="1">
      <c r="A639" s="9"/>
      <c r="B639" s="164"/>
      <c r="C639" s="110"/>
      <c r="D639" s="156"/>
      <c r="E639" s="111"/>
      <c r="F639" s="112"/>
      <c r="G639" s="113"/>
      <c r="H639" s="53">
        <f t="shared" si="1"/>
        <v>0</v>
      </c>
      <c r="I639" s="115"/>
      <c r="J639" s="115"/>
      <c r="K639" s="60">
        <f t="shared" si="2"/>
        <v>0</v>
      </c>
      <c r="L639" s="117"/>
    </row>
    <row r="640" ht="15.75" customHeight="1">
      <c r="A640" s="9"/>
      <c r="B640" s="164"/>
      <c r="C640" s="110"/>
      <c r="D640" s="156"/>
      <c r="E640" s="111"/>
      <c r="F640" s="112"/>
      <c r="G640" s="113"/>
      <c r="H640" s="53">
        <f t="shared" si="1"/>
        <v>0</v>
      </c>
      <c r="I640" s="115"/>
      <c r="J640" s="115"/>
      <c r="K640" s="60">
        <f t="shared" si="2"/>
        <v>0</v>
      </c>
      <c r="L640" s="117"/>
    </row>
    <row r="641" ht="15.75" customHeight="1">
      <c r="A641" s="9"/>
      <c r="B641" s="164"/>
      <c r="C641" s="110"/>
      <c r="D641" s="156"/>
      <c r="E641" s="111"/>
      <c r="F641" s="112"/>
      <c r="G641" s="113"/>
      <c r="H641" s="53">
        <f t="shared" si="1"/>
        <v>0</v>
      </c>
      <c r="I641" s="115"/>
      <c r="J641" s="115"/>
      <c r="K641" s="60">
        <f t="shared" si="2"/>
        <v>0</v>
      </c>
      <c r="L641" s="117"/>
    </row>
    <row r="642" ht="15.75" customHeight="1">
      <c r="A642" s="9"/>
      <c r="B642" s="164"/>
      <c r="C642" s="110"/>
      <c r="D642" s="156"/>
      <c r="E642" s="111"/>
      <c r="F642" s="112"/>
      <c r="G642" s="113"/>
      <c r="H642" s="53">
        <f t="shared" si="1"/>
        <v>0</v>
      </c>
      <c r="I642" s="115"/>
      <c r="J642" s="115"/>
      <c r="K642" s="60">
        <f t="shared" si="2"/>
        <v>0</v>
      </c>
      <c r="L642" s="117"/>
    </row>
    <row r="643" ht="15.75" customHeight="1">
      <c r="A643" s="9"/>
      <c r="B643" s="164"/>
      <c r="C643" s="110"/>
      <c r="D643" s="156"/>
      <c r="E643" s="111"/>
      <c r="F643" s="112"/>
      <c r="G643" s="113"/>
      <c r="H643" s="53">
        <f t="shared" si="1"/>
        <v>0</v>
      </c>
      <c r="I643" s="115"/>
      <c r="J643" s="115"/>
      <c r="K643" s="60">
        <f t="shared" si="2"/>
        <v>0</v>
      </c>
      <c r="L643" s="117"/>
    </row>
    <row r="644" ht="15.75" customHeight="1">
      <c r="A644" s="9"/>
      <c r="B644" s="164"/>
      <c r="C644" s="110"/>
      <c r="D644" s="156"/>
      <c r="E644" s="111"/>
      <c r="F644" s="112"/>
      <c r="G644" s="113"/>
      <c r="H644" s="53">
        <f t="shared" si="1"/>
        <v>0</v>
      </c>
      <c r="I644" s="115"/>
      <c r="J644" s="115"/>
      <c r="K644" s="60">
        <f t="shared" si="2"/>
        <v>0</v>
      </c>
      <c r="L644" s="117"/>
    </row>
    <row r="645" ht="15.75" customHeight="1">
      <c r="A645" s="9"/>
      <c r="B645" s="164"/>
      <c r="C645" s="110"/>
      <c r="D645" s="156"/>
      <c r="E645" s="111"/>
      <c r="F645" s="112"/>
      <c r="G645" s="113"/>
      <c r="H645" s="53">
        <f t="shared" si="1"/>
        <v>0</v>
      </c>
      <c r="I645" s="115"/>
      <c r="J645" s="115"/>
      <c r="K645" s="60">
        <f t="shared" si="2"/>
        <v>0</v>
      </c>
      <c r="L645" s="117"/>
    </row>
    <row r="646" ht="15.75" customHeight="1">
      <c r="A646" s="9"/>
      <c r="B646" s="164"/>
      <c r="C646" s="110"/>
      <c r="D646" s="156"/>
      <c r="E646" s="111"/>
      <c r="F646" s="112"/>
      <c r="G646" s="113"/>
      <c r="H646" s="53">
        <f t="shared" si="1"/>
        <v>0</v>
      </c>
      <c r="I646" s="115"/>
      <c r="J646" s="115"/>
      <c r="K646" s="60">
        <f t="shared" si="2"/>
        <v>0</v>
      </c>
      <c r="L646" s="117"/>
    </row>
    <row r="647" ht="15.75" customHeight="1">
      <c r="A647" s="9"/>
      <c r="B647" s="164"/>
      <c r="C647" s="110"/>
      <c r="D647" s="156"/>
      <c r="E647" s="111"/>
      <c r="F647" s="112"/>
      <c r="G647" s="113"/>
      <c r="H647" s="53">
        <f t="shared" si="1"/>
        <v>0</v>
      </c>
      <c r="I647" s="115"/>
      <c r="J647" s="115"/>
      <c r="K647" s="60">
        <f t="shared" si="2"/>
        <v>0</v>
      </c>
      <c r="L647" s="117"/>
    </row>
    <row r="648" ht="15.75" customHeight="1">
      <c r="A648" s="9"/>
      <c r="B648" s="164"/>
      <c r="C648" s="110"/>
      <c r="D648" s="156"/>
      <c r="E648" s="111"/>
      <c r="F648" s="112"/>
      <c r="G648" s="113"/>
      <c r="H648" s="53">
        <f t="shared" si="1"/>
        <v>0</v>
      </c>
      <c r="I648" s="115"/>
      <c r="J648" s="115"/>
      <c r="K648" s="60">
        <f t="shared" si="2"/>
        <v>0</v>
      </c>
      <c r="L648" s="117"/>
    </row>
    <row r="649" ht="15.75" customHeight="1">
      <c r="A649" s="9"/>
      <c r="B649" s="164"/>
      <c r="C649" s="110"/>
      <c r="D649" s="156"/>
      <c r="E649" s="111"/>
      <c r="F649" s="112"/>
      <c r="G649" s="113"/>
      <c r="H649" s="53">
        <f t="shared" si="1"/>
        <v>0</v>
      </c>
      <c r="I649" s="115"/>
      <c r="J649" s="115"/>
      <c r="K649" s="60">
        <f t="shared" si="2"/>
        <v>0</v>
      </c>
      <c r="L649" s="117"/>
    </row>
    <row r="650" ht="15.75" customHeight="1">
      <c r="A650" s="9"/>
      <c r="B650" s="164"/>
      <c r="C650" s="110"/>
      <c r="D650" s="156"/>
      <c r="E650" s="111"/>
      <c r="F650" s="112"/>
      <c r="G650" s="113"/>
      <c r="H650" s="53">
        <f t="shared" si="1"/>
        <v>0</v>
      </c>
      <c r="I650" s="115"/>
      <c r="J650" s="115"/>
      <c r="K650" s="60">
        <f t="shared" si="2"/>
        <v>0</v>
      </c>
      <c r="L650" s="117"/>
    </row>
    <row r="651" ht="15.75" customHeight="1">
      <c r="A651" s="9"/>
      <c r="B651" s="164"/>
      <c r="C651" s="110"/>
      <c r="D651" s="156"/>
      <c r="E651" s="111"/>
      <c r="F651" s="112"/>
      <c r="G651" s="113"/>
      <c r="H651" s="53">
        <f t="shared" si="1"/>
        <v>0</v>
      </c>
      <c r="I651" s="115"/>
      <c r="J651" s="115"/>
      <c r="K651" s="60">
        <f t="shared" si="2"/>
        <v>0</v>
      </c>
      <c r="L651" s="117"/>
    </row>
    <row r="652" ht="15.75" customHeight="1">
      <c r="A652" s="9"/>
      <c r="B652" s="164"/>
      <c r="C652" s="110"/>
      <c r="D652" s="156"/>
      <c r="E652" s="111"/>
      <c r="F652" s="112"/>
      <c r="G652" s="113"/>
      <c r="H652" s="53">
        <f t="shared" si="1"/>
        <v>0</v>
      </c>
      <c r="I652" s="115"/>
      <c r="J652" s="115"/>
      <c r="K652" s="60">
        <f t="shared" si="2"/>
        <v>0</v>
      </c>
      <c r="L652" s="117"/>
    </row>
    <row r="653" ht="15.75" customHeight="1">
      <c r="A653" s="9"/>
      <c r="B653" s="164"/>
      <c r="C653" s="110"/>
      <c r="D653" s="156"/>
      <c r="E653" s="111"/>
      <c r="F653" s="112"/>
      <c r="G653" s="113"/>
      <c r="H653" s="53">
        <f t="shared" si="1"/>
        <v>0</v>
      </c>
      <c r="I653" s="115"/>
      <c r="J653" s="115"/>
      <c r="K653" s="60">
        <f t="shared" si="2"/>
        <v>0</v>
      </c>
      <c r="L653" s="117"/>
    </row>
    <row r="654" ht="15.75" customHeight="1">
      <c r="A654" s="9"/>
      <c r="B654" s="164"/>
      <c r="C654" s="110"/>
      <c r="D654" s="156"/>
      <c r="E654" s="111"/>
      <c r="F654" s="112"/>
      <c r="G654" s="113"/>
      <c r="H654" s="53">
        <f t="shared" si="1"/>
        <v>0</v>
      </c>
      <c r="I654" s="115"/>
      <c r="J654" s="115"/>
      <c r="K654" s="60">
        <f t="shared" si="2"/>
        <v>0</v>
      </c>
      <c r="L654" s="117"/>
    </row>
    <row r="655" ht="15.75" customHeight="1">
      <c r="A655" s="9"/>
      <c r="B655" s="164"/>
      <c r="C655" s="110"/>
      <c r="D655" s="156"/>
      <c r="E655" s="111"/>
      <c r="F655" s="112"/>
      <c r="G655" s="113"/>
      <c r="H655" s="53">
        <f t="shared" si="1"/>
        <v>0</v>
      </c>
      <c r="I655" s="115"/>
      <c r="J655" s="115"/>
      <c r="K655" s="60">
        <f t="shared" si="2"/>
        <v>0</v>
      </c>
      <c r="L655" s="117"/>
    </row>
    <row r="656" ht="15.75" customHeight="1">
      <c r="A656" s="9"/>
      <c r="B656" s="164"/>
      <c r="C656" s="110"/>
      <c r="D656" s="156"/>
      <c r="E656" s="111"/>
      <c r="F656" s="112"/>
      <c r="G656" s="113"/>
      <c r="H656" s="53">
        <f t="shared" si="1"/>
        <v>0</v>
      </c>
      <c r="I656" s="115"/>
      <c r="J656" s="115"/>
      <c r="K656" s="60">
        <f t="shared" si="2"/>
        <v>0</v>
      </c>
      <c r="L656" s="117"/>
    </row>
    <row r="657" ht="15.75" customHeight="1">
      <c r="A657" s="9"/>
      <c r="B657" s="164"/>
      <c r="C657" s="110"/>
      <c r="D657" s="156"/>
      <c r="E657" s="111"/>
      <c r="F657" s="112"/>
      <c r="G657" s="113"/>
      <c r="H657" s="53">
        <f t="shared" si="1"/>
        <v>0</v>
      </c>
      <c r="I657" s="115"/>
      <c r="J657" s="115"/>
      <c r="K657" s="60">
        <f t="shared" si="2"/>
        <v>0</v>
      </c>
      <c r="L657" s="117"/>
    </row>
    <row r="658" ht="15.75" customHeight="1">
      <c r="A658" s="9"/>
      <c r="B658" s="164"/>
      <c r="C658" s="110"/>
      <c r="D658" s="156"/>
      <c r="E658" s="111"/>
      <c r="F658" s="112"/>
      <c r="G658" s="113"/>
      <c r="H658" s="53">
        <f t="shared" si="1"/>
        <v>0</v>
      </c>
      <c r="I658" s="115"/>
      <c r="J658" s="115"/>
      <c r="K658" s="60">
        <f t="shared" si="2"/>
        <v>0</v>
      </c>
      <c r="L658" s="117"/>
    </row>
    <row r="659" ht="15.75" customHeight="1">
      <c r="A659" s="9"/>
      <c r="B659" s="164"/>
      <c r="C659" s="110"/>
      <c r="D659" s="156"/>
      <c r="E659" s="111"/>
      <c r="F659" s="112"/>
      <c r="G659" s="113"/>
      <c r="H659" s="53">
        <f t="shared" si="1"/>
        <v>0</v>
      </c>
      <c r="I659" s="115"/>
      <c r="J659" s="115"/>
      <c r="K659" s="60">
        <f t="shared" si="2"/>
        <v>0</v>
      </c>
      <c r="L659" s="117"/>
    </row>
    <row r="660" ht="15.75" customHeight="1">
      <c r="A660" s="9"/>
      <c r="B660" s="164"/>
      <c r="C660" s="110"/>
      <c r="D660" s="156"/>
      <c r="E660" s="111"/>
      <c r="F660" s="112"/>
      <c r="G660" s="113"/>
      <c r="H660" s="53">
        <f t="shared" si="1"/>
        <v>0</v>
      </c>
      <c r="I660" s="115"/>
      <c r="J660" s="115"/>
      <c r="K660" s="60">
        <f t="shared" si="2"/>
        <v>0</v>
      </c>
      <c r="L660" s="117"/>
    </row>
    <row r="661" ht="15.75" customHeight="1">
      <c r="A661" s="9"/>
      <c r="B661" s="164"/>
      <c r="C661" s="110"/>
      <c r="D661" s="156"/>
      <c r="E661" s="111"/>
      <c r="F661" s="112"/>
      <c r="G661" s="113"/>
      <c r="H661" s="53">
        <f t="shared" si="1"/>
        <v>0</v>
      </c>
      <c r="I661" s="115"/>
      <c r="J661" s="115"/>
      <c r="K661" s="60">
        <f t="shared" si="2"/>
        <v>0</v>
      </c>
      <c r="L661" s="117"/>
    </row>
    <row r="662" ht="15.75" customHeight="1">
      <c r="A662" s="9"/>
      <c r="B662" s="164"/>
      <c r="C662" s="110"/>
      <c r="D662" s="156"/>
      <c r="E662" s="111"/>
      <c r="F662" s="112"/>
      <c r="G662" s="113"/>
      <c r="H662" s="53">
        <f t="shared" si="1"/>
        <v>0</v>
      </c>
      <c r="I662" s="115"/>
      <c r="J662" s="115"/>
      <c r="K662" s="60">
        <f t="shared" si="2"/>
        <v>0</v>
      </c>
      <c r="L662" s="117"/>
    </row>
    <row r="663" ht="15.75" customHeight="1">
      <c r="A663" s="9"/>
      <c r="B663" s="164"/>
      <c r="C663" s="110"/>
      <c r="D663" s="156"/>
      <c r="E663" s="111"/>
      <c r="F663" s="112"/>
      <c r="G663" s="113"/>
      <c r="H663" s="53">
        <f t="shared" si="1"/>
        <v>0</v>
      </c>
      <c r="I663" s="115"/>
      <c r="J663" s="115"/>
      <c r="K663" s="60">
        <f t="shared" si="2"/>
        <v>0</v>
      </c>
      <c r="L663" s="117"/>
    </row>
    <row r="664" ht="15.75" customHeight="1">
      <c r="A664" s="9"/>
      <c r="B664" s="164"/>
      <c r="C664" s="110"/>
      <c r="D664" s="156"/>
      <c r="E664" s="111"/>
      <c r="F664" s="112"/>
      <c r="G664" s="113"/>
      <c r="H664" s="53">
        <f t="shared" si="1"/>
        <v>0</v>
      </c>
      <c r="I664" s="115"/>
      <c r="J664" s="115"/>
      <c r="K664" s="60">
        <f t="shared" si="2"/>
        <v>0</v>
      </c>
      <c r="L664" s="117"/>
    </row>
    <row r="665" ht="15.75" customHeight="1">
      <c r="A665" s="9"/>
      <c r="B665" s="164"/>
      <c r="C665" s="110"/>
      <c r="D665" s="156"/>
      <c r="E665" s="111"/>
      <c r="F665" s="112"/>
      <c r="G665" s="113"/>
      <c r="H665" s="53">
        <f t="shared" si="1"/>
        <v>0</v>
      </c>
      <c r="I665" s="115"/>
      <c r="J665" s="115"/>
      <c r="K665" s="60">
        <f t="shared" si="2"/>
        <v>0</v>
      </c>
      <c r="L665" s="117"/>
    </row>
    <row r="666" ht="15.75" customHeight="1">
      <c r="A666" s="9"/>
      <c r="B666" s="164"/>
      <c r="C666" s="110"/>
      <c r="D666" s="156"/>
      <c r="E666" s="111"/>
      <c r="F666" s="112"/>
      <c r="G666" s="113"/>
      <c r="H666" s="53">
        <f t="shared" si="1"/>
        <v>0</v>
      </c>
      <c r="I666" s="115"/>
      <c r="J666" s="115"/>
      <c r="K666" s="60">
        <f t="shared" si="2"/>
        <v>0</v>
      </c>
      <c r="L666" s="117"/>
    </row>
    <row r="667" ht="15.75" customHeight="1">
      <c r="A667" s="9"/>
      <c r="B667" s="164"/>
      <c r="C667" s="110"/>
      <c r="D667" s="156"/>
      <c r="E667" s="111"/>
      <c r="F667" s="112"/>
      <c r="G667" s="113"/>
      <c r="H667" s="53">
        <f t="shared" si="1"/>
        <v>0</v>
      </c>
      <c r="I667" s="115"/>
      <c r="J667" s="115"/>
      <c r="K667" s="60">
        <f t="shared" si="2"/>
        <v>0</v>
      </c>
      <c r="L667" s="117"/>
    </row>
    <row r="668" ht="15.75" customHeight="1">
      <c r="A668" s="9"/>
      <c r="B668" s="164"/>
      <c r="C668" s="110"/>
      <c r="D668" s="156"/>
      <c r="E668" s="111"/>
      <c r="F668" s="112"/>
      <c r="G668" s="113"/>
      <c r="H668" s="53">
        <f t="shared" si="1"/>
        <v>0</v>
      </c>
      <c r="I668" s="115"/>
      <c r="J668" s="115"/>
      <c r="K668" s="60">
        <f t="shared" si="2"/>
        <v>0</v>
      </c>
      <c r="L668" s="117"/>
    </row>
    <row r="669" ht="15.75" customHeight="1">
      <c r="A669" s="9"/>
      <c r="B669" s="164"/>
      <c r="C669" s="110"/>
      <c r="D669" s="156"/>
      <c r="E669" s="111"/>
      <c r="F669" s="112"/>
      <c r="G669" s="113"/>
      <c r="H669" s="53">
        <f t="shared" si="1"/>
        <v>0</v>
      </c>
      <c r="I669" s="115"/>
      <c r="J669" s="115"/>
      <c r="K669" s="60">
        <f t="shared" si="2"/>
        <v>0</v>
      </c>
      <c r="L669" s="117"/>
    </row>
    <row r="670" ht="15.75" customHeight="1">
      <c r="A670" s="9"/>
      <c r="B670" s="164"/>
      <c r="C670" s="110"/>
      <c r="D670" s="156"/>
      <c r="E670" s="111"/>
      <c r="F670" s="112"/>
      <c r="G670" s="113"/>
      <c r="H670" s="53">
        <f t="shared" si="1"/>
        <v>0</v>
      </c>
      <c r="I670" s="115"/>
      <c r="J670" s="115"/>
      <c r="K670" s="60">
        <f t="shared" si="2"/>
        <v>0</v>
      </c>
      <c r="L670" s="117"/>
    </row>
    <row r="671" ht="15.75" customHeight="1">
      <c r="A671" s="9"/>
      <c r="B671" s="164"/>
      <c r="C671" s="110"/>
      <c r="D671" s="156"/>
      <c r="E671" s="111"/>
      <c r="F671" s="112"/>
      <c r="G671" s="113"/>
      <c r="H671" s="53">
        <f t="shared" si="1"/>
        <v>0</v>
      </c>
      <c r="I671" s="115"/>
      <c r="J671" s="115"/>
      <c r="K671" s="60">
        <f t="shared" si="2"/>
        <v>0</v>
      </c>
      <c r="L671" s="117"/>
    </row>
    <row r="672" ht="15.75" customHeight="1">
      <c r="A672" s="9"/>
      <c r="B672" s="164"/>
      <c r="C672" s="110"/>
      <c r="D672" s="156"/>
      <c r="E672" s="111"/>
      <c r="F672" s="112"/>
      <c r="G672" s="113"/>
      <c r="H672" s="53">
        <f t="shared" si="1"/>
        <v>0</v>
      </c>
      <c r="I672" s="115"/>
      <c r="J672" s="115"/>
      <c r="K672" s="60">
        <f t="shared" si="2"/>
        <v>0</v>
      </c>
      <c r="L672" s="117"/>
    </row>
    <row r="673" ht="15.75" customHeight="1">
      <c r="A673" s="9"/>
      <c r="B673" s="164"/>
      <c r="C673" s="110"/>
      <c r="D673" s="156"/>
      <c r="E673" s="111"/>
      <c r="F673" s="112"/>
      <c r="G673" s="113"/>
      <c r="H673" s="53">
        <f t="shared" si="1"/>
        <v>0</v>
      </c>
      <c r="I673" s="115"/>
      <c r="J673" s="115"/>
      <c r="K673" s="60">
        <f t="shared" si="2"/>
        <v>0</v>
      </c>
      <c r="L673" s="117"/>
    </row>
    <row r="674" ht="15.75" customHeight="1">
      <c r="A674" s="9"/>
      <c r="B674" s="164"/>
      <c r="C674" s="110"/>
      <c r="D674" s="156"/>
      <c r="E674" s="111"/>
      <c r="F674" s="112"/>
      <c r="G674" s="113"/>
      <c r="H674" s="53">
        <f t="shared" si="1"/>
        <v>0</v>
      </c>
      <c r="I674" s="115"/>
      <c r="J674" s="115"/>
      <c r="K674" s="60">
        <f t="shared" si="2"/>
        <v>0</v>
      </c>
      <c r="L674" s="117"/>
    </row>
    <row r="675" ht="15.75" customHeight="1">
      <c r="A675" s="9"/>
      <c r="B675" s="164"/>
      <c r="C675" s="110"/>
      <c r="D675" s="156"/>
      <c r="E675" s="111"/>
      <c r="F675" s="112"/>
      <c r="G675" s="113"/>
      <c r="H675" s="53">
        <f t="shared" si="1"/>
        <v>0</v>
      </c>
      <c r="I675" s="115"/>
      <c r="J675" s="115"/>
      <c r="K675" s="60">
        <f t="shared" si="2"/>
        <v>0</v>
      </c>
      <c r="L675" s="117"/>
    </row>
    <row r="676" ht="15.75" customHeight="1">
      <c r="A676" s="9"/>
      <c r="B676" s="164"/>
      <c r="C676" s="110"/>
      <c r="D676" s="156"/>
      <c r="E676" s="111"/>
      <c r="F676" s="112"/>
      <c r="G676" s="113"/>
      <c r="H676" s="53">
        <f t="shared" si="1"/>
        <v>0</v>
      </c>
      <c r="I676" s="115"/>
      <c r="J676" s="115"/>
      <c r="K676" s="60">
        <f t="shared" si="2"/>
        <v>0</v>
      </c>
      <c r="L676" s="117"/>
    </row>
    <row r="677" ht="15.75" customHeight="1">
      <c r="A677" s="9"/>
      <c r="B677" s="164"/>
      <c r="C677" s="110"/>
      <c r="D677" s="156"/>
      <c r="E677" s="111"/>
      <c r="F677" s="112"/>
      <c r="G677" s="113"/>
      <c r="H677" s="53">
        <f t="shared" si="1"/>
        <v>0</v>
      </c>
      <c r="I677" s="115"/>
      <c r="J677" s="115"/>
      <c r="K677" s="60">
        <f t="shared" si="2"/>
        <v>0</v>
      </c>
      <c r="L677" s="117"/>
    </row>
    <row r="678" ht="15.75" customHeight="1">
      <c r="A678" s="9"/>
      <c r="B678" s="164"/>
      <c r="C678" s="110"/>
      <c r="D678" s="156"/>
      <c r="E678" s="111"/>
      <c r="F678" s="112"/>
      <c r="G678" s="113"/>
      <c r="H678" s="53">
        <f t="shared" si="1"/>
        <v>0</v>
      </c>
      <c r="I678" s="115"/>
      <c r="J678" s="115"/>
      <c r="K678" s="60">
        <f t="shared" si="2"/>
        <v>0</v>
      </c>
      <c r="L678" s="117"/>
    </row>
    <row r="679" ht="15.75" customHeight="1">
      <c r="A679" s="9"/>
      <c r="B679" s="164"/>
      <c r="C679" s="110"/>
      <c r="D679" s="156"/>
      <c r="E679" s="111"/>
      <c r="F679" s="112"/>
      <c r="G679" s="113"/>
      <c r="H679" s="53">
        <f t="shared" si="1"/>
        <v>0</v>
      </c>
      <c r="I679" s="115"/>
      <c r="J679" s="115"/>
      <c r="K679" s="60">
        <f t="shared" si="2"/>
        <v>0</v>
      </c>
      <c r="L679" s="117"/>
    </row>
    <row r="680" ht="15.75" customHeight="1">
      <c r="A680" s="9"/>
      <c r="B680" s="164"/>
      <c r="C680" s="110"/>
      <c r="D680" s="156"/>
      <c r="E680" s="111"/>
      <c r="F680" s="112"/>
      <c r="G680" s="113"/>
      <c r="H680" s="53">
        <f t="shared" si="1"/>
        <v>0</v>
      </c>
      <c r="I680" s="115"/>
      <c r="J680" s="115"/>
      <c r="K680" s="60">
        <f t="shared" si="2"/>
        <v>0</v>
      </c>
      <c r="L680" s="117"/>
    </row>
    <row r="681" ht="15.75" customHeight="1">
      <c r="A681" s="9"/>
      <c r="B681" s="164"/>
      <c r="C681" s="110"/>
      <c r="D681" s="156"/>
      <c r="E681" s="111"/>
      <c r="F681" s="112"/>
      <c r="G681" s="113"/>
      <c r="H681" s="53">
        <f t="shared" si="1"/>
        <v>0</v>
      </c>
      <c r="I681" s="115"/>
      <c r="J681" s="115"/>
      <c r="K681" s="60">
        <f t="shared" si="2"/>
        <v>0</v>
      </c>
      <c r="L681" s="117"/>
    </row>
    <row r="682" ht="15.75" customHeight="1">
      <c r="A682" s="9"/>
      <c r="B682" s="164"/>
      <c r="C682" s="110"/>
      <c r="D682" s="156"/>
      <c r="E682" s="111"/>
      <c r="F682" s="112"/>
      <c r="G682" s="113"/>
      <c r="H682" s="53">
        <f t="shared" si="1"/>
        <v>0</v>
      </c>
      <c r="I682" s="115"/>
      <c r="J682" s="115"/>
      <c r="K682" s="60">
        <f t="shared" si="2"/>
        <v>0</v>
      </c>
      <c r="L682" s="117"/>
    </row>
    <row r="683" ht="15.75" customHeight="1">
      <c r="A683" s="9"/>
      <c r="B683" s="164"/>
      <c r="C683" s="110"/>
      <c r="D683" s="156"/>
      <c r="E683" s="111"/>
      <c r="F683" s="112"/>
      <c r="G683" s="113"/>
      <c r="H683" s="53">
        <f t="shared" si="1"/>
        <v>0</v>
      </c>
      <c r="I683" s="115"/>
      <c r="J683" s="115"/>
      <c r="K683" s="60">
        <f t="shared" si="2"/>
        <v>0</v>
      </c>
      <c r="L683" s="117"/>
    </row>
    <row r="684" ht="15.75" customHeight="1">
      <c r="A684" s="9"/>
      <c r="B684" s="164"/>
      <c r="C684" s="110"/>
      <c r="D684" s="156"/>
      <c r="E684" s="111"/>
      <c r="F684" s="112"/>
      <c r="G684" s="113"/>
      <c r="H684" s="53">
        <f t="shared" si="1"/>
        <v>0</v>
      </c>
      <c r="I684" s="115"/>
      <c r="J684" s="115"/>
      <c r="K684" s="60">
        <f t="shared" si="2"/>
        <v>0</v>
      </c>
      <c r="L684" s="117"/>
    </row>
    <row r="685" ht="15.75" customHeight="1">
      <c r="A685" s="9"/>
      <c r="B685" s="164"/>
      <c r="C685" s="110"/>
      <c r="D685" s="156"/>
      <c r="E685" s="111"/>
      <c r="F685" s="112"/>
      <c r="G685" s="113"/>
      <c r="H685" s="53">
        <f t="shared" si="1"/>
        <v>0</v>
      </c>
      <c r="I685" s="115"/>
      <c r="J685" s="115"/>
      <c r="K685" s="60">
        <f t="shared" si="2"/>
        <v>0</v>
      </c>
      <c r="L685" s="117"/>
    </row>
    <row r="686" ht="15.75" customHeight="1">
      <c r="A686" s="9"/>
      <c r="B686" s="164"/>
      <c r="C686" s="110"/>
      <c r="D686" s="156"/>
      <c r="E686" s="111"/>
      <c r="F686" s="112"/>
      <c r="G686" s="113"/>
      <c r="H686" s="53">
        <f t="shared" si="1"/>
        <v>0</v>
      </c>
      <c r="I686" s="115"/>
      <c r="J686" s="115"/>
      <c r="K686" s="60">
        <f t="shared" si="2"/>
        <v>0</v>
      </c>
      <c r="L686" s="117"/>
    </row>
    <row r="687" ht="15.75" customHeight="1">
      <c r="A687" s="9"/>
      <c r="B687" s="164"/>
      <c r="C687" s="110"/>
      <c r="D687" s="156"/>
      <c r="E687" s="111"/>
      <c r="F687" s="112"/>
      <c r="G687" s="113"/>
      <c r="H687" s="53">
        <f t="shared" si="1"/>
        <v>0</v>
      </c>
      <c r="I687" s="115"/>
      <c r="J687" s="115"/>
      <c r="K687" s="60">
        <f t="shared" si="2"/>
        <v>0</v>
      </c>
      <c r="L687" s="117"/>
    </row>
    <row r="688" ht="15.75" customHeight="1">
      <c r="A688" s="9"/>
      <c r="B688" s="164"/>
      <c r="C688" s="110"/>
      <c r="D688" s="156"/>
      <c r="E688" s="111"/>
      <c r="F688" s="112"/>
      <c r="G688" s="113"/>
      <c r="H688" s="53">
        <f t="shared" si="1"/>
        <v>0</v>
      </c>
      <c r="I688" s="115"/>
      <c r="J688" s="115"/>
      <c r="K688" s="60">
        <f t="shared" si="2"/>
        <v>0</v>
      </c>
      <c r="L688" s="117"/>
    </row>
    <row r="689" ht="15.75" customHeight="1">
      <c r="A689" s="9"/>
      <c r="B689" s="164"/>
      <c r="C689" s="110"/>
      <c r="D689" s="156"/>
      <c r="E689" s="111"/>
      <c r="F689" s="112"/>
      <c r="G689" s="113"/>
      <c r="H689" s="53">
        <f t="shared" si="1"/>
        <v>0</v>
      </c>
      <c r="I689" s="115"/>
      <c r="J689" s="115"/>
      <c r="K689" s="60">
        <f t="shared" si="2"/>
        <v>0</v>
      </c>
      <c r="L689" s="117"/>
    </row>
    <row r="690" ht="15.75" customHeight="1">
      <c r="A690" s="9"/>
      <c r="B690" s="164"/>
      <c r="C690" s="110"/>
      <c r="D690" s="156"/>
      <c r="E690" s="111"/>
      <c r="F690" s="112"/>
      <c r="G690" s="113"/>
      <c r="H690" s="53">
        <f t="shared" si="1"/>
        <v>0</v>
      </c>
      <c r="I690" s="115"/>
      <c r="J690" s="115"/>
      <c r="K690" s="60">
        <f t="shared" si="2"/>
        <v>0</v>
      </c>
      <c r="L690" s="117"/>
    </row>
    <row r="691" ht="15.75" customHeight="1">
      <c r="A691" s="9"/>
      <c r="B691" s="164"/>
      <c r="C691" s="110"/>
      <c r="D691" s="156"/>
      <c r="E691" s="111"/>
      <c r="F691" s="112"/>
      <c r="G691" s="113"/>
      <c r="H691" s="53">
        <f t="shared" si="1"/>
        <v>0</v>
      </c>
      <c r="I691" s="115"/>
      <c r="J691" s="115"/>
      <c r="K691" s="60">
        <f t="shared" si="2"/>
        <v>0</v>
      </c>
      <c r="L691" s="117"/>
    </row>
    <row r="692" ht="15.75" customHeight="1">
      <c r="A692" s="9"/>
      <c r="B692" s="164"/>
      <c r="C692" s="110"/>
      <c r="D692" s="156"/>
      <c r="E692" s="111"/>
      <c r="F692" s="112"/>
      <c r="G692" s="113"/>
      <c r="H692" s="53">
        <f t="shared" si="1"/>
        <v>0</v>
      </c>
      <c r="I692" s="115"/>
      <c r="J692" s="115"/>
      <c r="K692" s="60">
        <f t="shared" si="2"/>
        <v>0</v>
      </c>
      <c r="L692" s="117"/>
    </row>
    <row r="693" ht="15.75" customHeight="1">
      <c r="A693" s="9"/>
      <c r="B693" s="164"/>
      <c r="C693" s="110"/>
      <c r="D693" s="156"/>
      <c r="E693" s="111"/>
      <c r="F693" s="112"/>
      <c r="G693" s="113"/>
      <c r="H693" s="53">
        <f t="shared" si="1"/>
        <v>0</v>
      </c>
      <c r="I693" s="115"/>
      <c r="J693" s="115"/>
      <c r="K693" s="60">
        <f t="shared" si="2"/>
        <v>0</v>
      </c>
      <c r="L693" s="117"/>
    </row>
    <row r="694" ht="15.75" customHeight="1">
      <c r="A694" s="9"/>
      <c r="B694" s="164"/>
      <c r="C694" s="110"/>
      <c r="D694" s="156"/>
      <c r="E694" s="111"/>
      <c r="F694" s="112"/>
      <c r="G694" s="113"/>
      <c r="H694" s="53">
        <f t="shared" si="1"/>
        <v>0</v>
      </c>
      <c r="I694" s="115"/>
      <c r="J694" s="115"/>
      <c r="K694" s="60">
        <f t="shared" si="2"/>
        <v>0</v>
      </c>
      <c r="L694" s="117"/>
    </row>
    <row r="695" ht="15.75" customHeight="1">
      <c r="A695" s="9"/>
      <c r="B695" s="164"/>
      <c r="C695" s="110"/>
      <c r="D695" s="156"/>
      <c r="E695" s="111"/>
      <c r="F695" s="112"/>
      <c r="G695" s="113"/>
      <c r="H695" s="53">
        <f t="shared" si="1"/>
        <v>0</v>
      </c>
      <c r="I695" s="115"/>
      <c r="J695" s="115"/>
      <c r="K695" s="60">
        <f t="shared" si="2"/>
        <v>0</v>
      </c>
      <c r="L695" s="117"/>
    </row>
    <row r="696" ht="15.75" customHeight="1">
      <c r="A696" s="9"/>
      <c r="B696" s="164"/>
      <c r="C696" s="110"/>
      <c r="D696" s="156"/>
      <c r="E696" s="111"/>
      <c r="F696" s="112"/>
      <c r="G696" s="113"/>
      <c r="H696" s="53">
        <f t="shared" si="1"/>
        <v>0</v>
      </c>
      <c r="I696" s="115"/>
      <c r="J696" s="115"/>
      <c r="K696" s="60">
        <f t="shared" si="2"/>
        <v>0</v>
      </c>
      <c r="L696" s="117"/>
    </row>
    <row r="697" ht="15.75" customHeight="1">
      <c r="A697" s="9"/>
      <c r="B697" s="164"/>
      <c r="C697" s="110"/>
      <c r="D697" s="156"/>
      <c r="E697" s="111"/>
      <c r="F697" s="112"/>
      <c r="G697" s="113"/>
      <c r="H697" s="53">
        <f t="shared" si="1"/>
        <v>0</v>
      </c>
      <c r="I697" s="115"/>
      <c r="J697" s="115"/>
      <c r="K697" s="60">
        <f t="shared" si="2"/>
        <v>0</v>
      </c>
      <c r="L697" s="117"/>
    </row>
    <row r="698" ht="15.75" customHeight="1">
      <c r="A698" s="9"/>
      <c r="B698" s="164"/>
      <c r="C698" s="110"/>
      <c r="D698" s="156"/>
      <c r="E698" s="111"/>
      <c r="F698" s="112"/>
      <c r="G698" s="113"/>
      <c r="H698" s="53">
        <f t="shared" si="1"/>
        <v>0</v>
      </c>
      <c r="I698" s="115"/>
      <c r="J698" s="115"/>
      <c r="K698" s="60">
        <f t="shared" si="2"/>
        <v>0</v>
      </c>
      <c r="L698" s="117"/>
    </row>
    <row r="699" ht="15.75" customHeight="1">
      <c r="A699" s="9"/>
      <c r="B699" s="164"/>
      <c r="C699" s="110"/>
      <c r="D699" s="156"/>
      <c r="E699" s="111"/>
      <c r="F699" s="112"/>
      <c r="G699" s="113"/>
      <c r="H699" s="53">
        <f t="shared" si="1"/>
        <v>0</v>
      </c>
      <c r="I699" s="115"/>
      <c r="J699" s="115"/>
      <c r="K699" s="60">
        <f t="shared" si="2"/>
        <v>0</v>
      </c>
      <c r="L699" s="117"/>
    </row>
    <row r="700" ht="15.75" customHeight="1">
      <c r="A700" s="9"/>
      <c r="B700" s="164"/>
      <c r="C700" s="110"/>
      <c r="D700" s="156"/>
      <c r="E700" s="111"/>
      <c r="F700" s="112"/>
      <c r="G700" s="113"/>
      <c r="H700" s="53">
        <f t="shared" si="1"/>
        <v>0</v>
      </c>
      <c r="I700" s="115"/>
      <c r="J700" s="115"/>
      <c r="K700" s="60">
        <f t="shared" si="2"/>
        <v>0</v>
      </c>
      <c r="L700" s="117"/>
    </row>
    <row r="701" ht="15.75" customHeight="1">
      <c r="A701" s="9"/>
      <c r="B701" s="164"/>
      <c r="C701" s="110"/>
      <c r="D701" s="156"/>
      <c r="E701" s="111"/>
      <c r="F701" s="112"/>
      <c r="G701" s="113"/>
      <c r="H701" s="53">
        <f t="shared" si="1"/>
        <v>0</v>
      </c>
      <c r="I701" s="115"/>
      <c r="J701" s="115"/>
      <c r="K701" s="60">
        <f t="shared" si="2"/>
        <v>0</v>
      </c>
      <c r="L701" s="117"/>
    </row>
    <row r="702" ht="15.75" customHeight="1">
      <c r="A702" s="9"/>
      <c r="B702" s="164"/>
      <c r="C702" s="110"/>
      <c r="D702" s="156"/>
      <c r="E702" s="111"/>
      <c r="F702" s="112"/>
      <c r="G702" s="113"/>
      <c r="H702" s="53">
        <f t="shared" si="1"/>
        <v>0</v>
      </c>
      <c r="I702" s="115"/>
      <c r="J702" s="115"/>
      <c r="K702" s="60">
        <f t="shared" si="2"/>
        <v>0</v>
      </c>
      <c r="L702" s="117"/>
    </row>
    <row r="703" ht="15.75" customHeight="1">
      <c r="A703" s="9"/>
      <c r="B703" s="164"/>
      <c r="C703" s="110"/>
      <c r="D703" s="156"/>
      <c r="E703" s="111"/>
      <c r="F703" s="112"/>
      <c r="G703" s="113"/>
      <c r="H703" s="53">
        <f t="shared" si="1"/>
        <v>0</v>
      </c>
      <c r="I703" s="115"/>
      <c r="J703" s="115"/>
      <c r="K703" s="60">
        <f t="shared" si="2"/>
        <v>0</v>
      </c>
      <c r="L703" s="117"/>
    </row>
    <row r="704" ht="15.75" customHeight="1">
      <c r="A704" s="9"/>
      <c r="B704" s="164"/>
      <c r="C704" s="110"/>
      <c r="D704" s="156"/>
      <c r="E704" s="111"/>
      <c r="F704" s="112"/>
      <c r="G704" s="113"/>
      <c r="H704" s="53">
        <f t="shared" si="1"/>
        <v>0</v>
      </c>
      <c r="I704" s="115"/>
      <c r="J704" s="115"/>
      <c r="K704" s="60">
        <f t="shared" si="2"/>
        <v>0</v>
      </c>
      <c r="L704" s="117"/>
    </row>
    <row r="705" ht="15.75" customHeight="1">
      <c r="A705" s="9"/>
      <c r="B705" s="164"/>
      <c r="C705" s="110"/>
      <c r="D705" s="156"/>
      <c r="E705" s="111"/>
      <c r="F705" s="112"/>
      <c r="G705" s="113"/>
      <c r="H705" s="53">
        <f t="shared" si="1"/>
        <v>0</v>
      </c>
      <c r="I705" s="115"/>
      <c r="J705" s="115"/>
      <c r="K705" s="60">
        <f t="shared" si="2"/>
        <v>0</v>
      </c>
      <c r="L705" s="117"/>
    </row>
    <row r="706" ht="15.75" customHeight="1">
      <c r="A706" s="9"/>
      <c r="B706" s="164"/>
      <c r="C706" s="110"/>
      <c r="D706" s="156"/>
      <c r="E706" s="111"/>
      <c r="F706" s="112"/>
      <c r="G706" s="113"/>
      <c r="H706" s="53">
        <f t="shared" si="1"/>
        <v>0</v>
      </c>
      <c r="I706" s="115"/>
      <c r="J706" s="115"/>
      <c r="K706" s="60">
        <f t="shared" si="2"/>
        <v>0</v>
      </c>
      <c r="L706" s="117"/>
    </row>
    <row r="707" ht="15.75" customHeight="1">
      <c r="A707" s="9"/>
      <c r="B707" s="164"/>
      <c r="C707" s="110"/>
      <c r="D707" s="156"/>
      <c r="E707" s="111"/>
      <c r="F707" s="112"/>
      <c r="G707" s="113"/>
      <c r="H707" s="53">
        <f t="shared" si="1"/>
        <v>0</v>
      </c>
      <c r="I707" s="115"/>
      <c r="J707" s="115"/>
      <c r="K707" s="60">
        <f t="shared" si="2"/>
        <v>0</v>
      </c>
      <c r="L707" s="117"/>
    </row>
    <row r="708" ht="15.75" customHeight="1">
      <c r="A708" s="9"/>
      <c r="B708" s="164"/>
      <c r="C708" s="110"/>
      <c r="D708" s="156"/>
      <c r="E708" s="111"/>
      <c r="F708" s="112"/>
      <c r="G708" s="113"/>
      <c r="H708" s="53">
        <f t="shared" si="1"/>
        <v>0</v>
      </c>
      <c r="I708" s="115"/>
      <c r="J708" s="115"/>
      <c r="K708" s="60">
        <f t="shared" si="2"/>
        <v>0</v>
      </c>
      <c r="L708" s="117"/>
    </row>
    <row r="709" ht="15.75" customHeight="1">
      <c r="A709" s="9"/>
      <c r="B709" s="164"/>
      <c r="C709" s="110"/>
      <c r="D709" s="156"/>
      <c r="E709" s="111"/>
      <c r="F709" s="112"/>
      <c r="G709" s="113"/>
      <c r="H709" s="53">
        <f t="shared" si="1"/>
        <v>0</v>
      </c>
      <c r="I709" s="115"/>
      <c r="J709" s="115"/>
      <c r="K709" s="60">
        <f t="shared" si="2"/>
        <v>0</v>
      </c>
      <c r="L709" s="117"/>
    </row>
    <row r="710" ht="15.75" customHeight="1">
      <c r="A710" s="9"/>
      <c r="B710" s="164"/>
      <c r="C710" s="110"/>
      <c r="D710" s="156"/>
      <c r="E710" s="111"/>
      <c r="F710" s="112"/>
      <c r="G710" s="113"/>
      <c r="H710" s="53">
        <f t="shared" si="1"/>
        <v>0</v>
      </c>
      <c r="I710" s="115"/>
      <c r="J710" s="115"/>
      <c r="K710" s="60">
        <f t="shared" si="2"/>
        <v>0</v>
      </c>
      <c r="L710" s="117"/>
    </row>
    <row r="711" ht="15.75" customHeight="1">
      <c r="A711" s="9"/>
      <c r="B711" s="164"/>
      <c r="C711" s="110"/>
      <c r="D711" s="156"/>
      <c r="E711" s="111"/>
      <c r="F711" s="112"/>
      <c r="G711" s="113"/>
      <c r="H711" s="53">
        <f t="shared" si="1"/>
        <v>0</v>
      </c>
      <c r="I711" s="115"/>
      <c r="J711" s="115"/>
      <c r="K711" s="60">
        <f t="shared" si="2"/>
        <v>0</v>
      </c>
      <c r="L711" s="117"/>
    </row>
    <row r="712" ht="15.75" customHeight="1">
      <c r="A712" s="9"/>
      <c r="B712" s="164"/>
      <c r="C712" s="110"/>
      <c r="D712" s="156"/>
      <c r="E712" s="111"/>
      <c r="F712" s="112"/>
      <c r="G712" s="113"/>
      <c r="H712" s="53">
        <f t="shared" si="1"/>
        <v>0</v>
      </c>
      <c r="I712" s="115"/>
      <c r="J712" s="115"/>
      <c r="K712" s="60">
        <f t="shared" si="2"/>
        <v>0</v>
      </c>
      <c r="L712" s="117"/>
    </row>
    <row r="713" ht="15.75" customHeight="1">
      <c r="A713" s="9"/>
      <c r="B713" s="164"/>
      <c r="C713" s="110"/>
      <c r="D713" s="156"/>
      <c r="E713" s="111"/>
      <c r="F713" s="112"/>
      <c r="G713" s="113"/>
      <c r="H713" s="53">
        <f t="shared" si="1"/>
        <v>0</v>
      </c>
      <c r="I713" s="115"/>
      <c r="J713" s="115"/>
      <c r="K713" s="60">
        <f t="shared" si="2"/>
        <v>0</v>
      </c>
      <c r="L713" s="117"/>
    </row>
    <row r="714" ht="15.75" customHeight="1">
      <c r="A714" s="9"/>
      <c r="B714" s="164"/>
      <c r="C714" s="110"/>
      <c r="D714" s="156"/>
      <c r="E714" s="111"/>
      <c r="F714" s="112"/>
      <c r="G714" s="113"/>
      <c r="H714" s="53">
        <f t="shared" si="1"/>
        <v>0</v>
      </c>
      <c r="I714" s="115"/>
      <c r="J714" s="115"/>
      <c r="K714" s="60">
        <f t="shared" si="2"/>
        <v>0</v>
      </c>
      <c r="L714" s="117"/>
    </row>
    <row r="715" ht="15.75" customHeight="1">
      <c r="A715" s="9"/>
      <c r="B715" s="164"/>
      <c r="C715" s="110"/>
      <c r="D715" s="156"/>
      <c r="E715" s="111"/>
      <c r="F715" s="112"/>
      <c r="G715" s="113"/>
      <c r="H715" s="53">
        <f t="shared" si="1"/>
        <v>0</v>
      </c>
      <c r="I715" s="115"/>
      <c r="J715" s="115"/>
      <c r="K715" s="60">
        <f t="shared" si="2"/>
        <v>0</v>
      </c>
      <c r="L715" s="117"/>
    </row>
    <row r="716" ht="15.75" customHeight="1">
      <c r="A716" s="9"/>
      <c r="B716" s="164"/>
      <c r="C716" s="110"/>
      <c r="D716" s="156"/>
      <c r="E716" s="111"/>
      <c r="F716" s="112"/>
      <c r="G716" s="113"/>
      <c r="H716" s="53">
        <f t="shared" si="1"/>
        <v>0</v>
      </c>
      <c r="I716" s="115"/>
      <c r="J716" s="115"/>
      <c r="K716" s="60">
        <f t="shared" si="2"/>
        <v>0</v>
      </c>
      <c r="L716" s="117"/>
    </row>
    <row r="717" ht="15.75" customHeight="1">
      <c r="A717" s="9"/>
      <c r="B717" s="164"/>
      <c r="C717" s="110"/>
      <c r="D717" s="156"/>
      <c r="E717" s="111"/>
      <c r="F717" s="112"/>
      <c r="G717" s="113"/>
      <c r="H717" s="53">
        <f t="shared" si="1"/>
        <v>0</v>
      </c>
      <c r="I717" s="115"/>
      <c r="J717" s="115"/>
      <c r="K717" s="60">
        <f t="shared" si="2"/>
        <v>0</v>
      </c>
      <c r="L717" s="117"/>
    </row>
    <row r="718" ht="15.75" customHeight="1">
      <c r="A718" s="9"/>
      <c r="B718" s="164"/>
      <c r="C718" s="110"/>
      <c r="D718" s="156"/>
      <c r="E718" s="111"/>
      <c r="F718" s="112"/>
      <c r="G718" s="113"/>
      <c r="H718" s="53">
        <f t="shared" si="1"/>
        <v>0</v>
      </c>
      <c r="I718" s="115"/>
      <c r="J718" s="115"/>
      <c r="K718" s="60">
        <f t="shared" si="2"/>
        <v>0</v>
      </c>
      <c r="L718" s="117"/>
    </row>
    <row r="719" ht="15.75" customHeight="1">
      <c r="A719" s="9"/>
      <c r="B719" s="164"/>
      <c r="C719" s="110"/>
      <c r="D719" s="156"/>
      <c r="E719" s="111"/>
      <c r="F719" s="112"/>
      <c r="G719" s="113"/>
      <c r="H719" s="53">
        <f t="shared" si="1"/>
        <v>0</v>
      </c>
      <c r="I719" s="115"/>
      <c r="J719" s="115"/>
      <c r="K719" s="60">
        <f t="shared" si="2"/>
        <v>0</v>
      </c>
      <c r="L719" s="117"/>
    </row>
    <row r="720" ht="15.75" customHeight="1">
      <c r="A720" s="9"/>
      <c r="B720" s="164"/>
      <c r="C720" s="110"/>
      <c r="D720" s="156"/>
      <c r="E720" s="111"/>
      <c r="F720" s="112"/>
      <c r="G720" s="113"/>
      <c r="H720" s="53">
        <f t="shared" si="1"/>
        <v>0</v>
      </c>
      <c r="I720" s="115"/>
      <c r="J720" s="115"/>
      <c r="K720" s="60">
        <f t="shared" si="2"/>
        <v>0</v>
      </c>
      <c r="L720" s="117"/>
    </row>
    <row r="721" ht="15.75" customHeight="1">
      <c r="A721" s="9"/>
      <c r="B721" s="164"/>
      <c r="C721" s="110"/>
      <c r="D721" s="156"/>
      <c r="E721" s="111"/>
      <c r="F721" s="112"/>
      <c r="G721" s="113"/>
      <c r="H721" s="53">
        <f t="shared" si="1"/>
        <v>0</v>
      </c>
      <c r="I721" s="115"/>
      <c r="J721" s="115"/>
      <c r="K721" s="60">
        <f t="shared" si="2"/>
        <v>0</v>
      </c>
      <c r="L721" s="117"/>
    </row>
    <row r="722" ht="15.75" customHeight="1">
      <c r="A722" s="9"/>
      <c r="B722" s="164"/>
      <c r="C722" s="110"/>
      <c r="D722" s="156"/>
      <c r="E722" s="111"/>
      <c r="F722" s="112"/>
      <c r="G722" s="113"/>
      <c r="H722" s="53">
        <f t="shared" si="1"/>
        <v>0</v>
      </c>
      <c r="I722" s="115"/>
      <c r="J722" s="115"/>
      <c r="K722" s="60">
        <f t="shared" si="2"/>
        <v>0</v>
      </c>
      <c r="L722" s="117"/>
    </row>
    <row r="723" ht="15.75" customHeight="1">
      <c r="A723" s="9"/>
      <c r="B723" s="164"/>
      <c r="C723" s="110"/>
      <c r="D723" s="156"/>
      <c r="E723" s="111"/>
      <c r="F723" s="112"/>
      <c r="G723" s="113"/>
      <c r="H723" s="53">
        <f t="shared" si="1"/>
        <v>0</v>
      </c>
      <c r="I723" s="115"/>
      <c r="J723" s="115"/>
      <c r="K723" s="60">
        <f t="shared" si="2"/>
        <v>0</v>
      </c>
      <c r="L723" s="117"/>
    </row>
    <row r="724" ht="15.75" customHeight="1">
      <c r="A724" s="9"/>
      <c r="B724" s="164"/>
      <c r="C724" s="110"/>
      <c r="D724" s="156"/>
      <c r="E724" s="111"/>
      <c r="F724" s="112"/>
      <c r="G724" s="113"/>
      <c r="H724" s="53">
        <f t="shared" si="1"/>
        <v>0</v>
      </c>
      <c r="I724" s="115"/>
      <c r="J724" s="115"/>
      <c r="K724" s="60">
        <f t="shared" si="2"/>
        <v>0</v>
      </c>
      <c r="L724" s="117"/>
    </row>
    <row r="725" ht="15.75" customHeight="1">
      <c r="A725" s="9"/>
      <c r="B725" s="164"/>
      <c r="C725" s="110"/>
      <c r="D725" s="156"/>
      <c r="E725" s="111"/>
      <c r="F725" s="112"/>
      <c r="G725" s="113"/>
      <c r="H725" s="53">
        <f t="shared" si="1"/>
        <v>0</v>
      </c>
      <c r="I725" s="115"/>
      <c r="J725" s="115"/>
      <c r="K725" s="60">
        <f t="shared" si="2"/>
        <v>0</v>
      </c>
      <c r="L725" s="117"/>
    </row>
    <row r="726" ht="15.75" customHeight="1">
      <c r="A726" s="9"/>
      <c r="B726" s="164"/>
      <c r="C726" s="110"/>
      <c r="D726" s="156"/>
      <c r="E726" s="111"/>
      <c r="F726" s="112"/>
      <c r="G726" s="113"/>
      <c r="H726" s="53">
        <f t="shared" si="1"/>
        <v>0</v>
      </c>
      <c r="I726" s="115"/>
      <c r="J726" s="115"/>
      <c r="K726" s="60">
        <f t="shared" si="2"/>
        <v>0</v>
      </c>
      <c r="L726" s="117"/>
    </row>
    <row r="727" ht="15.75" customHeight="1">
      <c r="A727" s="9"/>
      <c r="B727" s="164"/>
      <c r="C727" s="110"/>
      <c r="D727" s="156"/>
      <c r="E727" s="111"/>
      <c r="F727" s="112"/>
      <c r="G727" s="113"/>
      <c r="H727" s="53">
        <f t="shared" si="1"/>
        <v>0</v>
      </c>
      <c r="I727" s="115"/>
      <c r="J727" s="115"/>
      <c r="K727" s="60">
        <f t="shared" si="2"/>
        <v>0</v>
      </c>
      <c r="L727" s="117"/>
    </row>
    <row r="728" ht="15.75" customHeight="1">
      <c r="A728" s="9"/>
      <c r="B728" s="164"/>
      <c r="C728" s="110"/>
      <c r="D728" s="156"/>
      <c r="E728" s="111"/>
      <c r="F728" s="112"/>
      <c r="G728" s="113"/>
      <c r="H728" s="53">
        <f t="shared" si="1"/>
        <v>0</v>
      </c>
      <c r="I728" s="115"/>
      <c r="J728" s="115"/>
      <c r="K728" s="60">
        <f t="shared" si="2"/>
        <v>0</v>
      </c>
      <c r="L728" s="117"/>
    </row>
    <row r="729" ht="15.75" customHeight="1">
      <c r="A729" s="9"/>
      <c r="B729" s="164"/>
      <c r="C729" s="110"/>
      <c r="D729" s="156"/>
      <c r="E729" s="111"/>
      <c r="F729" s="112"/>
      <c r="G729" s="113"/>
      <c r="H729" s="53">
        <f t="shared" si="1"/>
        <v>0</v>
      </c>
      <c r="I729" s="115"/>
      <c r="J729" s="115"/>
      <c r="K729" s="60">
        <f t="shared" si="2"/>
        <v>0</v>
      </c>
      <c r="L729" s="117"/>
    </row>
    <row r="730" ht="15.75" customHeight="1">
      <c r="A730" s="9"/>
      <c r="B730" s="164"/>
      <c r="C730" s="110"/>
      <c r="D730" s="156"/>
      <c r="E730" s="111"/>
      <c r="F730" s="112"/>
      <c r="G730" s="113"/>
      <c r="H730" s="53">
        <f t="shared" si="1"/>
        <v>0</v>
      </c>
      <c r="I730" s="115"/>
      <c r="J730" s="115"/>
      <c r="K730" s="60">
        <f t="shared" si="2"/>
        <v>0</v>
      </c>
      <c r="L730" s="117"/>
    </row>
    <row r="731" ht="15.75" customHeight="1">
      <c r="A731" s="9"/>
      <c r="B731" s="164"/>
      <c r="C731" s="110"/>
      <c r="D731" s="156"/>
      <c r="E731" s="111"/>
      <c r="F731" s="112"/>
      <c r="G731" s="113"/>
      <c r="H731" s="53">
        <f t="shared" si="1"/>
        <v>0</v>
      </c>
      <c r="I731" s="115"/>
      <c r="J731" s="115"/>
      <c r="K731" s="60">
        <f t="shared" si="2"/>
        <v>0</v>
      </c>
      <c r="L731" s="117"/>
    </row>
    <row r="732" ht="15.75" customHeight="1">
      <c r="A732" s="9"/>
      <c r="B732" s="164"/>
      <c r="C732" s="110"/>
      <c r="D732" s="156"/>
      <c r="E732" s="111"/>
      <c r="F732" s="112"/>
      <c r="G732" s="113"/>
      <c r="H732" s="53">
        <f t="shared" si="1"/>
        <v>0</v>
      </c>
      <c r="I732" s="115"/>
      <c r="J732" s="115"/>
      <c r="K732" s="60">
        <f t="shared" si="2"/>
        <v>0</v>
      </c>
      <c r="L732" s="117"/>
    </row>
    <row r="733" ht="15.75" customHeight="1">
      <c r="A733" s="9"/>
      <c r="B733" s="164"/>
      <c r="C733" s="110"/>
      <c r="D733" s="156"/>
      <c r="E733" s="111"/>
      <c r="F733" s="112"/>
      <c r="G733" s="113"/>
      <c r="H733" s="53">
        <f t="shared" si="1"/>
        <v>0</v>
      </c>
      <c r="I733" s="115"/>
      <c r="J733" s="115"/>
      <c r="K733" s="60">
        <f t="shared" si="2"/>
        <v>0</v>
      </c>
      <c r="L733" s="117"/>
    </row>
    <row r="734" ht="15.75" customHeight="1">
      <c r="A734" s="9"/>
      <c r="B734" s="164"/>
      <c r="C734" s="110"/>
      <c r="D734" s="156"/>
      <c r="E734" s="111"/>
      <c r="F734" s="112"/>
      <c r="G734" s="113"/>
      <c r="H734" s="53">
        <f t="shared" si="1"/>
        <v>0</v>
      </c>
      <c r="I734" s="115"/>
      <c r="J734" s="115"/>
      <c r="K734" s="60">
        <f t="shared" si="2"/>
        <v>0</v>
      </c>
      <c r="L734" s="117"/>
    </row>
    <row r="735" ht="15.75" customHeight="1">
      <c r="A735" s="9"/>
      <c r="B735" s="164"/>
      <c r="C735" s="110"/>
      <c r="D735" s="156"/>
      <c r="E735" s="111"/>
      <c r="F735" s="112"/>
      <c r="G735" s="113"/>
      <c r="H735" s="53">
        <f t="shared" si="1"/>
        <v>0</v>
      </c>
      <c r="I735" s="115"/>
      <c r="J735" s="115"/>
      <c r="K735" s="60">
        <f t="shared" si="2"/>
        <v>0</v>
      </c>
      <c r="L735" s="117"/>
    </row>
    <row r="736" ht="15.75" customHeight="1">
      <c r="A736" s="9"/>
      <c r="B736" s="164"/>
      <c r="C736" s="110"/>
      <c r="D736" s="156"/>
      <c r="E736" s="111"/>
      <c r="F736" s="112"/>
      <c r="G736" s="113"/>
      <c r="H736" s="53">
        <f t="shared" si="1"/>
        <v>0</v>
      </c>
      <c r="I736" s="115"/>
      <c r="J736" s="115"/>
      <c r="K736" s="60">
        <f t="shared" si="2"/>
        <v>0</v>
      </c>
      <c r="L736" s="117"/>
    </row>
    <row r="737" ht="15.75" customHeight="1">
      <c r="A737" s="9"/>
      <c r="B737" s="164"/>
      <c r="C737" s="110"/>
      <c r="D737" s="156"/>
      <c r="E737" s="111"/>
      <c r="F737" s="112"/>
      <c r="G737" s="113"/>
      <c r="H737" s="53">
        <f t="shared" si="1"/>
        <v>0</v>
      </c>
      <c r="I737" s="115"/>
      <c r="J737" s="115"/>
      <c r="K737" s="60">
        <f t="shared" si="2"/>
        <v>0</v>
      </c>
      <c r="L737" s="117"/>
    </row>
    <row r="738" ht="15.75" customHeight="1">
      <c r="A738" s="9"/>
      <c r="B738" s="164"/>
      <c r="C738" s="110"/>
      <c r="D738" s="156"/>
      <c r="E738" s="111"/>
      <c r="F738" s="112"/>
      <c r="G738" s="113"/>
      <c r="H738" s="53">
        <f t="shared" si="1"/>
        <v>0</v>
      </c>
      <c r="I738" s="115"/>
      <c r="J738" s="115"/>
      <c r="K738" s="60">
        <f t="shared" si="2"/>
        <v>0</v>
      </c>
      <c r="L738" s="117"/>
    </row>
    <row r="739" ht="15.75" customHeight="1">
      <c r="A739" s="9"/>
      <c r="B739" s="164"/>
      <c r="C739" s="110"/>
      <c r="D739" s="156"/>
      <c r="E739" s="111"/>
      <c r="F739" s="112"/>
      <c r="G739" s="113"/>
      <c r="H739" s="53">
        <f t="shared" si="1"/>
        <v>0</v>
      </c>
      <c r="I739" s="115"/>
      <c r="J739" s="115"/>
      <c r="K739" s="60">
        <f t="shared" si="2"/>
        <v>0</v>
      </c>
      <c r="L739" s="117"/>
    </row>
    <row r="740" ht="15.75" customHeight="1">
      <c r="A740" s="9"/>
      <c r="B740" s="164"/>
      <c r="C740" s="110"/>
      <c r="D740" s="156"/>
      <c r="E740" s="111"/>
      <c r="F740" s="112"/>
      <c r="G740" s="113"/>
      <c r="H740" s="53">
        <f t="shared" si="1"/>
        <v>0</v>
      </c>
      <c r="I740" s="115"/>
      <c r="J740" s="115"/>
      <c r="K740" s="60">
        <f t="shared" si="2"/>
        <v>0</v>
      </c>
      <c r="L740" s="117"/>
    </row>
    <row r="741" ht="15.75" customHeight="1">
      <c r="A741" s="9"/>
      <c r="B741" s="164"/>
      <c r="C741" s="110"/>
      <c r="D741" s="156"/>
      <c r="E741" s="111"/>
      <c r="F741" s="112"/>
      <c r="G741" s="113"/>
      <c r="H741" s="53">
        <f t="shared" si="1"/>
        <v>0</v>
      </c>
      <c r="I741" s="115"/>
      <c r="J741" s="115"/>
      <c r="K741" s="60">
        <f t="shared" si="2"/>
        <v>0</v>
      </c>
      <c r="L741" s="117"/>
    </row>
    <row r="742" ht="15.75" customHeight="1">
      <c r="A742" s="9"/>
      <c r="B742" s="164"/>
      <c r="C742" s="110"/>
      <c r="D742" s="156"/>
      <c r="E742" s="111"/>
      <c r="F742" s="112"/>
      <c r="G742" s="113"/>
      <c r="H742" s="53">
        <f t="shared" si="1"/>
        <v>0</v>
      </c>
      <c r="I742" s="115"/>
      <c r="J742" s="115"/>
      <c r="K742" s="60">
        <f t="shared" si="2"/>
        <v>0</v>
      </c>
      <c r="L742" s="117"/>
    </row>
    <row r="743" ht="15.75" customHeight="1">
      <c r="A743" s="9"/>
      <c r="B743" s="164"/>
      <c r="C743" s="110"/>
      <c r="D743" s="156"/>
      <c r="E743" s="111"/>
      <c r="F743" s="112"/>
      <c r="G743" s="113"/>
      <c r="H743" s="53">
        <f t="shared" si="1"/>
        <v>0</v>
      </c>
      <c r="I743" s="115"/>
      <c r="J743" s="115"/>
      <c r="K743" s="60">
        <f t="shared" si="2"/>
        <v>0</v>
      </c>
      <c r="L743" s="117"/>
    </row>
    <row r="744" ht="15.75" customHeight="1">
      <c r="A744" s="9"/>
      <c r="B744" s="164"/>
      <c r="C744" s="110"/>
      <c r="D744" s="156"/>
      <c r="E744" s="111"/>
      <c r="F744" s="112"/>
      <c r="G744" s="113"/>
      <c r="H744" s="53">
        <f t="shared" si="1"/>
        <v>0</v>
      </c>
      <c r="I744" s="115"/>
      <c r="J744" s="115"/>
      <c r="K744" s="60">
        <f t="shared" si="2"/>
        <v>0</v>
      </c>
      <c r="L744" s="117"/>
    </row>
    <row r="745" ht="15.75" customHeight="1">
      <c r="A745" s="9"/>
      <c r="B745" s="164"/>
      <c r="C745" s="110"/>
      <c r="D745" s="156"/>
      <c r="E745" s="111"/>
      <c r="F745" s="112"/>
      <c r="G745" s="113"/>
      <c r="H745" s="53">
        <f t="shared" si="1"/>
        <v>0</v>
      </c>
      <c r="I745" s="115"/>
      <c r="J745" s="115"/>
      <c r="K745" s="60">
        <f t="shared" si="2"/>
        <v>0</v>
      </c>
      <c r="L745" s="117"/>
    </row>
    <row r="746" ht="15.75" customHeight="1">
      <c r="A746" s="9"/>
      <c r="B746" s="164"/>
      <c r="C746" s="110"/>
      <c r="D746" s="156"/>
      <c r="E746" s="111"/>
      <c r="F746" s="112"/>
      <c r="G746" s="113"/>
      <c r="H746" s="53">
        <f t="shared" si="1"/>
        <v>0</v>
      </c>
      <c r="I746" s="115"/>
      <c r="J746" s="115"/>
      <c r="K746" s="60">
        <f t="shared" si="2"/>
        <v>0</v>
      </c>
      <c r="L746" s="117"/>
    </row>
    <row r="747" ht="15.75" customHeight="1">
      <c r="A747" s="9"/>
      <c r="B747" s="164"/>
      <c r="C747" s="110"/>
      <c r="D747" s="156"/>
      <c r="E747" s="111"/>
      <c r="F747" s="112"/>
      <c r="G747" s="113"/>
      <c r="H747" s="53">
        <f t="shared" si="1"/>
        <v>0</v>
      </c>
      <c r="I747" s="115"/>
      <c r="J747" s="115"/>
      <c r="K747" s="60">
        <f t="shared" si="2"/>
        <v>0</v>
      </c>
      <c r="L747" s="117"/>
    </row>
    <row r="748" ht="15.75" customHeight="1">
      <c r="A748" s="9"/>
      <c r="B748" s="164"/>
      <c r="C748" s="110"/>
      <c r="D748" s="156"/>
      <c r="E748" s="111"/>
      <c r="F748" s="112"/>
      <c r="G748" s="113"/>
      <c r="H748" s="53">
        <f t="shared" si="1"/>
        <v>0</v>
      </c>
      <c r="I748" s="115"/>
      <c r="J748" s="115"/>
      <c r="K748" s="60">
        <f t="shared" si="2"/>
        <v>0</v>
      </c>
      <c r="L748" s="117"/>
    </row>
    <row r="749" ht="15.75" customHeight="1">
      <c r="A749" s="9"/>
      <c r="B749" s="164"/>
      <c r="C749" s="110"/>
      <c r="D749" s="156"/>
      <c r="E749" s="111"/>
      <c r="F749" s="112"/>
      <c r="G749" s="113"/>
      <c r="H749" s="53">
        <f t="shared" si="1"/>
        <v>0</v>
      </c>
      <c r="I749" s="115"/>
      <c r="J749" s="115"/>
      <c r="K749" s="60">
        <f t="shared" si="2"/>
        <v>0</v>
      </c>
      <c r="L749" s="117"/>
    </row>
    <row r="750" ht="15.75" customHeight="1">
      <c r="A750" s="9"/>
      <c r="B750" s="164"/>
      <c r="C750" s="110"/>
      <c r="D750" s="156"/>
      <c r="E750" s="111"/>
      <c r="F750" s="112"/>
      <c r="G750" s="113"/>
      <c r="H750" s="53">
        <f t="shared" si="1"/>
        <v>0</v>
      </c>
      <c r="I750" s="115"/>
      <c r="J750" s="115"/>
      <c r="K750" s="60">
        <f t="shared" si="2"/>
        <v>0</v>
      </c>
      <c r="L750" s="117"/>
    </row>
    <row r="751" ht="15.75" customHeight="1">
      <c r="A751" s="9"/>
      <c r="B751" s="164"/>
      <c r="C751" s="110"/>
      <c r="D751" s="156"/>
      <c r="E751" s="111"/>
      <c r="F751" s="112"/>
      <c r="G751" s="113"/>
      <c r="H751" s="53">
        <f t="shared" si="1"/>
        <v>0</v>
      </c>
      <c r="I751" s="115"/>
      <c r="J751" s="115"/>
      <c r="K751" s="60">
        <f t="shared" si="2"/>
        <v>0</v>
      </c>
      <c r="L751" s="117"/>
    </row>
    <row r="752" ht="15.75" customHeight="1">
      <c r="A752" s="9"/>
      <c r="B752" s="164"/>
      <c r="C752" s="110"/>
      <c r="D752" s="156"/>
      <c r="E752" s="111"/>
      <c r="F752" s="112"/>
      <c r="G752" s="113"/>
      <c r="H752" s="53">
        <f t="shared" si="1"/>
        <v>0</v>
      </c>
      <c r="I752" s="115"/>
      <c r="J752" s="115"/>
      <c r="K752" s="60">
        <f t="shared" si="2"/>
        <v>0</v>
      </c>
      <c r="L752" s="117"/>
    </row>
    <row r="753" ht="15.75" customHeight="1">
      <c r="A753" s="9"/>
      <c r="B753" s="164"/>
      <c r="C753" s="110"/>
      <c r="D753" s="156"/>
      <c r="E753" s="111"/>
      <c r="F753" s="112"/>
      <c r="G753" s="113"/>
      <c r="H753" s="53">
        <f t="shared" si="1"/>
        <v>0</v>
      </c>
      <c r="I753" s="115"/>
      <c r="J753" s="115"/>
      <c r="K753" s="60">
        <f t="shared" si="2"/>
        <v>0</v>
      </c>
      <c r="L753" s="117"/>
    </row>
    <row r="754" ht="15.75" customHeight="1">
      <c r="A754" s="9"/>
      <c r="B754" s="164"/>
      <c r="C754" s="110"/>
      <c r="D754" s="156"/>
      <c r="E754" s="111"/>
      <c r="F754" s="112"/>
      <c r="G754" s="113"/>
      <c r="H754" s="53">
        <f t="shared" si="1"/>
        <v>0</v>
      </c>
      <c r="I754" s="115"/>
      <c r="J754" s="115"/>
      <c r="K754" s="60">
        <f t="shared" si="2"/>
        <v>0</v>
      </c>
      <c r="L754" s="117"/>
    </row>
    <row r="755" ht="15.75" customHeight="1">
      <c r="A755" s="9"/>
      <c r="B755" s="164"/>
      <c r="C755" s="110"/>
      <c r="D755" s="156"/>
      <c r="E755" s="111"/>
      <c r="F755" s="112"/>
      <c r="G755" s="113"/>
      <c r="H755" s="53">
        <f t="shared" si="1"/>
        <v>0</v>
      </c>
      <c r="I755" s="115"/>
      <c r="J755" s="115"/>
      <c r="K755" s="60">
        <f t="shared" si="2"/>
        <v>0</v>
      </c>
      <c r="L755" s="117"/>
    </row>
    <row r="756" ht="15.75" customHeight="1">
      <c r="A756" s="9"/>
      <c r="B756" s="164"/>
      <c r="C756" s="110"/>
      <c r="D756" s="156"/>
      <c r="E756" s="111"/>
      <c r="F756" s="112"/>
      <c r="G756" s="113"/>
      <c r="H756" s="53">
        <f t="shared" si="1"/>
        <v>0</v>
      </c>
      <c r="I756" s="115"/>
      <c r="J756" s="115"/>
      <c r="K756" s="60">
        <f t="shared" si="2"/>
        <v>0</v>
      </c>
      <c r="L756" s="117"/>
    </row>
    <row r="757" ht="15.75" customHeight="1">
      <c r="A757" s="9"/>
      <c r="B757" s="164"/>
      <c r="C757" s="110"/>
      <c r="D757" s="156"/>
      <c r="E757" s="111"/>
      <c r="F757" s="112"/>
      <c r="G757" s="113"/>
      <c r="H757" s="53">
        <f t="shared" si="1"/>
        <v>0</v>
      </c>
      <c r="I757" s="115"/>
      <c r="J757" s="115"/>
      <c r="K757" s="60">
        <f t="shared" si="2"/>
        <v>0</v>
      </c>
      <c r="L757" s="117"/>
    </row>
    <row r="758" ht="15.75" customHeight="1">
      <c r="A758" s="9"/>
      <c r="B758" s="164"/>
      <c r="C758" s="110"/>
      <c r="D758" s="156"/>
      <c r="E758" s="111"/>
      <c r="F758" s="112"/>
      <c r="G758" s="113"/>
      <c r="H758" s="53">
        <f t="shared" si="1"/>
        <v>0</v>
      </c>
      <c r="I758" s="115"/>
      <c r="J758" s="115"/>
      <c r="K758" s="60">
        <f t="shared" si="2"/>
        <v>0</v>
      </c>
      <c r="L758" s="117"/>
    </row>
    <row r="759" ht="15.75" customHeight="1">
      <c r="A759" s="9"/>
      <c r="B759" s="164"/>
      <c r="C759" s="110"/>
      <c r="D759" s="156"/>
      <c r="E759" s="111"/>
      <c r="F759" s="112"/>
      <c r="G759" s="113"/>
      <c r="H759" s="53">
        <f t="shared" si="1"/>
        <v>0</v>
      </c>
      <c r="I759" s="115"/>
      <c r="J759" s="115"/>
      <c r="K759" s="60">
        <f t="shared" si="2"/>
        <v>0</v>
      </c>
      <c r="L759" s="117"/>
    </row>
    <row r="760" ht="15.75" customHeight="1">
      <c r="A760" s="9"/>
      <c r="B760" s="164"/>
      <c r="C760" s="110"/>
      <c r="D760" s="156"/>
      <c r="E760" s="111"/>
      <c r="F760" s="112"/>
      <c r="G760" s="113"/>
      <c r="H760" s="53">
        <f t="shared" si="1"/>
        <v>0</v>
      </c>
      <c r="I760" s="115"/>
      <c r="J760" s="115"/>
      <c r="K760" s="60">
        <f t="shared" si="2"/>
        <v>0</v>
      </c>
      <c r="L760" s="117"/>
    </row>
    <row r="761" ht="15.75" customHeight="1">
      <c r="A761" s="9"/>
      <c r="B761" s="164"/>
      <c r="C761" s="110"/>
      <c r="D761" s="156"/>
      <c r="E761" s="111"/>
      <c r="F761" s="112"/>
      <c r="G761" s="113"/>
      <c r="H761" s="53">
        <f t="shared" si="1"/>
        <v>0</v>
      </c>
      <c r="I761" s="115"/>
      <c r="J761" s="115"/>
      <c r="K761" s="60">
        <f t="shared" si="2"/>
        <v>0</v>
      </c>
      <c r="L761" s="117"/>
    </row>
    <row r="762" ht="15.75" customHeight="1">
      <c r="A762" s="9"/>
      <c r="B762" s="164"/>
      <c r="C762" s="110"/>
      <c r="D762" s="156"/>
      <c r="E762" s="111"/>
      <c r="F762" s="112"/>
      <c r="G762" s="113"/>
      <c r="H762" s="53">
        <f t="shared" si="1"/>
        <v>0</v>
      </c>
      <c r="I762" s="115"/>
      <c r="J762" s="115"/>
      <c r="K762" s="60">
        <f t="shared" si="2"/>
        <v>0</v>
      </c>
      <c r="L762" s="117"/>
    </row>
    <row r="763" ht="15.75" customHeight="1">
      <c r="A763" s="9"/>
      <c r="B763" s="164"/>
      <c r="C763" s="110"/>
      <c r="D763" s="156"/>
      <c r="E763" s="111"/>
      <c r="F763" s="112"/>
      <c r="G763" s="113"/>
      <c r="H763" s="53">
        <f t="shared" si="1"/>
        <v>0</v>
      </c>
      <c r="I763" s="115"/>
      <c r="J763" s="115"/>
      <c r="K763" s="60">
        <f t="shared" si="2"/>
        <v>0</v>
      </c>
      <c r="L763" s="117"/>
    </row>
    <row r="764" ht="15.75" customHeight="1">
      <c r="A764" s="9"/>
      <c r="B764" s="164"/>
      <c r="C764" s="110"/>
      <c r="D764" s="156"/>
      <c r="E764" s="111"/>
      <c r="F764" s="112"/>
      <c r="G764" s="113"/>
      <c r="H764" s="53">
        <f t="shared" si="1"/>
        <v>0</v>
      </c>
      <c r="I764" s="115"/>
      <c r="J764" s="115"/>
      <c r="K764" s="60">
        <f t="shared" si="2"/>
        <v>0</v>
      </c>
      <c r="L764" s="117"/>
    </row>
    <row r="765" ht="15.75" customHeight="1">
      <c r="A765" s="9"/>
      <c r="B765" s="164"/>
      <c r="C765" s="110"/>
      <c r="D765" s="156"/>
      <c r="E765" s="111"/>
      <c r="F765" s="112"/>
      <c r="G765" s="113"/>
      <c r="H765" s="53">
        <f t="shared" si="1"/>
        <v>0</v>
      </c>
      <c r="I765" s="115"/>
      <c r="J765" s="115"/>
      <c r="K765" s="60">
        <f t="shared" si="2"/>
        <v>0</v>
      </c>
      <c r="L765" s="117"/>
    </row>
    <row r="766" ht="15.75" customHeight="1">
      <c r="A766" s="9"/>
      <c r="B766" s="164"/>
      <c r="C766" s="110"/>
      <c r="D766" s="156"/>
      <c r="E766" s="111"/>
      <c r="F766" s="112"/>
      <c r="G766" s="113"/>
      <c r="H766" s="53">
        <f t="shared" si="1"/>
        <v>0</v>
      </c>
      <c r="I766" s="115"/>
      <c r="J766" s="115"/>
      <c r="K766" s="60">
        <f t="shared" si="2"/>
        <v>0</v>
      </c>
      <c r="L766" s="117"/>
    </row>
    <row r="767" ht="15.75" customHeight="1">
      <c r="A767" s="9"/>
      <c r="B767" s="164"/>
      <c r="C767" s="110"/>
      <c r="D767" s="156"/>
      <c r="E767" s="111"/>
      <c r="F767" s="112"/>
      <c r="G767" s="113"/>
      <c r="H767" s="53">
        <f t="shared" si="1"/>
        <v>0</v>
      </c>
      <c r="I767" s="115"/>
      <c r="J767" s="115"/>
      <c r="K767" s="60">
        <f t="shared" si="2"/>
        <v>0</v>
      </c>
      <c r="L767" s="117"/>
    </row>
    <row r="768" ht="15.75" customHeight="1">
      <c r="A768" s="9"/>
      <c r="B768" s="164"/>
      <c r="C768" s="110"/>
      <c r="D768" s="156"/>
      <c r="E768" s="111"/>
      <c r="F768" s="112"/>
      <c r="G768" s="113"/>
      <c r="H768" s="53">
        <f t="shared" si="1"/>
        <v>0</v>
      </c>
      <c r="I768" s="115"/>
      <c r="J768" s="115"/>
      <c r="K768" s="60">
        <f t="shared" si="2"/>
        <v>0</v>
      </c>
      <c r="L768" s="117"/>
    </row>
    <row r="769" ht="15.75" customHeight="1">
      <c r="A769" s="9"/>
      <c r="B769" s="164"/>
      <c r="C769" s="110"/>
      <c r="D769" s="156"/>
      <c r="E769" s="111"/>
      <c r="F769" s="112"/>
      <c r="G769" s="113"/>
      <c r="H769" s="53">
        <f t="shared" si="1"/>
        <v>0</v>
      </c>
      <c r="I769" s="115"/>
      <c r="J769" s="115"/>
      <c r="K769" s="60">
        <f t="shared" si="2"/>
        <v>0</v>
      </c>
      <c r="L769" s="117"/>
    </row>
    <row r="770" ht="15.75" customHeight="1">
      <c r="A770" s="9"/>
      <c r="B770" s="164"/>
      <c r="C770" s="110"/>
      <c r="D770" s="156"/>
      <c r="E770" s="111"/>
      <c r="F770" s="112"/>
      <c r="G770" s="113"/>
      <c r="H770" s="53">
        <f t="shared" si="1"/>
        <v>0</v>
      </c>
      <c r="I770" s="115"/>
      <c r="J770" s="115"/>
      <c r="K770" s="60">
        <f t="shared" si="2"/>
        <v>0</v>
      </c>
      <c r="L770" s="117"/>
    </row>
    <row r="771" ht="15.75" customHeight="1">
      <c r="A771" s="9"/>
      <c r="B771" s="164"/>
      <c r="C771" s="110"/>
      <c r="D771" s="156"/>
      <c r="E771" s="111"/>
      <c r="F771" s="112"/>
      <c r="G771" s="113"/>
      <c r="H771" s="53">
        <f t="shared" si="1"/>
        <v>0</v>
      </c>
      <c r="I771" s="115"/>
      <c r="J771" s="115"/>
      <c r="K771" s="60">
        <f t="shared" si="2"/>
        <v>0</v>
      </c>
      <c r="L771" s="117"/>
    </row>
    <row r="772" ht="15.75" customHeight="1">
      <c r="A772" s="9"/>
      <c r="B772" s="164"/>
      <c r="C772" s="110"/>
      <c r="D772" s="156"/>
      <c r="E772" s="111"/>
      <c r="F772" s="112"/>
      <c r="G772" s="113"/>
      <c r="H772" s="53">
        <f t="shared" si="1"/>
        <v>0</v>
      </c>
      <c r="I772" s="115"/>
      <c r="J772" s="115"/>
      <c r="K772" s="60">
        <f t="shared" si="2"/>
        <v>0</v>
      </c>
      <c r="L772" s="117"/>
    </row>
    <row r="773" ht="15.75" customHeight="1">
      <c r="A773" s="9"/>
      <c r="B773" s="164"/>
      <c r="C773" s="110"/>
      <c r="D773" s="156"/>
      <c r="E773" s="111"/>
      <c r="F773" s="112"/>
      <c r="G773" s="113"/>
      <c r="H773" s="53">
        <f t="shared" si="1"/>
        <v>0</v>
      </c>
      <c r="I773" s="115"/>
      <c r="J773" s="115"/>
      <c r="K773" s="60">
        <f t="shared" si="2"/>
        <v>0</v>
      </c>
      <c r="L773" s="117"/>
    </row>
    <row r="774" ht="15.75" customHeight="1">
      <c r="A774" s="9"/>
      <c r="B774" s="164"/>
      <c r="C774" s="110"/>
      <c r="D774" s="156"/>
      <c r="E774" s="111"/>
      <c r="F774" s="112"/>
      <c r="G774" s="113"/>
      <c r="H774" s="53">
        <f t="shared" si="1"/>
        <v>0</v>
      </c>
      <c r="I774" s="115"/>
      <c r="J774" s="115"/>
      <c r="K774" s="60">
        <f t="shared" si="2"/>
        <v>0</v>
      </c>
      <c r="L774" s="117"/>
    </row>
    <row r="775" ht="15.75" customHeight="1">
      <c r="A775" s="9"/>
      <c r="B775" s="164"/>
      <c r="C775" s="110"/>
      <c r="D775" s="156"/>
      <c r="E775" s="111"/>
      <c r="F775" s="112"/>
      <c r="G775" s="113"/>
      <c r="H775" s="53">
        <f t="shared" si="1"/>
        <v>0</v>
      </c>
      <c r="I775" s="115"/>
      <c r="J775" s="115"/>
      <c r="K775" s="60">
        <f t="shared" si="2"/>
        <v>0</v>
      </c>
      <c r="L775" s="117"/>
    </row>
    <row r="776" ht="15.75" customHeight="1">
      <c r="A776" s="9"/>
      <c r="B776" s="164"/>
      <c r="C776" s="110"/>
      <c r="D776" s="156"/>
      <c r="E776" s="111"/>
      <c r="F776" s="112"/>
      <c r="G776" s="113"/>
      <c r="H776" s="53">
        <f t="shared" si="1"/>
        <v>0</v>
      </c>
      <c r="I776" s="115"/>
      <c r="J776" s="115"/>
      <c r="K776" s="60">
        <f t="shared" si="2"/>
        <v>0</v>
      </c>
      <c r="L776" s="117"/>
    </row>
    <row r="777" ht="15.75" customHeight="1">
      <c r="A777" s="9"/>
      <c r="B777" s="164"/>
      <c r="C777" s="110"/>
      <c r="D777" s="156"/>
      <c r="E777" s="111"/>
      <c r="F777" s="112"/>
      <c r="G777" s="113"/>
      <c r="H777" s="53">
        <f t="shared" si="1"/>
        <v>0</v>
      </c>
      <c r="I777" s="115"/>
      <c r="J777" s="115"/>
      <c r="K777" s="60">
        <f t="shared" si="2"/>
        <v>0</v>
      </c>
      <c r="L777" s="117"/>
    </row>
    <row r="778" ht="15.75" customHeight="1">
      <c r="A778" s="9"/>
      <c r="B778" s="164"/>
      <c r="C778" s="110"/>
      <c r="D778" s="156"/>
      <c r="E778" s="111"/>
      <c r="F778" s="112"/>
      <c r="G778" s="113"/>
      <c r="H778" s="53">
        <f t="shared" si="1"/>
        <v>0</v>
      </c>
      <c r="I778" s="115"/>
      <c r="J778" s="115"/>
      <c r="K778" s="60">
        <f t="shared" si="2"/>
        <v>0</v>
      </c>
      <c r="L778" s="117"/>
    </row>
    <row r="779" ht="15.75" customHeight="1">
      <c r="A779" s="9"/>
      <c r="B779" s="164"/>
      <c r="C779" s="110"/>
      <c r="D779" s="156"/>
      <c r="E779" s="111"/>
      <c r="F779" s="112"/>
      <c r="G779" s="113"/>
      <c r="H779" s="53">
        <f t="shared" si="1"/>
        <v>0</v>
      </c>
      <c r="I779" s="115"/>
      <c r="J779" s="115"/>
      <c r="K779" s="60">
        <f t="shared" si="2"/>
        <v>0</v>
      </c>
      <c r="L779" s="117"/>
    </row>
    <row r="780" ht="15.75" customHeight="1">
      <c r="A780" s="9"/>
      <c r="B780" s="164"/>
      <c r="C780" s="110"/>
      <c r="D780" s="156"/>
      <c r="E780" s="111"/>
      <c r="F780" s="112"/>
      <c r="G780" s="113"/>
      <c r="H780" s="53">
        <f t="shared" si="1"/>
        <v>0</v>
      </c>
      <c r="I780" s="115"/>
      <c r="J780" s="115"/>
      <c r="K780" s="60">
        <f t="shared" si="2"/>
        <v>0</v>
      </c>
      <c r="L780" s="117"/>
    </row>
    <row r="781" ht="15.75" customHeight="1">
      <c r="A781" s="9"/>
      <c r="B781" s="164"/>
      <c r="C781" s="110"/>
      <c r="D781" s="156"/>
      <c r="E781" s="111"/>
      <c r="F781" s="112"/>
      <c r="G781" s="113"/>
      <c r="H781" s="53">
        <f t="shared" si="1"/>
        <v>0</v>
      </c>
      <c r="I781" s="115"/>
      <c r="J781" s="115"/>
      <c r="K781" s="60">
        <f t="shared" si="2"/>
        <v>0</v>
      </c>
      <c r="L781" s="117"/>
    </row>
    <row r="782" ht="15.75" customHeight="1">
      <c r="A782" s="9"/>
      <c r="B782" s="164"/>
      <c r="C782" s="110"/>
      <c r="D782" s="156"/>
      <c r="E782" s="111"/>
      <c r="F782" s="112"/>
      <c r="G782" s="113"/>
      <c r="H782" s="53">
        <f t="shared" si="1"/>
        <v>0</v>
      </c>
      <c r="I782" s="115"/>
      <c r="J782" s="115"/>
      <c r="K782" s="60">
        <f t="shared" si="2"/>
        <v>0</v>
      </c>
      <c r="L782" s="117"/>
    </row>
    <row r="783" ht="15.75" customHeight="1">
      <c r="A783" s="9"/>
      <c r="B783" s="164"/>
      <c r="C783" s="110"/>
      <c r="D783" s="156"/>
      <c r="E783" s="111"/>
      <c r="F783" s="112"/>
      <c r="G783" s="113"/>
      <c r="H783" s="53">
        <f t="shared" si="1"/>
        <v>0</v>
      </c>
      <c r="I783" s="115"/>
      <c r="J783" s="115"/>
      <c r="K783" s="60">
        <f t="shared" si="2"/>
        <v>0</v>
      </c>
      <c r="L783" s="117"/>
    </row>
    <row r="784" ht="15.75" customHeight="1">
      <c r="A784" s="9"/>
      <c r="B784" s="164"/>
      <c r="C784" s="110"/>
      <c r="D784" s="156"/>
      <c r="E784" s="111"/>
      <c r="F784" s="112"/>
      <c r="G784" s="113"/>
      <c r="H784" s="53">
        <f t="shared" si="1"/>
        <v>0</v>
      </c>
      <c r="I784" s="115"/>
      <c r="J784" s="115"/>
      <c r="K784" s="60">
        <f t="shared" si="2"/>
        <v>0</v>
      </c>
      <c r="L784" s="117"/>
    </row>
    <row r="785" ht="15.75" customHeight="1">
      <c r="A785" s="9"/>
      <c r="B785" s="164"/>
      <c r="C785" s="110"/>
      <c r="D785" s="156"/>
      <c r="E785" s="111"/>
      <c r="F785" s="112"/>
      <c r="G785" s="113"/>
      <c r="H785" s="53">
        <f t="shared" si="1"/>
        <v>0</v>
      </c>
      <c r="I785" s="115"/>
      <c r="J785" s="115"/>
      <c r="K785" s="60">
        <f t="shared" si="2"/>
        <v>0</v>
      </c>
      <c r="L785" s="117"/>
    </row>
    <row r="786" ht="15.75" customHeight="1">
      <c r="A786" s="9"/>
      <c r="B786" s="164"/>
      <c r="C786" s="110"/>
      <c r="D786" s="156"/>
      <c r="E786" s="111"/>
      <c r="F786" s="112"/>
      <c r="G786" s="113"/>
      <c r="H786" s="53">
        <f t="shared" si="1"/>
        <v>0</v>
      </c>
      <c r="I786" s="115"/>
      <c r="J786" s="115"/>
      <c r="K786" s="60">
        <f t="shared" si="2"/>
        <v>0</v>
      </c>
      <c r="L786" s="117"/>
    </row>
    <row r="787" ht="15.75" customHeight="1">
      <c r="A787" s="9"/>
      <c r="B787" s="164"/>
      <c r="C787" s="110"/>
      <c r="D787" s="156"/>
      <c r="E787" s="111"/>
      <c r="F787" s="112"/>
      <c r="G787" s="113"/>
      <c r="H787" s="53">
        <f t="shared" si="1"/>
        <v>0</v>
      </c>
      <c r="I787" s="115"/>
      <c r="J787" s="115"/>
      <c r="K787" s="60">
        <f t="shared" si="2"/>
        <v>0</v>
      </c>
      <c r="L787" s="117"/>
    </row>
    <row r="788" ht="15.75" customHeight="1">
      <c r="A788" s="9"/>
      <c r="B788" s="164"/>
      <c r="C788" s="110"/>
      <c r="D788" s="156"/>
      <c r="E788" s="111"/>
      <c r="F788" s="112"/>
      <c r="G788" s="113"/>
      <c r="H788" s="53">
        <f t="shared" si="1"/>
        <v>0</v>
      </c>
      <c r="I788" s="115"/>
      <c r="J788" s="115"/>
      <c r="K788" s="60">
        <f t="shared" si="2"/>
        <v>0</v>
      </c>
      <c r="L788" s="117"/>
    </row>
    <row r="789" ht="15.75" customHeight="1">
      <c r="A789" s="9"/>
      <c r="B789" s="164"/>
      <c r="C789" s="110"/>
      <c r="D789" s="156"/>
      <c r="E789" s="111"/>
      <c r="F789" s="112"/>
      <c r="G789" s="113"/>
      <c r="H789" s="53">
        <f t="shared" si="1"/>
        <v>0</v>
      </c>
      <c r="I789" s="115"/>
      <c r="J789" s="115"/>
      <c r="K789" s="60">
        <f t="shared" si="2"/>
        <v>0</v>
      </c>
      <c r="L789" s="117"/>
    </row>
    <row r="790" ht="15.75" customHeight="1">
      <c r="A790" s="9"/>
      <c r="B790" s="164"/>
      <c r="C790" s="110"/>
      <c r="D790" s="156"/>
      <c r="E790" s="111"/>
      <c r="F790" s="112"/>
      <c r="G790" s="113"/>
      <c r="H790" s="53">
        <f t="shared" si="1"/>
        <v>0</v>
      </c>
      <c r="I790" s="115"/>
      <c r="J790" s="115"/>
      <c r="K790" s="60">
        <f t="shared" si="2"/>
        <v>0</v>
      </c>
      <c r="L790" s="117"/>
    </row>
    <row r="791" ht="15.75" customHeight="1">
      <c r="A791" s="9"/>
      <c r="B791" s="164"/>
      <c r="C791" s="110"/>
      <c r="D791" s="156"/>
      <c r="E791" s="111"/>
      <c r="F791" s="112"/>
      <c r="G791" s="113"/>
      <c r="H791" s="53">
        <f t="shared" si="1"/>
        <v>0</v>
      </c>
      <c r="I791" s="115"/>
      <c r="J791" s="115"/>
      <c r="K791" s="60">
        <f t="shared" si="2"/>
        <v>0</v>
      </c>
      <c r="L791" s="117"/>
    </row>
    <row r="792" ht="15.75" customHeight="1">
      <c r="A792" s="9"/>
      <c r="B792" s="164"/>
      <c r="C792" s="110"/>
      <c r="D792" s="156"/>
      <c r="E792" s="111"/>
      <c r="F792" s="112"/>
      <c r="G792" s="113"/>
      <c r="H792" s="53">
        <f t="shared" si="1"/>
        <v>0</v>
      </c>
      <c r="I792" s="115"/>
      <c r="J792" s="115"/>
      <c r="K792" s="60">
        <f t="shared" si="2"/>
        <v>0</v>
      </c>
      <c r="L792" s="117"/>
    </row>
    <row r="793" ht="15.75" customHeight="1">
      <c r="A793" s="9"/>
      <c r="B793" s="164"/>
      <c r="C793" s="110"/>
      <c r="D793" s="156"/>
      <c r="E793" s="111"/>
      <c r="F793" s="112"/>
      <c r="G793" s="113"/>
      <c r="H793" s="53">
        <f t="shared" si="1"/>
        <v>0</v>
      </c>
      <c r="I793" s="115"/>
      <c r="J793" s="115"/>
      <c r="K793" s="60">
        <f t="shared" si="2"/>
        <v>0</v>
      </c>
      <c r="L793" s="117"/>
    </row>
    <row r="794" ht="15.75" customHeight="1">
      <c r="A794" s="9"/>
      <c r="B794" s="164"/>
      <c r="C794" s="110"/>
      <c r="D794" s="156"/>
      <c r="E794" s="111"/>
      <c r="F794" s="112"/>
      <c r="G794" s="113"/>
      <c r="H794" s="53">
        <f t="shared" si="1"/>
        <v>0</v>
      </c>
      <c r="I794" s="115"/>
      <c r="J794" s="115"/>
      <c r="K794" s="60">
        <f t="shared" si="2"/>
        <v>0</v>
      </c>
      <c r="L794" s="117"/>
    </row>
    <row r="795" ht="15.75" customHeight="1">
      <c r="A795" s="9"/>
      <c r="B795" s="164"/>
      <c r="C795" s="110"/>
      <c r="D795" s="156"/>
      <c r="E795" s="111"/>
      <c r="F795" s="112"/>
      <c r="G795" s="113"/>
      <c r="H795" s="53">
        <f t="shared" si="1"/>
        <v>0</v>
      </c>
      <c r="I795" s="115"/>
      <c r="J795" s="115"/>
      <c r="K795" s="60">
        <f t="shared" si="2"/>
        <v>0</v>
      </c>
      <c r="L795" s="117"/>
    </row>
    <row r="796" ht="15.75" customHeight="1">
      <c r="A796" s="9"/>
      <c r="B796" s="164"/>
      <c r="C796" s="110"/>
      <c r="D796" s="156"/>
      <c r="E796" s="111"/>
      <c r="F796" s="112"/>
      <c r="G796" s="113"/>
      <c r="H796" s="53">
        <f t="shared" si="1"/>
        <v>0</v>
      </c>
      <c r="I796" s="115"/>
      <c r="J796" s="115"/>
      <c r="K796" s="60">
        <f t="shared" si="2"/>
        <v>0</v>
      </c>
      <c r="L796" s="117"/>
    </row>
    <row r="797" ht="15.75" customHeight="1">
      <c r="A797" s="9"/>
      <c r="B797" s="164"/>
      <c r="C797" s="110"/>
      <c r="D797" s="156"/>
      <c r="E797" s="111"/>
      <c r="F797" s="112"/>
      <c r="G797" s="113"/>
      <c r="H797" s="53">
        <f t="shared" si="1"/>
        <v>0</v>
      </c>
      <c r="I797" s="115"/>
      <c r="J797" s="115"/>
      <c r="K797" s="60">
        <f t="shared" si="2"/>
        <v>0</v>
      </c>
      <c r="L797" s="117"/>
    </row>
    <row r="798" ht="15.75" customHeight="1">
      <c r="A798" s="9"/>
      <c r="B798" s="164"/>
      <c r="C798" s="110"/>
      <c r="D798" s="156"/>
      <c r="E798" s="111"/>
      <c r="F798" s="112"/>
      <c r="G798" s="113"/>
      <c r="H798" s="53">
        <f t="shared" si="1"/>
        <v>0</v>
      </c>
      <c r="I798" s="115"/>
      <c r="J798" s="115"/>
      <c r="K798" s="60">
        <f t="shared" si="2"/>
        <v>0</v>
      </c>
      <c r="L798" s="117"/>
    </row>
    <row r="799" ht="15.75" customHeight="1">
      <c r="A799" s="9"/>
      <c r="B799" s="164"/>
      <c r="C799" s="110"/>
      <c r="D799" s="156"/>
      <c r="E799" s="111"/>
      <c r="F799" s="112"/>
      <c r="G799" s="113"/>
      <c r="H799" s="53">
        <f t="shared" si="1"/>
        <v>0</v>
      </c>
      <c r="I799" s="115"/>
      <c r="J799" s="115"/>
      <c r="K799" s="60">
        <f t="shared" si="2"/>
        <v>0</v>
      </c>
      <c r="L799" s="117"/>
    </row>
    <row r="800" ht="15.75" customHeight="1">
      <c r="A800" s="9"/>
      <c r="B800" s="164"/>
      <c r="C800" s="110"/>
      <c r="D800" s="156"/>
      <c r="E800" s="111"/>
      <c r="F800" s="112"/>
      <c r="G800" s="113"/>
      <c r="H800" s="53">
        <f t="shared" si="1"/>
        <v>0</v>
      </c>
      <c r="I800" s="115"/>
      <c r="J800" s="115"/>
      <c r="K800" s="60">
        <f t="shared" si="2"/>
        <v>0</v>
      </c>
      <c r="L800" s="117"/>
    </row>
    <row r="801" ht="15.75" customHeight="1">
      <c r="A801" s="9"/>
      <c r="B801" s="164"/>
      <c r="C801" s="110"/>
      <c r="D801" s="156"/>
      <c r="E801" s="111"/>
      <c r="F801" s="112"/>
      <c r="G801" s="113"/>
      <c r="H801" s="53">
        <f t="shared" si="1"/>
        <v>0</v>
      </c>
      <c r="I801" s="115"/>
      <c r="J801" s="115"/>
      <c r="K801" s="60">
        <f t="shared" si="2"/>
        <v>0</v>
      </c>
      <c r="L801" s="117"/>
    </row>
    <row r="802" ht="15.75" customHeight="1">
      <c r="A802" s="9"/>
      <c r="B802" s="164"/>
      <c r="C802" s="110"/>
      <c r="D802" s="156"/>
      <c r="E802" s="111"/>
      <c r="F802" s="112"/>
      <c r="G802" s="113"/>
      <c r="H802" s="53">
        <f t="shared" si="1"/>
        <v>0</v>
      </c>
      <c r="I802" s="115"/>
      <c r="J802" s="115"/>
      <c r="K802" s="60">
        <f t="shared" si="2"/>
        <v>0</v>
      </c>
      <c r="L802" s="117"/>
    </row>
    <row r="803" ht="15.75" customHeight="1">
      <c r="A803" s="9"/>
      <c r="B803" s="164"/>
      <c r="C803" s="110"/>
      <c r="D803" s="156"/>
      <c r="E803" s="111"/>
      <c r="F803" s="112"/>
      <c r="G803" s="113"/>
      <c r="H803" s="53">
        <f t="shared" si="1"/>
        <v>0</v>
      </c>
      <c r="I803" s="115"/>
      <c r="J803" s="115"/>
      <c r="K803" s="60">
        <f t="shared" si="2"/>
        <v>0</v>
      </c>
      <c r="L803" s="117"/>
    </row>
    <row r="804" ht="15.75" customHeight="1">
      <c r="A804" s="9"/>
      <c r="B804" s="164"/>
      <c r="C804" s="110"/>
      <c r="D804" s="156"/>
      <c r="E804" s="111"/>
      <c r="F804" s="112"/>
      <c r="G804" s="113"/>
      <c r="H804" s="53">
        <f t="shared" si="1"/>
        <v>0</v>
      </c>
      <c r="I804" s="115"/>
      <c r="J804" s="115"/>
      <c r="K804" s="60">
        <f t="shared" si="2"/>
        <v>0</v>
      </c>
      <c r="L804" s="117"/>
    </row>
    <row r="805" ht="15.75" customHeight="1">
      <c r="A805" s="9"/>
      <c r="B805" s="164"/>
      <c r="C805" s="110"/>
      <c r="D805" s="156"/>
      <c r="E805" s="111"/>
      <c r="F805" s="112"/>
      <c r="G805" s="113"/>
      <c r="H805" s="53">
        <f t="shared" si="1"/>
        <v>0</v>
      </c>
      <c r="I805" s="115"/>
      <c r="J805" s="115"/>
      <c r="K805" s="60">
        <f t="shared" si="2"/>
        <v>0</v>
      </c>
      <c r="L805" s="117"/>
    </row>
    <row r="806" ht="15.75" customHeight="1">
      <c r="A806" s="9"/>
      <c r="B806" s="164"/>
      <c r="C806" s="110"/>
      <c r="D806" s="156"/>
      <c r="E806" s="111"/>
      <c r="F806" s="112"/>
      <c r="G806" s="113"/>
      <c r="H806" s="53">
        <f t="shared" si="1"/>
        <v>0</v>
      </c>
      <c r="I806" s="115"/>
      <c r="J806" s="115"/>
      <c r="K806" s="60">
        <f t="shared" si="2"/>
        <v>0</v>
      </c>
      <c r="L806" s="117"/>
    </row>
    <row r="807" ht="15.75" customHeight="1">
      <c r="A807" s="9"/>
      <c r="B807" s="164"/>
      <c r="C807" s="110"/>
      <c r="D807" s="156"/>
      <c r="E807" s="111"/>
      <c r="F807" s="112"/>
      <c r="G807" s="113"/>
      <c r="H807" s="53">
        <f t="shared" si="1"/>
        <v>0</v>
      </c>
      <c r="I807" s="115"/>
      <c r="J807" s="115"/>
      <c r="K807" s="60">
        <f t="shared" si="2"/>
        <v>0</v>
      </c>
      <c r="L807" s="117"/>
    </row>
    <row r="808" ht="15.75" customHeight="1">
      <c r="A808" s="9"/>
      <c r="B808" s="164"/>
      <c r="C808" s="110"/>
      <c r="D808" s="156"/>
      <c r="E808" s="111"/>
      <c r="F808" s="112"/>
      <c r="G808" s="113"/>
      <c r="H808" s="53">
        <f t="shared" si="1"/>
        <v>0</v>
      </c>
      <c r="I808" s="115"/>
      <c r="J808" s="115"/>
      <c r="K808" s="60">
        <f t="shared" si="2"/>
        <v>0</v>
      </c>
      <c r="L808" s="117"/>
    </row>
    <row r="809" ht="15.75" customHeight="1">
      <c r="A809" s="9"/>
      <c r="B809" s="164"/>
      <c r="C809" s="110"/>
      <c r="D809" s="156"/>
      <c r="E809" s="111"/>
      <c r="F809" s="112"/>
      <c r="G809" s="113"/>
      <c r="H809" s="53">
        <f t="shared" si="1"/>
        <v>0</v>
      </c>
      <c r="I809" s="115"/>
      <c r="J809" s="115"/>
      <c r="K809" s="60">
        <f t="shared" si="2"/>
        <v>0</v>
      </c>
      <c r="L809" s="117"/>
    </row>
    <row r="810" ht="15.75" customHeight="1">
      <c r="A810" s="9"/>
      <c r="B810" s="164"/>
      <c r="C810" s="110"/>
      <c r="D810" s="156"/>
      <c r="E810" s="111"/>
      <c r="F810" s="112"/>
      <c r="G810" s="113"/>
      <c r="H810" s="53">
        <f t="shared" si="1"/>
        <v>0</v>
      </c>
      <c r="I810" s="115"/>
      <c r="J810" s="115"/>
      <c r="K810" s="60">
        <f t="shared" si="2"/>
        <v>0</v>
      </c>
      <c r="L810" s="117"/>
    </row>
    <row r="811" ht="15.75" customHeight="1">
      <c r="A811" s="9"/>
      <c r="B811" s="164"/>
      <c r="C811" s="110"/>
      <c r="D811" s="156"/>
      <c r="E811" s="111"/>
      <c r="F811" s="112"/>
      <c r="G811" s="113"/>
      <c r="H811" s="53">
        <f t="shared" si="1"/>
        <v>0</v>
      </c>
      <c r="I811" s="115"/>
      <c r="J811" s="115"/>
      <c r="K811" s="60">
        <f t="shared" si="2"/>
        <v>0</v>
      </c>
      <c r="L811" s="117"/>
    </row>
    <row r="812" ht="15.75" customHeight="1">
      <c r="A812" s="9"/>
      <c r="B812" s="164"/>
      <c r="C812" s="110"/>
      <c r="D812" s="156"/>
      <c r="E812" s="111"/>
      <c r="F812" s="112"/>
      <c r="G812" s="113"/>
      <c r="H812" s="53">
        <f t="shared" si="1"/>
        <v>0</v>
      </c>
      <c r="I812" s="115"/>
      <c r="J812" s="115"/>
      <c r="K812" s="60">
        <f t="shared" si="2"/>
        <v>0</v>
      </c>
      <c r="L812" s="117"/>
    </row>
    <row r="813" ht="15.75" customHeight="1">
      <c r="A813" s="9"/>
      <c r="B813" s="164"/>
      <c r="C813" s="110"/>
      <c r="D813" s="156"/>
      <c r="E813" s="111"/>
      <c r="F813" s="112"/>
      <c r="G813" s="113"/>
      <c r="H813" s="53">
        <f t="shared" si="1"/>
        <v>0</v>
      </c>
      <c r="I813" s="115"/>
      <c r="J813" s="115"/>
      <c r="K813" s="60">
        <f t="shared" si="2"/>
        <v>0</v>
      </c>
      <c r="L813" s="117"/>
    </row>
    <row r="814" ht="15.75" customHeight="1">
      <c r="A814" s="9"/>
      <c r="B814" s="164"/>
      <c r="C814" s="110"/>
      <c r="D814" s="156"/>
      <c r="E814" s="111"/>
      <c r="F814" s="112"/>
      <c r="G814" s="113"/>
      <c r="H814" s="53">
        <f t="shared" si="1"/>
        <v>0</v>
      </c>
      <c r="I814" s="115"/>
      <c r="J814" s="115"/>
      <c r="K814" s="60">
        <f t="shared" si="2"/>
        <v>0</v>
      </c>
      <c r="L814" s="117"/>
    </row>
    <row r="815" ht="15.75" customHeight="1">
      <c r="A815" s="9"/>
      <c r="B815" s="164"/>
      <c r="C815" s="110"/>
      <c r="D815" s="156"/>
      <c r="E815" s="111"/>
      <c r="F815" s="112"/>
      <c r="G815" s="113"/>
      <c r="H815" s="53">
        <f t="shared" si="1"/>
        <v>0</v>
      </c>
      <c r="I815" s="115"/>
      <c r="J815" s="115"/>
      <c r="K815" s="60">
        <f t="shared" si="2"/>
        <v>0</v>
      </c>
      <c r="L815" s="117"/>
    </row>
    <row r="816" ht="15.75" customHeight="1">
      <c r="A816" s="9"/>
      <c r="B816" s="164"/>
      <c r="C816" s="110"/>
      <c r="D816" s="156"/>
      <c r="E816" s="111"/>
      <c r="F816" s="112"/>
      <c r="G816" s="113"/>
      <c r="H816" s="53">
        <f t="shared" si="1"/>
        <v>0</v>
      </c>
      <c r="I816" s="115"/>
      <c r="J816" s="115"/>
      <c r="K816" s="60">
        <f t="shared" si="2"/>
        <v>0</v>
      </c>
      <c r="L816" s="117"/>
    </row>
    <row r="817" ht="15.75" customHeight="1">
      <c r="A817" s="9"/>
      <c r="B817" s="164"/>
      <c r="C817" s="110"/>
      <c r="D817" s="156"/>
      <c r="E817" s="111"/>
      <c r="F817" s="112"/>
      <c r="G817" s="113"/>
      <c r="H817" s="53">
        <f t="shared" si="1"/>
        <v>0</v>
      </c>
      <c r="I817" s="115"/>
      <c r="J817" s="115"/>
      <c r="K817" s="60">
        <f t="shared" si="2"/>
        <v>0</v>
      </c>
      <c r="L817" s="117"/>
    </row>
    <row r="818" ht="15.75" customHeight="1">
      <c r="A818" s="9"/>
      <c r="B818" s="164"/>
      <c r="C818" s="110"/>
      <c r="D818" s="156"/>
      <c r="E818" s="111"/>
      <c r="F818" s="112"/>
      <c r="G818" s="113"/>
      <c r="H818" s="53">
        <f t="shared" si="1"/>
        <v>0</v>
      </c>
      <c r="I818" s="115"/>
      <c r="J818" s="115"/>
      <c r="K818" s="60">
        <f t="shared" si="2"/>
        <v>0</v>
      </c>
      <c r="L818" s="117"/>
    </row>
    <row r="819" ht="15.75" customHeight="1">
      <c r="A819" s="9"/>
      <c r="B819" s="164"/>
      <c r="C819" s="110"/>
      <c r="D819" s="156"/>
      <c r="E819" s="111"/>
      <c r="F819" s="112"/>
      <c r="G819" s="113"/>
      <c r="H819" s="53">
        <f t="shared" si="1"/>
        <v>0</v>
      </c>
      <c r="I819" s="115"/>
      <c r="J819" s="115"/>
      <c r="K819" s="60">
        <f t="shared" si="2"/>
        <v>0</v>
      </c>
      <c r="L819" s="117"/>
    </row>
    <row r="820" ht="15.75" customHeight="1">
      <c r="A820" s="9"/>
      <c r="B820" s="164"/>
      <c r="C820" s="110"/>
      <c r="D820" s="156"/>
      <c r="E820" s="111"/>
      <c r="F820" s="112"/>
      <c r="G820" s="113"/>
      <c r="H820" s="53">
        <f t="shared" si="1"/>
        <v>0</v>
      </c>
      <c r="I820" s="115"/>
      <c r="J820" s="115"/>
      <c r="K820" s="60">
        <f t="shared" si="2"/>
        <v>0</v>
      </c>
      <c r="L820" s="117"/>
    </row>
    <row r="821" ht="15.75" customHeight="1">
      <c r="A821" s="9"/>
      <c r="B821" s="164"/>
      <c r="C821" s="110"/>
      <c r="D821" s="156"/>
      <c r="E821" s="111"/>
      <c r="F821" s="112"/>
      <c r="G821" s="113"/>
      <c r="H821" s="53">
        <f t="shared" si="1"/>
        <v>0</v>
      </c>
      <c r="I821" s="115"/>
      <c r="J821" s="115"/>
      <c r="K821" s="60">
        <f t="shared" si="2"/>
        <v>0</v>
      </c>
      <c r="L821" s="117"/>
    </row>
    <row r="822" ht="15.75" customHeight="1">
      <c r="A822" s="9"/>
      <c r="B822" s="164"/>
      <c r="C822" s="110"/>
      <c r="D822" s="156"/>
      <c r="E822" s="111"/>
      <c r="F822" s="112"/>
      <c r="G822" s="113"/>
      <c r="H822" s="53">
        <f t="shared" si="1"/>
        <v>0</v>
      </c>
      <c r="I822" s="115"/>
      <c r="J822" s="115"/>
      <c r="K822" s="60">
        <f t="shared" si="2"/>
        <v>0</v>
      </c>
      <c r="L822" s="117"/>
    </row>
    <row r="823" ht="15.75" customHeight="1">
      <c r="A823" s="9"/>
      <c r="B823" s="164"/>
      <c r="C823" s="110"/>
      <c r="D823" s="156"/>
      <c r="E823" s="111"/>
      <c r="F823" s="112"/>
      <c r="G823" s="113"/>
      <c r="H823" s="53">
        <f t="shared" si="1"/>
        <v>0</v>
      </c>
      <c r="I823" s="115"/>
      <c r="J823" s="115"/>
      <c r="K823" s="60">
        <f t="shared" si="2"/>
        <v>0</v>
      </c>
      <c r="L823" s="117"/>
    </row>
    <row r="824" ht="15.75" customHeight="1">
      <c r="A824" s="9"/>
      <c r="B824" s="164"/>
      <c r="C824" s="110"/>
      <c r="D824" s="156"/>
      <c r="E824" s="111"/>
      <c r="F824" s="112"/>
      <c r="G824" s="113"/>
      <c r="H824" s="53">
        <f t="shared" si="1"/>
        <v>0</v>
      </c>
      <c r="I824" s="115"/>
      <c r="J824" s="115"/>
      <c r="K824" s="60">
        <f t="shared" si="2"/>
        <v>0</v>
      </c>
      <c r="L824" s="117"/>
    </row>
    <row r="825" ht="15.75" customHeight="1">
      <c r="A825" s="9"/>
      <c r="B825" s="164"/>
      <c r="C825" s="110"/>
      <c r="D825" s="156"/>
      <c r="E825" s="111"/>
      <c r="F825" s="112"/>
      <c r="G825" s="113"/>
      <c r="H825" s="53">
        <f t="shared" si="1"/>
        <v>0</v>
      </c>
      <c r="I825" s="115"/>
      <c r="J825" s="115"/>
      <c r="K825" s="60">
        <f t="shared" si="2"/>
        <v>0</v>
      </c>
      <c r="L825" s="117"/>
    </row>
    <row r="826" ht="15.75" customHeight="1">
      <c r="A826" s="9"/>
      <c r="B826" s="164"/>
      <c r="C826" s="110"/>
      <c r="D826" s="156"/>
      <c r="E826" s="111"/>
      <c r="F826" s="112"/>
      <c r="G826" s="113"/>
      <c r="H826" s="53">
        <f t="shared" si="1"/>
        <v>0</v>
      </c>
      <c r="I826" s="115"/>
      <c r="J826" s="115"/>
      <c r="K826" s="60">
        <f t="shared" si="2"/>
        <v>0</v>
      </c>
      <c r="L826" s="117"/>
    </row>
    <row r="827" ht="15.75" customHeight="1">
      <c r="A827" s="9"/>
      <c r="B827" s="164"/>
      <c r="C827" s="110"/>
      <c r="D827" s="156"/>
      <c r="E827" s="111"/>
      <c r="F827" s="112"/>
      <c r="G827" s="113"/>
      <c r="H827" s="53">
        <f t="shared" si="1"/>
        <v>0</v>
      </c>
      <c r="I827" s="115"/>
      <c r="J827" s="115"/>
      <c r="K827" s="60">
        <f t="shared" si="2"/>
        <v>0</v>
      </c>
      <c r="L827" s="117"/>
    </row>
    <row r="828" ht="15.75" customHeight="1">
      <c r="A828" s="9"/>
      <c r="B828" s="164"/>
      <c r="C828" s="110"/>
      <c r="D828" s="156"/>
      <c r="E828" s="111"/>
      <c r="F828" s="112"/>
      <c r="G828" s="113"/>
      <c r="H828" s="53">
        <f t="shared" si="1"/>
        <v>0</v>
      </c>
      <c r="I828" s="115"/>
      <c r="J828" s="115"/>
      <c r="K828" s="60">
        <f t="shared" si="2"/>
        <v>0</v>
      </c>
      <c r="L828" s="117"/>
    </row>
    <row r="829" ht="15.75" customHeight="1">
      <c r="A829" s="9"/>
      <c r="B829" s="164"/>
      <c r="C829" s="110"/>
      <c r="D829" s="156"/>
      <c r="E829" s="111"/>
      <c r="F829" s="112"/>
      <c r="G829" s="113"/>
      <c r="H829" s="53">
        <f t="shared" si="1"/>
        <v>0</v>
      </c>
      <c r="I829" s="115"/>
      <c r="J829" s="115"/>
      <c r="K829" s="60">
        <f t="shared" si="2"/>
        <v>0</v>
      </c>
      <c r="L829" s="117"/>
    </row>
    <row r="830" ht="15.75" customHeight="1">
      <c r="A830" s="9"/>
      <c r="B830" s="164"/>
      <c r="C830" s="110"/>
      <c r="D830" s="156"/>
      <c r="E830" s="111"/>
      <c r="F830" s="112"/>
      <c r="G830" s="113"/>
      <c r="H830" s="53">
        <f t="shared" si="1"/>
        <v>0</v>
      </c>
      <c r="I830" s="115"/>
      <c r="J830" s="115"/>
      <c r="K830" s="60">
        <f t="shared" si="2"/>
        <v>0</v>
      </c>
      <c r="L830" s="117"/>
    </row>
    <row r="831" ht="15.75" customHeight="1">
      <c r="A831" s="9"/>
      <c r="B831" s="164"/>
      <c r="C831" s="110"/>
      <c r="D831" s="156"/>
      <c r="E831" s="111"/>
      <c r="F831" s="112"/>
      <c r="G831" s="113"/>
      <c r="H831" s="53">
        <f t="shared" si="1"/>
        <v>0</v>
      </c>
      <c r="I831" s="115"/>
      <c r="J831" s="115"/>
      <c r="K831" s="60">
        <f t="shared" si="2"/>
        <v>0</v>
      </c>
      <c r="L831" s="117"/>
    </row>
    <row r="832" ht="15.75" customHeight="1">
      <c r="A832" s="9"/>
      <c r="B832" s="164"/>
      <c r="C832" s="110"/>
      <c r="D832" s="156"/>
      <c r="E832" s="111"/>
      <c r="F832" s="112"/>
      <c r="G832" s="113"/>
      <c r="H832" s="53">
        <f t="shared" si="1"/>
        <v>0</v>
      </c>
      <c r="I832" s="115"/>
      <c r="J832" s="115"/>
      <c r="K832" s="60">
        <f t="shared" si="2"/>
        <v>0</v>
      </c>
      <c r="L832" s="117"/>
    </row>
    <row r="833" ht="15.75" customHeight="1">
      <c r="A833" s="9"/>
      <c r="B833" s="164"/>
      <c r="C833" s="110"/>
      <c r="D833" s="156"/>
      <c r="E833" s="111"/>
      <c r="F833" s="112"/>
      <c r="G833" s="113"/>
      <c r="H833" s="53">
        <f t="shared" si="1"/>
        <v>0</v>
      </c>
      <c r="I833" s="115"/>
      <c r="J833" s="115"/>
      <c r="K833" s="60">
        <f t="shared" si="2"/>
        <v>0</v>
      </c>
      <c r="L833" s="117"/>
    </row>
    <row r="834" ht="15.75" customHeight="1">
      <c r="A834" s="9"/>
      <c r="B834" s="164"/>
      <c r="C834" s="110"/>
      <c r="D834" s="156"/>
      <c r="E834" s="111"/>
      <c r="F834" s="112"/>
      <c r="G834" s="113"/>
      <c r="H834" s="53">
        <f t="shared" si="1"/>
        <v>0</v>
      </c>
      <c r="I834" s="115"/>
      <c r="J834" s="115"/>
      <c r="K834" s="60">
        <f t="shared" si="2"/>
        <v>0</v>
      </c>
      <c r="L834" s="117"/>
    </row>
    <row r="835" ht="15.75" customHeight="1">
      <c r="A835" s="9"/>
      <c r="B835" s="164"/>
      <c r="C835" s="110"/>
      <c r="D835" s="156"/>
      <c r="E835" s="111"/>
      <c r="F835" s="112"/>
      <c r="G835" s="113"/>
      <c r="H835" s="53">
        <f t="shared" si="1"/>
        <v>0</v>
      </c>
      <c r="I835" s="115"/>
      <c r="J835" s="115"/>
      <c r="K835" s="60">
        <f t="shared" si="2"/>
        <v>0</v>
      </c>
      <c r="L835" s="117"/>
    </row>
    <row r="836" ht="15.75" customHeight="1">
      <c r="A836" s="9"/>
      <c r="B836" s="164"/>
      <c r="C836" s="110"/>
      <c r="D836" s="156"/>
      <c r="E836" s="111"/>
      <c r="F836" s="112"/>
      <c r="G836" s="113"/>
      <c r="H836" s="53">
        <f t="shared" si="1"/>
        <v>0</v>
      </c>
      <c r="I836" s="115"/>
      <c r="J836" s="115"/>
      <c r="K836" s="60">
        <f t="shared" si="2"/>
        <v>0</v>
      </c>
      <c r="L836" s="117"/>
    </row>
    <row r="837" ht="15.75" customHeight="1">
      <c r="A837" s="9"/>
      <c r="B837" s="164"/>
      <c r="C837" s="110"/>
      <c r="D837" s="156"/>
      <c r="E837" s="111"/>
      <c r="F837" s="112"/>
      <c r="G837" s="113"/>
      <c r="H837" s="53">
        <f t="shared" si="1"/>
        <v>0</v>
      </c>
      <c r="I837" s="115"/>
      <c r="J837" s="115"/>
      <c r="K837" s="60">
        <f t="shared" si="2"/>
        <v>0</v>
      </c>
      <c r="L837" s="117"/>
    </row>
    <row r="838" ht="15.75" customHeight="1">
      <c r="A838" s="9"/>
      <c r="B838" s="164"/>
      <c r="C838" s="110"/>
      <c r="D838" s="156"/>
      <c r="E838" s="111"/>
      <c r="F838" s="112"/>
      <c r="G838" s="113"/>
      <c r="H838" s="53">
        <f t="shared" si="1"/>
        <v>0</v>
      </c>
      <c r="I838" s="115"/>
      <c r="J838" s="115"/>
      <c r="K838" s="60">
        <f t="shared" si="2"/>
        <v>0</v>
      </c>
      <c r="L838" s="117"/>
    </row>
    <row r="839" ht="15.75" customHeight="1">
      <c r="A839" s="9"/>
      <c r="B839" s="164"/>
      <c r="C839" s="110"/>
      <c r="D839" s="156"/>
      <c r="E839" s="111"/>
      <c r="F839" s="112"/>
      <c r="G839" s="113"/>
      <c r="H839" s="53">
        <f t="shared" si="1"/>
        <v>0</v>
      </c>
      <c r="I839" s="115"/>
      <c r="J839" s="115"/>
      <c r="K839" s="60">
        <f t="shared" si="2"/>
        <v>0</v>
      </c>
      <c r="L839" s="117"/>
    </row>
    <row r="840" ht="15.75" customHeight="1">
      <c r="A840" s="9"/>
      <c r="B840" s="164"/>
      <c r="C840" s="110"/>
      <c r="D840" s="156"/>
      <c r="E840" s="111"/>
      <c r="F840" s="112"/>
      <c r="G840" s="113"/>
      <c r="H840" s="53">
        <f t="shared" si="1"/>
        <v>0</v>
      </c>
      <c r="I840" s="115"/>
      <c r="J840" s="115"/>
      <c r="K840" s="60">
        <f t="shared" si="2"/>
        <v>0</v>
      </c>
      <c r="L840" s="117"/>
    </row>
    <row r="841" ht="15.75" customHeight="1">
      <c r="A841" s="9"/>
      <c r="B841" s="164"/>
      <c r="C841" s="110"/>
      <c r="D841" s="156"/>
      <c r="E841" s="111"/>
      <c r="F841" s="112"/>
      <c r="G841" s="113"/>
      <c r="H841" s="53">
        <f t="shared" si="1"/>
        <v>0</v>
      </c>
      <c r="I841" s="115"/>
      <c r="J841" s="115"/>
      <c r="K841" s="60">
        <f t="shared" si="2"/>
        <v>0</v>
      </c>
      <c r="L841" s="117"/>
    </row>
    <row r="842" ht="15.75" customHeight="1">
      <c r="A842" s="9"/>
      <c r="B842" s="164"/>
      <c r="C842" s="110"/>
      <c r="D842" s="156"/>
      <c r="E842" s="111"/>
      <c r="F842" s="112"/>
      <c r="G842" s="113"/>
      <c r="H842" s="53">
        <f t="shared" si="1"/>
        <v>0</v>
      </c>
      <c r="I842" s="115"/>
      <c r="J842" s="115"/>
      <c r="K842" s="60">
        <f t="shared" si="2"/>
        <v>0</v>
      </c>
      <c r="L842" s="117"/>
    </row>
    <row r="843" ht="15.75" customHeight="1">
      <c r="A843" s="9"/>
      <c r="B843" s="164"/>
      <c r="C843" s="110"/>
      <c r="D843" s="156"/>
      <c r="E843" s="111"/>
      <c r="F843" s="112"/>
      <c r="G843" s="113"/>
      <c r="H843" s="53">
        <f t="shared" si="1"/>
        <v>0</v>
      </c>
      <c r="I843" s="115"/>
      <c r="J843" s="115"/>
      <c r="K843" s="60">
        <f t="shared" si="2"/>
        <v>0</v>
      </c>
      <c r="L843" s="117"/>
    </row>
    <row r="844" ht="15.75" customHeight="1">
      <c r="A844" s="9"/>
      <c r="B844" s="164"/>
      <c r="C844" s="110"/>
      <c r="D844" s="156"/>
      <c r="E844" s="111"/>
      <c r="F844" s="112"/>
      <c r="G844" s="113"/>
      <c r="H844" s="53">
        <f t="shared" si="1"/>
        <v>0</v>
      </c>
      <c r="I844" s="115"/>
      <c r="J844" s="115"/>
      <c r="K844" s="60">
        <f t="shared" si="2"/>
        <v>0</v>
      </c>
      <c r="L844" s="117"/>
    </row>
    <row r="845" ht="15.75" customHeight="1">
      <c r="A845" s="9"/>
      <c r="B845" s="164"/>
      <c r="C845" s="110"/>
      <c r="D845" s="156"/>
      <c r="E845" s="111"/>
      <c r="F845" s="112"/>
      <c r="G845" s="113"/>
      <c r="H845" s="53">
        <f t="shared" si="1"/>
        <v>0</v>
      </c>
      <c r="I845" s="115"/>
      <c r="J845" s="115"/>
      <c r="K845" s="60">
        <f t="shared" si="2"/>
        <v>0</v>
      </c>
      <c r="L845" s="117"/>
    </row>
    <row r="846" ht="15.75" customHeight="1">
      <c r="A846" s="9"/>
      <c r="B846" s="164"/>
      <c r="C846" s="110"/>
      <c r="D846" s="156"/>
      <c r="E846" s="111"/>
      <c r="F846" s="112"/>
      <c r="G846" s="113"/>
      <c r="H846" s="53">
        <f t="shared" si="1"/>
        <v>0</v>
      </c>
      <c r="I846" s="115"/>
      <c r="J846" s="115"/>
      <c r="K846" s="60">
        <f t="shared" si="2"/>
        <v>0</v>
      </c>
      <c r="L846" s="117"/>
    </row>
    <row r="847" ht="15.75" customHeight="1">
      <c r="A847" s="9"/>
      <c r="B847" s="164"/>
      <c r="C847" s="110"/>
      <c r="D847" s="156"/>
      <c r="E847" s="111"/>
      <c r="F847" s="112"/>
      <c r="G847" s="113"/>
      <c r="H847" s="53">
        <f t="shared" si="1"/>
        <v>0</v>
      </c>
      <c r="I847" s="115"/>
      <c r="J847" s="115"/>
      <c r="K847" s="60">
        <f t="shared" si="2"/>
        <v>0</v>
      </c>
      <c r="L847" s="117"/>
    </row>
    <row r="848" ht="15.75" customHeight="1">
      <c r="A848" s="9"/>
      <c r="B848" s="164"/>
      <c r="C848" s="110"/>
      <c r="D848" s="156"/>
      <c r="E848" s="111"/>
      <c r="F848" s="112"/>
      <c r="G848" s="113"/>
      <c r="H848" s="53">
        <f t="shared" si="1"/>
        <v>0</v>
      </c>
      <c r="I848" s="115"/>
      <c r="J848" s="115"/>
      <c r="K848" s="60">
        <f t="shared" si="2"/>
        <v>0</v>
      </c>
      <c r="L848" s="117"/>
    </row>
    <row r="849" ht="15.75" customHeight="1">
      <c r="A849" s="9"/>
      <c r="B849" s="164"/>
      <c r="C849" s="110"/>
      <c r="D849" s="156"/>
      <c r="E849" s="111"/>
      <c r="F849" s="112"/>
      <c r="G849" s="113"/>
      <c r="H849" s="53">
        <f t="shared" si="1"/>
        <v>0</v>
      </c>
      <c r="I849" s="115"/>
      <c r="J849" s="115"/>
      <c r="K849" s="60">
        <f t="shared" si="2"/>
        <v>0</v>
      </c>
      <c r="L849" s="117"/>
    </row>
    <row r="850" ht="15.75" customHeight="1">
      <c r="A850" s="9"/>
      <c r="B850" s="164"/>
      <c r="C850" s="110"/>
      <c r="D850" s="156"/>
      <c r="E850" s="111"/>
      <c r="F850" s="112"/>
      <c r="G850" s="113"/>
      <c r="H850" s="53">
        <f t="shared" si="1"/>
        <v>0</v>
      </c>
      <c r="I850" s="115"/>
      <c r="J850" s="115"/>
      <c r="K850" s="60">
        <f t="shared" si="2"/>
        <v>0</v>
      </c>
      <c r="L850" s="117"/>
    </row>
    <row r="851" ht="15.75" customHeight="1">
      <c r="A851" s="9"/>
      <c r="B851" s="164"/>
      <c r="C851" s="110"/>
      <c r="D851" s="156"/>
      <c r="E851" s="111"/>
      <c r="F851" s="112"/>
      <c r="G851" s="113"/>
      <c r="H851" s="53">
        <f t="shared" si="1"/>
        <v>0</v>
      </c>
      <c r="I851" s="115"/>
      <c r="J851" s="115"/>
      <c r="K851" s="60">
        <f t="shared" si="2"/>
        <v>0</v>
      </c>
      <c r="L851" s="117"/>
    </row>
    <row r="852" ht="15.75" customHeight="1">
      <c r="A852" s="9"/>
      <c r="B852" s="164"/>
      <c r="C852" s="110"/>
      <c r="D852" s="156"/>
      <c r="E852" s="111"/>
      <c r="F852" s="112"/>
      <c r="G852" s="113"/>
      <c r="H852" s="53">
        <f t="shared" si="1"/>
        <v>0</v>
      </c>
      <c r="I852" s="115"/>
      <c r="J852" s="115"/>
      <c r="K852" s="60">
        <f t="shared" si="2"/>
        <v>0</v>
      </c>
      <c r="L852" s="117"/>
    </row>
    <row r="853" ht="15.75" customHeight="1">
      <c r="A853" s="9"/>
      <c r="B853" s="164"/>
      <c r="C853" s="110"/>
      <c r="D853" s="156"/>
      <c r="E853" s="111"/>
      <c r="F853" s="112"/>
      <c r="G853" s="113"/>
      <c r="H853" s="53">
        <f t="shared" si="1"/>
        <v>0</v>
      </c>
      <c r="I853" s="115"/>
      <c r="J853" s="115"/>
      <c r="K853" s="60">
        <f t="shared" si="2"/>
        <v>0</v>
      </c>
      <c r="L853" s="117"/>
    </row>
    <row r="854" ht="15.75" customHeight="1">
      <c r="A854" s="9"/>
      <c r="B854" s="164"/>
      <c r="C854" s="110"/>
      <c r="D854" s="156"/>
      <c r="E854" s="111"/>
      <c r="F854" s="112"/>
      <c r="G854" s="113"/>
      <c r="H854" s="53">
        <f t="shared" si="1"/>
        <v>0</v>
      </c>
      <c r="I854" s="115"/>
      <c r="J854" s="115"/>
      <c r="K854" s="60">
        <f t="shared" si="2"/>
        <v>0</v>
      </c>
      <c r="L854" s="117"/>
    </row>
    <row r="855" ht="15.75" customHeight="1">
      <c r="A855" s="9"/>
      <c r="B855" s="164"/>
      <c r="C855" s="110"/>
      <c r="D855" s="156"/>
      <c r="E855" s="111"/>
      <c r="F855" s="112"/>
      <c r="G855" s="113"/>
      <c r="H855" s="53">
        <f t="shared" si="1"/>
        <v>0</v>
      </c>
      <c r="I855" s="115"/>
      <c r="J855" s="115"/>
      <c r="K855" s="60">
        <f t="shared" si="2"/>
        <v>0</v>
      </c>
      <c r="L855" s="117"/>
    </row>
    <row r="856" ht="15.75" customHeight="1">
      <c r="A856" s="9"/>
      <c r="B856" s="164"/>
      <c r="C856" s="110"/>
      <c r="D856" s="156"/>
      <c r="E856" s="111"/>
      <c r="F856" s="112"/>
      <c r="G856" s="113"/>
      <c r="H856" s="53">
        <f t="shared" si="1"/>
        <v>0</v>
      </c>
      <c r="I856" s="115"/>
      <c r="J856" s="115"/>
      <c r="K856" s="60">
        <f t="shared" si="2"/>
        <v>0</v>
      </c>
      <c r="L856" s="117"/>
    </row>
    <row r="857" ht="15.75" customHeight="1">
      <c r="A857" s="9"/>
      <c r="B857" s="164"/>
      <c r="C857" s="110"/>
      <c r="D857" s="156"/>
      <c r="E857" s="111"/>
      <c r="F857" s="112"/>
      <c r="G857" s="113"/>
      <c r="H857" s="53">
        <f t="shared" si="1"/>
        <v>0</v>
      </c>
      <c r="I857" s="115"/>
      <c r="J857" s="115"/>
      <c r="K857" s="60">
        <f t="shared" si="2"/>
        <v>0</v>
      </c>
      <c r="L857" s="117"/>
    </row>
    <row r="858" ht="15.75" customHeight="1">
      <c r="A858" s="9"/>
      <c r="B858" s="164"/>
      <c r="C858" s="110"/>
      <c r="D858" s="156"/>
      <c r="E858" s="111"/>
      <c r="F858" s="112"/>
      <c r="G858" s="113"/>
      <c r="H858" s="53">
        <f t="shared" si="1"/>
        <v>0</v>
      </c>
      <c r="I858" s="115"/>
      <c r="J858" s="115"/>
      <c r="K858" s="60">
        <f t="shared" si="2"/>
        <v>0</v>
      </c>
      <c r="L858" s="117"/>
    </row>
    <row r="859" ht="15.75" customHeight="1">
      <c r="A859" s="9"/>
      <c r="B859" s="164"/>
      <c r="C859" s="110"/>
      <c r="D859" s="156"/>
      <c r="E859" s="111"/>
      <c r="F859" s="112"/>
      <c r="G859" s="113"/>
      <c r="H859" s="53">
        <f t="shared" si="1"/>
        <v>0</v>
      </c>
      <c r="I859" s="115"/>
      <c r="J859" s="115"/>
      <c r="K859" s="60">
        <f t="shared" si="2"/>
        <v>0</v>
      </c>
      <c r="L859" s="117"/>
    </row>
    <row r="860" ht="15.75" customHeight="1">
      <c r="A860" s="9"/>
      <c r="B860" s="164"/>
      <c r="C860" s="110"/>
      <c r="D860" s="156"/>
      <c r="E860" s="111"/>
      <c r="F860" s="112"/>
      <c r="G860" s="113"/>
      <c r="H860" s="53">
        <f t="shared" si="1"/>
        <v>0</v>
      </c>
      <c r="I860" s="115"/>
      <c r="J860" s="115"/>
      <c r="K860" s="60">
        <f t="shared" si="2"/>
        <v>0</v>
      </c>
      <c r="L860" s="117"/>
    </row>
    <row r="861" ht="15.75" customHeight="1">
      <c r="A861" s="9"/>
      <c r="B861" s="164"/>
      <c r="C861" s="110"/>
      <c r="D861" s="156"/>
      <c r="E861" s="111"/>
      <c r="F861" s="112"/>
      <c r="G861" s="113"/>
      <c r="H861" s="53">
        <f t="shared" si="1"/>
        <v>0</v>
      </c>
      <c r="I861" s="115"/>
      <c r="J861" s="115"/>
      <c r="K861" s="60">
        <f t="shared" si="2"/>
        <v>0</v>
      </c>
      <c r="L861" s="117"/>
    </row>
    <row r="862" ht="15.75" customHeight="1">
      <c r="A862" s="9"/>
      <c r="B862" s="164"/>
      <c r="C862" s="110"/>
      <c r="D862" s="156"/>
      <c r="E862" s="111"/>
      <c r="F862" s="112"/>
      <c r="G862" s="113"/>
      <c r="H862" s="53">
        <f t="shared" si="1"/>
        <v>0</v>
      </c>
      <c r="I862" s="115"/>
      <c r="J862" s="115"/>
      <c r="K862" s="60">
        <f t="shared" si="2"/>
        <v>0</v>
      </c>
      <c r="L862" s="117"/>
    </row>
    <row r="863" ht="15.75" customHeight="1">
      <c r="A863" s="9"/>
      <c r="B863" s="164"/>
      <c r="C863" s="110"/>
      <c r="D863" s="156"/>
      <c r="E863" s="111"/>
      <c r="F863" s="112"/>
      <c r="G863" s="113"/>
      <c r="H863" s="53">
        <f t="shared" si="1"/>
        <v>0</v>
      </c>
      <c r="I863" s="115"/>
      <c r="J863" s="115"/>
      <c r="K863" s="60">
        <f t="shared" si="2"/>
        <v>0</v>
      </c>
      <c r="L863" s="117"/>
    </row>
    <row r="864" ht="15.75" customHeight="1">
      <c r="A864" s="9"/>
      <c r="B864" s="164"/>
      <c r="C864" s="110"/>
      <c r="D864" s="156"/>
      <c r="E864" s="111"/>
      <c r="F864" s="112"/>
      <c r="G864" s="113"/>
      <c r="H864" s="53">
        <f t="shared" si="1"/>
        <v>0</v>
      </c>
      <c r="I864" s="115"/>
      <c r="J864" s="115"/>
      <c r="K864" s="60">
        <f t="shared" si="2"/>
        <v>0</v>
      </c>
      <c r="L864" s="117"/>
    </row>
    <row r="865" ht="15.75" customHeight="1">
      <c r="A865" s="9"/>
      <c r="B865" s="164"/>
      <c r="C865" s="110"/>
      <c r="D865" s="156"/>
      <c r="E865" s="111"/>
      <c r="F865" s="112"/>
      <c r="G865" s="113"/>
      <c r="H865" s="53">
        <f t="shared" si="1"/>
        <v>0</v>
      </c>
      <c r="I865" s="115"/>
      <c r="J865" s="115"/>
      <c r="K865" s="60">
        <f t="shared" si="2"/>
        <v>0</v>
      </c>
      <c r="L865" s="117"/>
    </row>
    <row r="866" ht="15.75" customHeight="1">
      <c r="A866" s="9"/>
      <c r="B866" s="164"/>
      <c r="C866" s="110"/>
      <c r="D866" s="156"/>
      <c r="E866" s="111"/>
      <c r="F866" s="112"/>
      <c r="G866" s="113"/>
      <c r="H866" s="53">
        <f t="shared" si="1"/>
        <v>0</v>
      </c>
      <c r="I866" s="115"/>
      <c r="J866" s="115"/>
      <c r="K866" s="60">
        <f t="shared" si="2"/>
        <v>0</v>
      </c>
      <c r="L866" s="117"/>
    </row>
    <row r="867" ht="15.75" customHeight="1">
      <c r="A867" s="9"/>
      <c r="B867" s="164"/>
      <c r="C867" s="110"/>
      <c r="D867" s="156"/>
      <c r="E867" s="111"/>
      <c r="F867" s="112"/>
      <c r="G867" s="113"/>
      <c r="H867" s="53">
        <f t="shared" si="1"/>
        <v>0</v>
      </c>
      <c r="I867" s="115"/>
      <c r="J867" s="115"/>
      <c r="K867" s="60">
        <f t="shared" si="2"/>
        <v>0</v>
      </c>
      <c r="L867" s="117"/>
    </row>
    <row r="868" ht="15.75" customHeight="1">
      <c r="A868" s="9"/>
      <c r="B868" s="164"/>
      <c r="C868" s="110"/>
      <c r="D868" s="156"/>
      <c r="E868" s="111"/>
      <c r="F868" s="112"/>
      <c r="G868" s="113"/>
      <c r="H868" s="53">
        <f t="shared" si="1"/>
        <v>0</v>
      </c>
      <c r="I868" s="115"/>
      <c r="J868" s="115"/>
      <c r="K868" s="60">
        <f t="shared" si="2"/>
        <v>0</v>
      </c>
      <c r="L868" s="117"/>
    </row>
    <row r="869" ht="15.75" customHeight="1">
      <c r="A869" s="9"/>
      <c r="B869" s="164"/>
      <c r="C869" s="110"/>
      <c r="D869" s="156"/>
      <c r="E869" s="111"/>
      <c r="F869" s="112"/>
      <c r="G869" s="113"/>
      <c r="H869" s="53">
        <f t="shared" si="1"/>
        <v>0</v>
      </c>
      <c r="I869" s="115"/>
      <c r="J869" s="115"/>
      <c r="K869" s="60">
        <f t="shared" si="2"/>
        <v>0</v>
      </c>
      <c r="L869" s="117"/>
    </row>
    <row r="870" ht="15.75" customHeight="1">
      <c r="A870" s="9"/>
      <c r="B870" s="164"/>
      <c r="C870" s="110"/>
      <c r="D870" s="156"/>
      <c r="E870" s="111"/>
      <c r="F870" s="112"/>
      <c r="G870" s="113"/>
      <c r="H870" s="53">
        <f t="shared" si="1"/>
        <v>0</v>
      </c>
      <c r="I870" s="115"/>
      <c r="J870" s="115"/>
      <c r="K870" s="60">
        <f t="shared" si="2"/>
        <v>0</v>
      </c>
      <c r="L870" s="117"/>
    </row>
    <row r="871" ht="15.75" customHeight="1">
      <c r="A871" s="9"/>
      <c r="B871" s="164"/>
      <c r="C871" s="110"/>
      <c r="D871" s="156"/>
      <c r="E871" s="111"/>
      <c r="F871" s="112"/>
      <c r="G871" s="113"/>
      <c r="H871" s="53">
        <f t="shared" si="1"/>
        <v>0</v>
      </c>
      <c r="I871" s="115"/>
      <c r="J871" s="115"/>
      <c r="K871" s="60">
        <f t="shared" si="2"/>
        <v>0</v>
      </c>
      <c r="L871" s="117"/>
    </row>
    <row r="872" ht="15.75" customHeight="1">
      <c r="A872" s="9"/>
      <c r="B872" s="164"/>
      <c r="C872" s="110"/>
      <c r="D872" s="156"/>
      <c r="E872" s="111"/>
      <c r="F872" s="112"/>
      <c r="G872" s="113"/>
      <c r="H872" s="53">
        <f t="shared" si="1"/>
        <v>0</v>
      </c>
      <c r="I872" s="115"/>
      <c r="J872" s="115"/>
      <c r="K872" s="60">
        <f t="shared" si="2"/>
        <v>0</v>
      </c>
      <c r="L872" s="117"/>
    </row>
    <row r="873" ht="15.75" customHeight="1">
      <c r="A873" s="9"/>
      <c r="B873" s="164"/>
      <c r="C873" s="110"/>
      <c r="D873" s="156"/>
      <c r="E873" s="111"/>
      <c r="F873" s="112"/>
      <c r="G873" s="113"/>
      <c r="H873" s="53">
        <f t="shared" si="1"/>
        <v>0</v>
      </c>
      <c r="I873" s="115"/>
      <c r="J873" s="115"/>
      <c r="K873" s="60">
        <f t="shared" si="2"/>
        <v>0</v>
      </c>
      <c r="L873" s="117"/>
    </row>
    <row r="874" ht="15.75" customHeight="1">
      <c r="A874" s="9"/>
      <c r="B874" s="164"/>
      <c r="C874" s="110"/>
      <c r="D874" s="156"/>
      <c r="E874" s="111"/>
      <c r="F874" s="112"/>
      <c r="G874" s="113"/>
      <c r="H874" s="53">
        <f t="shared" si="1"/>
        <v>0</v>
      </c>
      <c r="I874" s="115"/>
      <c r="J874" s="115"/>
      <c r="K874" s="60">
        <f t="shared" si="2"/>
        <v>0</v>
      </c>
      <c r="L874" s="117"/>
    </row>
    <row r="875" ht="15.75" customHeight="1">
      <c r="A875" s="9"/>
      <c r="B875" s="164"/>
      <c r="C875" s="110"/>
      <c r="D875" s="156"/>
      <c r="E875" s="111"/>
      <c r="F875" s="112"/>
      <c r="G875" s="113"/>
      <c r="H875" s="53">
        <f t="shared" si="1"/>
        <v>0</v>
      </c>
      <c r="I875" s="115"/>
      <c r="J875" s="115"/>
      <c r="K875" s="60">
        <f t="shared" si="2"/>
        <v>0</v>
      </c>
      <c r="L875" s="117"/>
    </row>
    <row r="876" ht="15.75" customHeight="1">
      <c r="A876" s="9"/>
      <c r="B876" s="164"/>
      <c r="C876" s="110"/>
      <c r="D876" s="156"/>
      <c r="E876" s="111"/>
      <c r="F876" s="112"/>
      <c r="G876" s="113"/>
      <c r="H876" s="53">
        <f t="shared" si="1"/>
        <v>0</v>
      </c>
      <c r="I876" s="115"/>
      <c r="J876" s="115"/>
      <c r="K876" s="60">
        <f t="shared" si="2"/>
        <v>0</v>
      </c>
      <c r="L876" s="117"/>
    </row>
    <row r="877" ht="15.75" customHeight="1">
      <c r="A877" s="9"/>
      <c r="B877" s="164"/>
      <c r="C877" s="110"/>
      <c r="D877" s="156"/>
      <c r="E877" s="111"/>
      <c r="F877" s="112"/>
      <c r="G877" s="113"/>
      <c r="H877" s="53">
        <f t="shared" si="1"/>
        <v>0</v>
      </c>
      <c r="I877" s="115"/>
      <c r="J877" s="115"/>
      <c r="K877" s="60">
        <f t="shared" si="2"/>
        <v>0</v>
      </c>
      <c r="L877" s="117"/>
    </row>
    <row r="878" ht="15.75" customHeight="1">
      <c r="A878" s="9"/>
      <c r="B878" s="164"/>
      <c r="C878" s="110"/>
      <c r="D878" s="156"/>
      <c r="E878" s="111"/>
      <c r="F878" s="112"/>
      <c r="G878" s="113"/>
      <c r="H878" s="53">
        <f t="shared" si="1"/>
        <v>0</v>
      </c>
      <c r="I878" s="115"/>
      <c r="J878" s="115"/>
      <c r="K878" s="60">
        <f t="shared" si="2"/>
        <v>0</v>
      </c>
      <c r="L878" s="117"/>
    </row>
    <row r="879" ht="15.75" customHeight="1">
      <c r="A879" s="9"/>
      <c r="B879" s="164"/>
      <c r="C879" s="110"/>
      <c r="D879" s="156"/>
      <c r="E879" s="111"/>
      <c r="F879" s="112"/>
      <c r="G879" s="113"/>
      <c r="H879" s="53">
        <f t="shared" si="1"/>
        <v>0</v>
      </c>
      <c r="I879" s="115"/>
      <c r="J879" s="115"/>
      <c r="K879" s="60">
        <f t="shared" si="2"/>
        <v>0</v>
      </c>
      <c r="L879" s="117"/>
    </row>
    <row r="880" ht="15.75" customHeight="1">
      <c r="A880" s="9"/>
      <c r="B880" s="164"/>
      <c r="C880" s="110"/>
      <c r="D880" s="156"/>
      <c r="E880" s="111"/>
      <c r="F880" s="112"/>
      <c r="G880" s="113"/>
      <c r="H880" s="53">
        <f t="shared" si="1"/>
        <v>0</v>
      </c>
      <c r="I880" s="115"/>
      <c r="J880" s="115"/>
      <c r="K880" s="60">
        <f t="shared" si="2"/>
        <v>0</v>
      </c>
      <c r="L880" s="117"/>
    </row>
    <row r="881" ht="15.75" customHeight="1">
      <c r="A881" s="9"/>
      <c r="B881" s="164"/>
      <c r="C881" s="110"/>
      <c r="D881" s="156"/>
      <c r="E881" s="111"/>
      <c r="F881" s="112"/>
      <c r="G881" s="113"/>
      <c r="H881" s="53">
        <f t="shared" si="1"/>
        <v>0</v>
      </c>
      <c r="I881" s="115"/>
      <c r="J881" s="115"/>
      <c r="K881" s="60">
        <f t="shared" si="2"/>
        <v>0</v>
      </c>
      <c r="L881" s="117"/>
    </row>
    <row r="882" ht="15.75" customHeight="1">
      <c r="A882" s="9"/>
      <c r="B882" s="164"/>
      <c r="C882" s="110"/>
      <c r="D882" s="156"/>
      <c r="E882" s="111"/>
      <c r="F882" s="112"/>
      <c r="G882" s="113"/>
      <c r="H882" s="53">
        <f t="shared" si="1"/>
        <v>0</v>
      </c>
      <c r="I882" s="115"/>
      <c r="J882" s="115"/>
      <c r="K882" s="60">
        <f t="shared" si="2"/>
        <v>0</v>
      </c>
      <c r="L882" s="117"/>
    </row>
    <row r="883" ht="15.75" customHeight="1">
      <c r="A883" s="9"/>
      <c r="B883" s="164"/>
      <c r="C883" s="110"/>
      <c r="D883" s="156"/>
      <c r="E883" s="111"/>
      <c r="F883" s="112"/>
      <c r="G883" s="113"/>
      <c r="H883" s="53">
        <f t="shared" si="1"/>
        <v>0</v>
      </c>
      <c r="I883" s="115"/>
      <c r="J883" s="115"/>
      <c r="K883" s="60">
        <f t="shared" si="2"/>
        <v>0</v>
      </c>
      <c r="L883" s="117"/>
    </row>
    <row r="884" ht="15.75" customHeight="1">
      <c r="A884" s="9"/>
      <c r="B884" s="164"/>
      <c r="C884" s="110"/>
      <c r="D884" s="156"/>
      <c r="E884" s="111"/>
      <c r="F884" s="112"/>
      <c r="G884" s="113"/>
      <c r="H884" s="53">
        <f t="shared" si="1"/>
        <v>0</v>
      </c>
      <c r="I884" s="115"/>
      <c r="J884" s="115"/>
      <c r="K884" s="60">
        <f t="shared" si="2"/>
        <v>0</v>
      </c>
      <c r="L884" s="117"/>
    </row>
    <row r="885" ht="15.75" customHeight="1">
      <c r="A885" s="9"/>
      <c r="B885" s="164"/>
      <c r="C885" s="110"/>
      <c r="D885" s="156"/>
      <c r="E885" s="111"/>
      <c r="F885" s="112"/>
      <c r="G885" s="113"/>
      <c r="H885" s="53">
        <f t="shared" si="1"/>
        <v>0</v>
      </c>
      <c r="I885" s="115"/>
      <c r="J885" s="115"/>
      <c r="K885" s="60">
        <f t="shared" si="2"/>
        <v>0</v>
      </c>
      <c r="L885" s="117"/>
    </row>
    <row r="886" ht="15.75" customHeight="1">
      <c r="A886" s="9"/>
      <c r="B886" s="164"/>
      <c r="C886" s="110"/>
      <c r="D886" s="156"/>
      <c r="E886" s="111"/>
      <c r="F886" s="112"/>
      <c r="G886" s="113"/>
      <c r="H886" s="53">
        <f t="shared" si="1"/>
        <v>0</v>
      </c>
      <c r="I886" s="115"/>
      <c r="J886" s="115"/>
      <c r="K886" s="60">
        <f t="shared" si="2"/>
        <v>0</v>
      </c>
      <c r="L886" s="117"/>
    </row>
    <row r="887" ht="15.75" customHeight="1">
      <c r="A887" s="9"/>
      <c r="B887" s="164"/>
      <c r="C887" s="110"/>
      <c r="D887" s="156"/>
      <c r="E887" s="111"/>
      <c r="F887" s="112"/>
      <c r="G887" s="113"/>
      <c r="H887" s="53">
        <f t="shared" si="1"/>
        <v>0</v>
      </c>
      <c r="I887" s="115"/>
      <c r="J887" s="115"/>
      <c r="K887" s="60">
        <f t="shared" si="2"/>
        <v>0</v>
      </c>
      <c r="L887" s="117"/>
    </row>
    <row r="888" ht="15.75" customHeight="1">
      <c r="A888" s="9"/>
      <c r="B888" s="164"/>
      <c r="C888" s="110"/>
      <c r="D888" s="156"/>
      <c r="E888" s="111"/>
      <c r="F888" s="112"/>
      <c r="G888" s="113"/>
      <c r="H888" s="53">
        <f t="shared" si="1"/>
        <v>0</v>
      </c>
      <c r="I888" s="115"/>
      <c r="J888" s="115"/>
      <c r="K888" s="60">
        <f t="shared" si="2"/>
        <v>0</v>
      </c>
      <c r="L888" s="117"/>
    </row>
    <row r="889" ht="15.75" customHeight="1">
      <c r="A889" s="9"/>
      <c r="B889" s="164"/>
      <c r="C889" s="110"/>
      <c r="D889" s="156"/>
      <c r="E889" s="111"/>
      <c r="F889" s="112"/>
      <c r="G889" s="113"/>
      <c r="H889" s="53">
        <f t="shared" si="1"/>
        <v>0</v>
      </c>
      <c r="I889" s="115"/>
      <c r="J889" s="115"/>
      <c r="K889" s="60">
        <f t="shared" si="2"/>
        <v>0</v>
      </c>
      <c r="L889" s="117"/>
    </row>
    <row r="890" ht="15.75" customHeight="1">
      <c r="A890" s="186"/>
      <c r="B890" s="164"/>
      <c r="C890" s="110"/>
      <c r="D890" s="156"/>
      <c r="E890" s="111"/>
      <c r="F890" s="110"/>
      <c r="G890" s="110"/>
      <c r="H890" s="53">
        <f t="shared" si="1"/>
        <v>0</v>
      </c>
      <c r="I890" s="110"/>
      <c r="J890" s="110"/>
      <c r="K890" s="60">
        <f t="shared" si="2"/>
        <v>0</v>
      </c>
      <c r="L890" s="117"/>
    </row>
    <row r="891" ht="15.75" customHeight="1">
      <c r="A891" s="186"/>
      <c r="B891" s="164"/>
      <c r="C891" s="110"/>
      <c r="D891" s="156"/>
      <c r="E891" s="111"/>
      <c r="F891" s="110"/>
      <c r="G891" s="110"/>
      <c r="H891" s="53">
        <f t="shared" si="1"/>
        <v>0</v>
      </c>
      <c r="I891" s="110"/>
      <c r="J891" s="110"/>
      <c r="K891" s="60">
        <f t="shared" si="2"/>
        <v>0</v>
      </c>
      <c r="L891" s="117"/>
    </row>
    <row r="892" ht="15.75" customHeight="1">
      <c r="A892" s="186"/>
      <c r="B892" s="164"/>
      <c r="C892" s="110"/>
      <c r="D892" s="156"/>
      <c r="E892" s="111"/>
      <c r="F892" s="110"/>
      <c r="G892" s="110"/>
      <c r="H892" s="53">
        <f t="shared" si="1"/>
        <v>0</v>
      </c>
      <c r="I892" s="110"/>
      <c r="J892" s="110"/>
      <c r="K892" s="60">
        <f t="shared" si="2"/>
        <v>0</v>
      </c>
      <c r="L892" s="117"/>
    </row>
    <row r="893" ht="15.75" customHeight="1">
      <c r="A893" s="186"/>
      <c r="B893" s="164"/>
      <c r="C893" s="110"/>
      <c r="D893" s="156"/>
      <c r="E893" s="111"/>
      <c r="F893" s="110"/>
      <c r="G893" s="110"/>
      <c r="H893" s="53">
        <f t="shared" si="1"/>
        <v>0</v>
      </c>
      <c r="I893" s="110"/>
      <c r="J893" s="110"/>
      <c r="K893" s="60">
        <f t="shared" si="2"/>
        <v>0</v>
      </c>
      <c r="L893" s="117"/>
    </row>
    <row r="894" ht="15.75" customHeight="1">
      <c r="A894" s="186"/>
      <c r="B894" s="164"/>
      <c r="C894" s="110"/>
      <c r="D894" s="156"/>
      <c r="E894" s="111"/>
      <c r="F894" s="110"/>
      <c r="G894" s="110"/>
      <c r="H894" s="53">
        <f t="shared" si="1"/>
        <v>0</v>
      </c>
      <c r="I894" s="110"/>
      <c r="J894" s="110"/>
      <c r="K894" s="60">
        <f t="shared" si="2"/>
        <v>0</v>
      </c>
      <c r="L894" s="117"/>
    </row>
    <row r="895" ht="15.75" customHeight="1">
      <c r="A895" s="186"/>
      <c r="B895" s="164"/>
      <c r="C895" s="110"/>
      <c r="D895" s="156"/>
      <c r="E895" s="111"/>
      <c r="F895" s="110"/>
      <c r="G895" s="110"/>
      <c r="H895" s="53">
        <f t="shared" si="1"/>
        <v>0</v>
      </c>
      <c r="I895" s="110"/>
      <c r="J895" s="110"/>
      <c r="K895" s="60">
        <f t="shared" si="2"/>
        <v>0</v>
      </c>
      <c r="L895" s="117"/>
    </row>
    <row r="896" ht="15.75" customHeight="1">
      <c r="A896" s="186"/>
      <c r="B896" s="164"/>
      <c r="C896" s="110"/>
      <c r="D896" s="156"/>
      <c r="E896" s="111"/>
      <c r="F896" s="110"/>
      <c r="G896" s="110"/>
      <c r="H896" s="53">
        <f t="shared" si="1"/>
        <v>0</v>
      </c>
      <c r="I896" s="110"/>
      <c r="J896" s="110"/>
      <c r="K896" s="60">
        <f t="shared" si="2"/>
        <v>0</v>
      </c>
      <c r="L896" s="117"/>
    </row>
    <row r="897" ht="15.75" customHeight="1">
      <c r="A897" s="186"/>
      <c r="B897" s="164"/>
      <c r="C897" s="110"/>
      <c r="D897" s="156"/>
      <c r="E897" s="111"/>
      <c r="F897" s="110"/>
      <c r="G897" s="110"/>
      <c r="H897" s="53">
        <f t="shared" si="1"/>
        <v>0</v>
      </c>
      <c r="I897" s="110"/>
      <c r="J897" s="110"/>
      <c r="K897" s="60">
        <f t="shared" si="2"/>
        <v>0</v>
      </c>
      <c r="L897" s="117"/>
    </row>
    <row r="898" ht="15.75" customHeight="1">
      <c r="A898" s="186"/>
      <c r="B898" s="164"/>
      <c r="C898" s="110"/>
      <c r="D898" s="156"/>
      <c r="E898" s="111"/>
      <c r="F898" s="110"/>
      <c r="G898" s="110"/>
      <c r="H898" s="53">
        <f t="shared" si="1"/>
        <v>0</v>
      </c>
      <c r="I898" s="110"/>
      <c r="J898" s="110"/>
      <c r="K898" s="60">
        <f t="shared" si="2"/>
        <v>0</v>
      </c>
      <c r="L898" s="117"/>
    </row>
    <row r="899" ht="15.75" customHeight="1">
      <c r="A899" s="186"/>
      <c r="B899" s="164"/>
      <c r="C899" s="110"/>
      <c r="D899" s="156"/>
      <c r="E899" s="111"/>
      <c r="F899" s="110"/>
      <c r="G899" s="110"/>
      <c r="H899" s="53">
        <f t="shared" si="1"/>
        <v>0</v>
      </c>
      <c r="I899" s="110"/>
      <c r="J899" s="110"/>
      <c r="K899" s="60">
        <f t="shared" si="2"/>
        <v>0</v>
      </c>
      <c r="L899" s="117"/>
    </row>
    <row r="900" ht="15.75" customHeight="1">
      <c r="A900" s="186"/>
      <c r="B900" s="164"/>
      <c r="C900" s="110"/>
      <c r="D900" s="156"/>
      <c r="E900" s="111"/>
      <c r="F900" s="110"/>
      <c r="G900" s="110"/>
      <c r="H900" s="53">
        <f t="shared" si="1"/>
        <v>0</v>
      </c>
      <c r="I900" s="110"/>
      <c r="J900" s="110"/>
      <c r="K900" s="60">
        <f t="shared" si="2"/>
        <v>0</v>
      </c>
      <c r="L900" s="117"/>
    </row>
    <row r="901" ht="15.75" customHeight="1">
      <c r="A901" s="186"/>
      <c r="B901" s="164"/>
      <c r="C901" s="110"/>
      <c r="D901" s="156"/>
      <c r="E901" s="111"/>
      <c r="F901" s="110"/>
      <c r="G901" s="110"/>
      <c r="H901" s="53">
        <f t="shared" si="1"/>
        <v>0</v>
      </c>
      <c r="I901" s="110"/>
      <c r="J901" s="110"/>
      <c r="K901" s="60">
        <f t="shared" si="2"/>
        <v>0</v>
      </c>
      <c r="L901" s="117"/>
    </row>
    <row r="902" ht="15.75" customHeight="1">
      <c r="A902" s="186"/>
      <c r="B902" s="164"/>
      <c r="C902" s="110"/>
      <c r="D902" s="156"/>
      <c r="E902" s="111"/>
      <c r="F902" s="110"/>
      <c r="G902" s="110"/>
      <c r="H902" s="53">
        <f t="shared" si="1"/>
        <v>0</v>
      </c>
      <c r="I902" s="110"/>
      <c r="J902" s="110"/>
      <c r="K902" s="60">
        <f t="shared" si="2"/>
        <v>0</v>
      </c>
      <c r="L902" s="117"/>
    </row>
    <row r="903" ht="15.75" customHeight="1">
      <c r="A903" s="186"/>
      <c r="B903" s="164"/>
      <c r="C903" s="110"/>
      <c r="D903" s="156"/>
      <c r="E903" s="111"/>
      <c r="F903" s="110"/>
      <c r="G903" s="110"/>
      <c r="H903" s="53">
        <f t="shared" si="1"/>
        <v>0</v>
      </c>
      <c r="I903" s="110"/>
      <c r="J903" s="110"/>
      <c r="K903" s="60">
        <f t="shared" si="2"/>
        <v>0</v>
      </c>
      <c r="L903" s="117"/>
    </row>
  </sheetData>
  <autoFilter ref="$B$1:$L$903"/>
  <dataValidations>
    <dataValidation type="list" allowBlank="1" showErrorMessage="1" sqref="E342:E903">
      <formula1>"Tanga Maju,Cós Laser,Tanga Laser"</formula1>
    </dataValidation>
    <dataValidation type="list" allowBlank="1" showErrorMessage="1" sqref="I2:I903">
      <formula1>"Faturado,Aguardando Pagamento"</formula1>
    </dataValidation>
    <dataValidation type="list" allowBlank="1" showErrorMessage="1" sqref="L2:L903">
      <formula1>"Janeiro,Fevereiro,Março,Abril,Maio,Junho,Julho,Agosto,Setembro,Outubro,Novembro,Dezembro"</formula1>
    </dataValidation>
    <dataValidation type="list" allowBlank="1" showErrorMessage="1" sqref="J2:J903">
      <formula1>"2,50%,2,00%,1,50%,1,25%,1,00%,0,75%,0,50%"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17.5"/>
    <col customWidth="1" min="3" max="3" width="15.63"/>
    <col customWidth="1" min="4" max="4" width="23.75"/>
    <col customWidth="1" min="5" max="5" width="24.88"/>
    <col customWidth="1" min="6" max="6" width="16.13"/>
    <col customWidth="1" min="7" max="7" width="16.38"/>
    <col customWidth="1" min="8" max="8" width="15.38"/>
    <col customWidth="1" min="9" max="9" width="21.63"/>
    <col customWidth="1" min="10" max="10" width="19.63"/>
    <col customWidth="1" min="11" max="11" width="18.63"/>
    <col customWidth="1" min="12" max="12" width="19.13"/>
  </cols>
  <sheetData>
    <row r="1" ht="24.0" customHeight="1">
      <c r="A1" s="9"/>
      <c r="B1" s="14" t="s">
        <v>21</v>
      </c>
      <c r="C1" s="17" t="s">
        <v>22</v>
      </c>
      <c r="D1" s="17" t="s">
        <v>3</v>
      </c>
      <c r="E1" s="17" t="s">
        <v>8</v>
      </c>
      <c r="F1" s="17" t="s">
        <v>24</v>
      </c>
      <c r="G1" s="17" t="s">
        <v>7</v>
      </c>
      <c r="H1" s="17" t="s">
        <v>10</v>
      </c>
      <c r="I1" s="25" t="s">
        <v>25</v>
      </c>
      <c r="J1" s="25" t="s">
        <v>11</v>
      </c>
      <c r="K1" s="17" t="s">
        <v>16</v>
      </c>
      <c r="L1" s="29" t="s">
        <v>13</v>
      </c>
    </row>
    <row r="2" ht="15.75" customHeight="1">
      <c r="A2" s="9"/>
      <c r="B2" s="32">
        <v>45992.0</v>
      </c>
      <c r="C2" s="35">
        <v>88006.0</v>
      </c>
      <c r="D2" s="188" t="s">
        <v>96</v>
      </c>
      <c r="E2" s="35" t="s">
        <v>97</v>
      </c>
      <c r="F2" s="43">
        <v>2.8</v>
      </c>
      <c r="G2" s="44">
        <v>1390.0</v>
      </c>
      <c r="H2" s="53">
        <f t="shared" ref="H2:H902" si="1">F2*G2</f>
        <v>3892</v>
      </c>
      <c r="I2" s="56" t="s">
        <v>36</v>
      </c>
      <c r="J2" s="57">
        <v>0.02</v>
      </c>
      <c r="K2" s="60">
        <f t="shared" ref="K2:K902" si="2">H2*J2</f>
        <v>77.84</v>
      </c>
      <c r="L2" s="64" t="s">
        <v>26</v>
      </c>
    </row>
    <row r="3" ht="15.75" customHeight="1">
      <c r="A3" s="9"/>
      <c r="B3" s="67">
        <v>45997.0</v>
      </c>
      <c r="C3" s="39">
        <v>88319.0</v>
      </c>
      <c r="D3" s="188" t="s">
        <v>96</v>
      </c>
      <c r="E3" s="35" t="s">
        <v>97</v>
      </c>
      <c r="F3" s="43">
        <v>2.8</v>
      </c>
      <c r="G3" s="44">
        <v>1055.0</v>
      </c>
      <c r="H3" s="53">
        <f t="shared" si="1"/>
        <v>2954</v>
      </c>
      <c r="I3" s="56" t="s">
        <v>36</v>
      </c>
      <c r="J3" s="57">
        <v>0.02</v>
      </c>
      <c r="K3" s="60">
        <f t="shared" si="2"/>
        <v>59.08</v>
      </c>
      <c r="L3" s="64" t="s">
        <v>26</v>
      </c>
    </row>
    <row r="4" ht="15.75" customHeight="1">
      <c r="A4" s="9"/>
      <c r="B4" s="67">
        <v>46008.0</v>
      </c>
      <c r="C4" s="39">
        <v>89156.0</v>
      </c>
      <c r="D4" s="188" t="s">
        <v>96</v>
      </c>
      <c r="E4" s="35" t="s">
        <v>97</v>
      </c>
      <c r="F4" s="43">
        <v>2.8</v>
      </c>
      <c r="G4" s="44">
        <v>1565.0</v>
      </c>
      <c r="H4" s="53">
        <f t="shared" si="1"/>
        <v>4382</v>
      </c>
      <c r="I4" s="56" t="s">
        <v>36</v>
      </c>
      <c r="J4" s="57">
        <v>0.02</v>
      </c>
      <c r="K4" s="60">
        <f t="shared" si="2"/>
        <v>87.64</v>
      </c>
      <c r="L4" s="64" t="s">
        <v>26</v>
      </c>
    </row>
    <row r="5" ht="15.75" customHeight="1">
      <c r="A5" s="9"/>
      <c r="B5" s="67">
        <v>46028.0</v>
      </c>
      <c r="C5" s="39">
        <v>90003.0</v>
      </c>
      <c r="D5" s="188" t="s">
        <v>96</v>
      </c>
      <c r="E5" s="35" t="s">
        <v>97</v>
      </c>
      <c r="F5" s="43">
        <v>2.8</v>
      </c>
      <c r="G5" s="44">
        <v>1065.0</v>
      </c>
      <c r="H5" s="53">
        <f t="shared" si="1"/>
        <v>2982</v>
      </c>
      <c r="I5" s="56" t="s">
        <v>36</v>
      </c>
      <c r="J5" s="57">
        <v>0.02</v>
      </c>
      <c r="K5" s="60">
        <f t="shared" si="2"/>
        <v>59.64</v>
      </c>
      <c r="L5" s="64" t="s">
        <v>46</v>
      </c>
    </row>
    <row r="6" ht="15.75" customHeight="1">
      <c r="A6" s="9"/>
      <c r="B6" s="67">
        <v>46031.0</v>
      </c>
      <c r="C6" s="39">
        <v>90265.0</v>
      </c>
      <c r="D6" s="188" t="s">
        <v>96</v>
      </c>
      <c r="E6" s="35" t="s">
        <v>97</v>
      </c>
      <c r="F6" s="43">
        <v>2.8</v>
      </c>
      <c r="G6" s="44">
        <v>490.0</v>
      </c>
      <c r="H6" s="53">
        <f t="shared" si="1"/>
        <v>1372</v>
      </c>
      <c r="I6" s="56" t="s">
        <v>36</v>
      </c>
      <c r="J6" s="57">
        <v>0.02</v>
      </c>
      <c r="K6" s="60">
        <f t="shared" si="2"/>
        <v>27.44</v>
      </c>
      <c r="L6" s="64" t="s">
        <v>46</v>
      </c>
    </row>
    <row r="7" ht="15.75" customHeight="1">
      <c r="A7" s="9"/>
      <c r="B7" s="67">
        <v>46035.0</v>
      </c>
      <c r="C7" s="39">
        <v>90731.0</v>
      </c>
      <c r="D7" s="188" t="s">
        <v>96</v>
      </c>
      <c r="E7" s="35" t="s">
        <v>97</v>
      </c>
      <c r="F7" s="43">
        <v>2.8</v>
      </c>
      <c r="G7" s="44">
        <v>1450.0</v>
      </c>
      <c r="H7" s="53">
        <f t="shared" si="1"/>
        <v>4060</v>
      </c>
      <c r="I7" s="56" t="s">
        <v>36</v>
      </c>
      <c r="J7" s="57">
        <v>0.02</v>
      </c>
      <c r="K7" s="60">
        <f t="shared" si="2"/>
        <v>81.2</v>
      </c>
      <c r="L7" s="64" t="s">
        <v>46</v>
      </c>
    </row>
    <row r="8" ht="15.75" customHeight="1">
      <c r="A8" s="9"/>
      <c r="B8" s="67">
        <v>45671.0</v>
      </c>
      <c r="C8" s="39">
        <v>90899.0</v>
      </c>
      <c r="D8" s="188" t="s">
        <v>96</v>
      </c>
      <c r="E8" s="35" t="s">
        <v>97</v>
      </c>
      <c r="F8" s="43">
        <v>2.8</v>
      </c>
      <c r="G8" s="44">
        <v>1150.0</v>
      </c>
      <c r="H8" s="53">
        <f t="shared" si="1"/>
        <v>3220</v>
      </c>
      <c r="I8" s="56" t="s">
        <v>36</v>
      </c>
      <c r="J8" s="57">
        <v>0.02</v>
      </c>
      <c r="K8" s="60">
        <f t="shared" si="2"/>
        <v>64.4</v>
      </c>
      <c r="L8" s="64" t="s">
        <v>46</v>
      </c>
    </row>
    <row r="9" ht="15.75" customHeight="1">
      <c r="A9" s="9"/>
      <c r="B9" s="67">
        <v>46048.0</v>
      </c>
      <c r="C9" s="39">
        <v>92161.0</v>
      </c>
      <c r="D9" s="188" t="s">
        <v>96</v>
      </c>
      <c r="E9" s="35" t="s">
        <v>97</v>
      </c>
      <c r="F9" s="43">
        <v>2.8</v>
      </c>
      <c r="G9" s="44">
        <v>2735.0</v>
      </c>
      <c r="H9" s="53">
        <f t="shared" si="1"/>
        <v>7658</v>
      </c>
      <c r="I9" s="56" t="s">
        <v>36</v>
      </c>
      <c r="J9" s="57">
        <v>0.02</v>
      </c>
      <c r="K9" s="60">
        <f t="shared" si="2"/>
        <v>153.16</v>
      </c>
      <c r="L9" s="64" t="s">
        <v>46</v>
      </c>
    </row>
    <row r="10" ht="15.75" customHeight="1">
      <c r="A10" s="9"/>
      <c r="B10" s="67">
        <v>46050.0</v>
      </c>
      <c r="C10" s="39">
        <v>92443.0</v>
      </c>
      <c r="D10" s="188" t="s">
        <v>96</v>
      </c>
      <c r="E10" s="35" t="s">
        <v>97</v>
      </c>
      <c r="F10" s="43">
        <v>2.8</v>
      </c>
      <c r="G10" s="44">
        <v>960.0</v>
      </c>
      <c r="H10" s="53">
        <f t="shared" si="1"/>
        <v>2688</v>
      </c>
      <c r="I10" s="56" t="s">
        <v>36</v>
      </c>
      <c r="J10" s="57">
        <v>0.02</v>
      </c>
      <c r="K10" s="60">
        <f t="shared" si="2"/>
        <v>53.76</v>
      </c>
      <c r="L10" s="64" t="s">
        <v>46</v>
      </c>
    </row>
    <row r="11" ht="15.75" customHeight="1">
      <c r="A11" s="9"/>
      <c r="B11" s="67">
        <v>46064.0</v>
      </c>
      <c r="C11" s="39">
        <v>93942.0</v>
      </c>
      <c r="D11" s="188" t="s">
        <v>96</v>
      </c>
      <c r="E11" s="35" t="s">
        <v>97</v>
      </c>
      <c r="F11" s="43">
        <v>2.8</v>
      </c>
      <c r="G11" s="44">
        <v>1900.0</v>
      </c>
      <c r="H11" s="53">
        <f t="shared" si="1"/>
        <v>5320</v>
      </c>
      <c r="I11" s="56" t="s">
        <v>36</v>
      </c>
      <c r="J11" s="57">
        <v>0.02</v>
      </c>
      <c r="K11" s="60">
        <f t="shared" si="2"/>
        <v>106.4</v>
      </c>
      <c r="L11" s="64" t="s">
        <v>42</v>
      </c>
    </row>
    <row r="12" ht="15.75" customHeight="1">
      <c r="A12" s="9"/>
      <c r="B12" s="105">
        <v>46070.0</v>
      </c>
      <c r="C12" s="56">
        <v>94151.0</v>
      </c>
      <c r="D12" s="188" t="s">
        <v>96</v>
      </c>
      <c r="E12" s="35" t="s">
        <v>97</v>
      </c>
      <c r="F12" s="43">
        <v>2.8</v>
      </c>
      <c r="G12" s="106">
        <v>915.0</v>
      </c>
      <c r="H12" s="53">
        <f t="shared" si="1"/>
        <v>2562</v>
      </c>
      <c r="I12" s="56" t="s">
        <v>36</v>
      </c>
      <c r="J12" s="57">
        <v>0.02</v>
      </c>
      <c r="K12" s="60">
        <f t="shared" si="2"/>
        <v>51.24</v>
      </c>
      <c r="L12" s="64" t="s">
        <v>42</v>
      </c>
    </row>
    <row r="13" ht="15.75" customHeight="1">
      <c r="A13" s="9"/>
      <c r="B13" s="105">
        <v>46079.0</v>
      </c>
      <c r="C13" s="56">
        <v>94939.0</v>
      </c>
      <c r="D13" s="188" t="s">
        <v>96</v>
      </c>
      <c r="E13" s="35" t="s">
        <v>97</v>
      </c>
      <c r="F13" s="108">
        <v>2.8</v>
      </c>
      <c r="G13" s="106">
        <v>6005.0</v>
      </c>
      <c r="H13" s="53">
        <f t="shared" si="1"/>
        <v>16814</v>
      </c>
      <c r="I13" s="56" t="s">
        <v>36</v>
      </c>
      <c r="J13" s="57">
        <v>0.02</v>
      </c>
      <c r="K13" s="60">
        <f t="shared" si="2"/>
        <v>336.28</v>
      </c>
      <c r="L13" s="64" t="s">
        <v>42</v>
      </c>
    </row>
    <row r="14" ht="15.75" customHeight="1">
      <c r="A14" s="9"/>
      <c r="B14" s="105">
        <v>46080.0</v>
      </c>
      <c r="C14" s="56">
        <v>95034.0</v>
      </c>
      <c r="D14" s="188" t="s">
        <v>96</v>
      </c>
      <c r="E14" s="35" t="s">
        <v>97</v>
      </c>
      <c r="F14" s="108">
        <v>2.8</v>
      </c>
      <c r="G14" s="106">
        <v>1650.0</v>
      </c>
      <c r="H14" s="53">
        <f t="shared" si="1"/>
        <v>4620</v>
      </c>
      <c r="I14" s="56" t="s">
        <v>36</v>
      </c>
      <c r="J14" s="57">
        <v>0.02</v>
      </c>
      <c r="K14" s="60">
        <f t="shared" si="2"/>
        <v>92.4</v>
      </c>
      <c r="L14" s="64" t="s">
        <v>42</v>
      </c>
    </row>
    <row r="15" ht="15.75" customHeight="1">
      <c r="A15" s="9"/>
      <c r="B15" s="109"/>
      <c r="C15" s="110"/>
      <c r="D15" s="156"/>
      <c r="E15" s="111"/>
      <c r="F15" s="112"/>
      <c r="G15" s="113"/>
      <c r="H15" s="53">
        <f t="shared" si="1"/>
        <v>0</v>
      </c>
      <c r="I15" s="115"/>
      <c r="J15" s="115"/>
      <c r="K15" s="60">
        <f t="shared" si="2"/>
        <v>0</v>
      </c>
      <c r="L15" s="117"/>
    </row>
    <row r="16" ht="15.75" customHeight="1">
      <c r="A16" s="9"/>
      <c r="B16" s="109"/>
      <c r="C16" s="110"/>
      <c r="D16" s="156"/>
      <c r="E16" s="111"/>
      <c r="F16" s="112"/>
      <c r="G16" s="113"/>
      <c r="H16" s="53">
        <f t="shared" si="1"/>
        <v>0</v>
      </c>
      <c r="I16" s="115"/>
      <c r="J16" s="115"/>
      <c r="K16" s="60">
        <f t="shared" si="2"/>
        <v>0</v>
      </c>
      <c r="L16" s="117"/>
    </row>
    <row r="17" ht="15.75" customHeight="1">
      <c r="A17" s="9"/>
      <c r="B17" s="109"/>
      <c r="C17" s="110"/>
      <c r="D17" s="156"/>
      <c r="E17" s="111"/>
      <c r="F17" s="112"/>
      <c r="G17" s="113"/>
      <c r="H17" s="53">
        <f t="shared" si="1"/>
        <v>0</v>
      </c>
      <c r="I17" s="115"/>
      <c r="J17" s="115"/>
      <c r="K17" s="60">
        <f t="shared" si="2"/>
        <v>0</v>
      </c>
      <c r="L17" s="117"/>
    </row>
    <row r="18" ht="15.75" customHeight="1">
      <c r="A18" s="9"/>
      <c r="B18" s="109"/>
      <c r="C18" s="110"/>
      <c r="D18" s="156"/>
      <c r="E18" s="111"/>
      <c r="F18" s="112"/>
      <c r="G18" s="113"/>
      <c r="H18" s="53">
        <f t="shared" si="1"/>
        <v>0</v>
      </c>
      <c r="I18" s="115"/>
      <c r="J18" s="115"/>
      <c r="K18" s="60">
        <f t="shared" si="2"/>
        <v>0</v>
      </c>
      <c r="L18" s="117"/>
    </row>
    <row r="19" ht="15.75" customHeight="1">
      <c r="A19" s="9"/>
      <c r="B19" s="109"/>
      <c r="C19" s="110"/>
      <c r="D19" s="156"/>
      <c r="E19" s="111"/>
      <c r="F19" s="112"/>
      <c r="G19" s="113"/>
      <c r="H19" s="53">
        <f t="shared" si="1"/>
        <v>0</v>
      </c>
      <c r="I19" s="115"/>
      <c r="J19" s="115"/>
      <c r="K19" s="60">
        <f t="shared" si="2"/>
        <v>0</v>
      </c>
      <c r="L19" s="117"/>
    </row>
    <row r="20" ht="15.75" customHeight="1">
      <c r="A20" s="9"/>
      <c r="B20" s="109"/>
      <c r="C20" s="110"/>
      <c r="D20" s="156"/>
      <c r="E20" s="111"/>
      <c r="F20" s="112"/>
      <c r="G20" s="113"/>
      <c r="H20" s="53">
        <f t="shared" si="1"/>
        <v>0</v>
      </c>
      <c r="I20" s="115"/>
      <c r="J20" s="115"/>
      <c r="K20" s="60">
        <f t="shared" si="2"/>
        <v>0</v>
      </c>
      <c r="L20" s="117"/>
    </row>
    <row r="21" ht="15.75" customHeight="1">
      <c r="A21" s="9"/>
      <c r="B21" s="109"/>
      <c r="C21" s="110"/>
      <c r="D21" s="156"/>
      <c r="E21" s="111"/>
      <c r="F21" s="112"/>
      <c r="G21" s="113"/>
      <c r="H21" s="53">
        <f t="shared" si="1"/>
        <v>0</v>
      </c>
      <c r="I21" s="115"/>
      <c r="J21" s="115"/>
      <c r="K21" s="60">
        <f t="shared" si="2"/>
        <v>0</v>
      </c>
      <c r="L21" s="117"/>
    </row>
    <row r="22" ht="15.75" customHeight="1">
      <c r="A22" s="9"/>
      <c r="B22" s="130"/>
      <c r="C22" s="111"/>
      <c r="D22" s="131"/>
      <c r="E22" s="111"/>
      <c r="F22" s="53"/>
      <c r="G22" s="134"/>
      <c r="H22" s="53">
        <f t="shared" si="1"/>
        <v>0</v>
      </c>
      <c r="I22" s="115"/>
      <c r="J22" s="136"/>
      <c r="K22" s="60">
        <f t="shared" si="2"/>
        <v>0</v>
      </c>
      <c r="L22" s="117"/>
    </row>
    <row r="23" ht="15.75" customHeight="1">
      <c r="A23" s="9"/>
      <c r="B23" s="130"/>
      <c r="C23" s="111"/>
      <c r="D23" s="131"/>
      <c r="E23" s="111"/>
      <c r="F23" s="53"/>
      <c r="G23" s="134"/>
      <c r="H23" s="53">
        <f t="shared" si="1"/>
        <v>0</v>
      </c>
      <c r="I23" s="115"/>
      <c r="J23" s="136"/>
      <c r="K23" s="60">
        <f t="shared" si="2"/>
        <v>0</v>
      </c>
      <c r="L23" s="117"/>
    </row>
    <row r="24" ht="15.75" customHeight="1">
      <c r="A24" s="9"/>
      <c r="B24" s="130"/>
      <c r="C24" s="111"/>
      <c r="D24" s="131"/>
      <c r="E24" s="111"/>
      <c r="F24" s="53"/>
      <c r="G24" s="134"/>
      <c r="H24" s="53">
        <f t="shared" si="1"/>
        <v>0</v>
      </c>
      <c r="I24" s="115"/>
      <c r="J24" s="136"/>
      <c r="K24" s="60">
        <f t="shared" si="2"/>
        <v>0</v>
      </c>
      <c r="L24" s="117"/>
    </row>
    <row r="25" ht="15.75" customHeight="1">
      <c r="A25" s="9"/>
      <c r="B25" s="138"/>
      <c r="C25" s="111"/>
      <c r="D25" s="131"/>
      <c r="E25" s="111"/>
      <c r="F25" s="53"/>
      <c r="G25" s="134"/>
      <c r="H25" s="53">
        <f t="shared" si="1"/>
        <v>0</v>
      </c>
      <c r="I25" s="115"/>
      <c r="J25" s="136"/>
      <c r="K25" s="60">
        <f t="shared" si="2"/>
        <v>0</v>
      </c>
      <c r="L25" s="117"/>
    </row>
    <row r="26" ht="15.75" customHeight="1">
      <c r="A26" s="9"/>
      <c r="B26" s="130"/>
      <c r="C26" s="111"/>
      <c r="D26" s="131"/>
      <c r="E26" s="111"/>
      <c r="F26" s="53"/>
      <c r="G26" s="134"/>
      <c r="H26" s="53">
        <f t="shared" si="1"/>
        <v>0</v>
      </c>
      <c r="I26" s="115"/>
      <c r="J26" s="136"/>
      <c r="K26" s="60">
        <f t="shared" si="2"/>
        <v>0</v>
      </c>
      <c r="L26" s="117"/>
    </row>
    <row r="27" ht="15.75" customHeight="1">
      <c r="A27" s="9"/>
      <c r="B27" s="130"/>
      <c r="C27" s="111"/>
      <c r="D27" s="131"/>
      <c r="E27" s="111"/>
      <c r="F27" s="53"/>
      <c r="G27" s="134"/>
      <c r="H27" s="53">
        <f t="shared" si="1"/>
        <v>0</v>
      </c>
      <c r="I27" s="115"/>
      <c r="J27" s="136"/>
      <c r="K27" s="60">
        <f t="shared" si="2"/>
        <v>0</v>
      </c>
      <c r="L27" s="117"/>
    </row>
    <row r="28" ht="15.75" customHeight="1">
      <c r="A28" s="9"/>
      <c r="B28" s="130"/>
      <c r="C28" s="111"/>
      <c r="D28" s="131"/>
      <c r="E28" s="111"/>
      <c r="F28" s="53"/>
      <c r="G28" s="134"/>
      <c r="H28" s="53">
        <f t="shared" si="1"/>
        <v>0</v>
      </c>
      <c r="I28" s="115"/>
      <c r="J28" s="136"/>
      <c r="K28" s="60">
        <f t="shared" si="2"/>
        <v>0</v>
      </c>
      <c r="L28" s="117"/>
    </row>
    <row r="29" ht="15.75" customHeight="1">
      <c r="A29" s="9"/>
      <c r="B29" s="130"/>
      <c r="C29" s="111"/>
      <c r="D29" s="131"/>
      <c r="E29" s="111"/>
      <c r="F29" s="53"/>
      <c r="G29" s="134"/>
      <c r="H29" s="53">
        <f t="shared" si="1"/>
        <v>0</v>
      </c>
      <c r="I29" s="115"/>
      <c r="J29" s="136"/>
      <c r="K29" s="60">
        <f t="shared" si="2"/>
        <v>0</v>
      </c>
      <c r="L29" s="117"/>
    </row>
    <row r="30" ht="15.75" customHeight="1">
      <c r="A30" s="9"/>
      <c r="B30" s="130"/>
      <c r="C30" s="111"/>
      <c r="D30" s="131"/>
      <c r="E30" s="111"/>
      <c r="F30" s="53"/>
      <c r="G30" s="134"/>
      <c r="H30" s="53">
        <f t="shared" si="1"/>
        <v>0</v>
      </c>
      <c r="I30" s="115"/>
      <c r="J30" s="136"/>
      <c r="K30" s="60">
        <f t="shared" si="2"/>
        <v>0</v>
      </c>
      <c r="L30" s="117"/>
    </row>
    <row r="31" ht="15.75" customHeight="1">
      <c r="A31" s="9"/>
      <c r="B31" s="130"/>
      <c r="C31" s="111"/>
      <c r="D31" s="131"/>
      <c r="E31" s="111"/>
      <c r="F31" s="53"/>
      <c r="G31" s="134"/>
      <c r="H31" s="53">
        <f t="shared" si="1"/>
        <v>0</v>
      </c>
      <c r="I31" s="115"/>
      <c r="J31" s="136"/>
      <c r="K31" s="60">
        <f t="shared" si="2"/>
        <v>0</v>
      </c>
      <c r="L31" s="117"/>
    </row>
    <row r="32" ht="15.75" customHeight="1">
      <c r="A32" s="9"/>
      <c r="B32" s="130"/>
      <c r="C32" s="111"/>
      <c r="D32" s="131"/>
      <c r="E32" s="111"/>
      <c r="F32" s="53"/>
      <c r="G32" s="134"/>
      <c r="H32" s="53">
        <f t="shared" si="1"/>
        <v>0</v>
      </c>
      <c r="I32" s="115"/>
      <c r="J32" s="136"/>
      <c r="K32" s="60">
        <f t="shared" si="2"/>
        <v>0</v>
      </c>
      <c r="L32" s="117"/>
    </row>
    <row r="33" ht="15.75" customHeight="1">
      <c r="A33" s="9"/>
      <c r="B33" s="130"/>
      <c r="C33" s="111"/>
      <c r="D33" s="131"/>
      <c r="E33" s="111"/>
      <c r="F33" s="53"/>
      <c r="G33" s="134"/>
      <c r="H33" s="53">
        <f t="shared" si="1"/>
        <v>0</v>
      </c>
      <c r="I33" s="115"/>
      <c r="J33" s="136"/>
      <c r="K33" s="60">
        <f t="shared" si="2"/>
        <v>0</v>
      </c>
      <c r="L33" s="117"/>
    </row>
    <row r="34" ht="15.75" customHeight="1">
      <c r="A34" s="9"/>
      <c r="B34" s="130"/>
      <c r="C34" s="111"/>
      <c r="D34" s="131"/>
      <c r="E34" s="111"/>
      <c r="F34" s="53"/>
      <c r="G34" s="134"/>
      <c r="H34" s="53">
        <f t="shared" si="1"/>
        <v>0</v>
      </c>
      <c r="I34" s="115"/>
      <c r="J34" s="136"/>
      <c r="K34" s="60">
        <f t="shared" si="2"/>
        <v>0</v>
      </c>
      <c r="L34" s="117"/>
    </row>
    <row r="35" ht="15.75" customHeight="1">
      <c r="A35" s="9"/>
      <c r="B35" s="130"/>
      <c r="C35" s="111"/>
      <c r="D35" s="131"/>
      <c r="E35" s="111"/>
      <c r="F35" s="53"/>
      <c r="G35" s="134"/>
      <c r="H35" s="53">
        <f t="shared" si="1"/>
        <v>0</v>
      </c>
      <c r="I35" s="115"/>
      <c r="J35" s="136"/>
      <c r="K35" s="60">
        <f t="shared" si="2"/>
        <v>0</v>
      </c>
      <c r="L35" s="117"/>
    </row>
    <row r="36" ht="15.75" customHeight="1">
      <c r="A36" s="9"/>
      <c r="B36" s="155"/>
      <c r="C36" s="111"/>
      <c r="D36" s="131"/>
      <c r="E36" s="111"/>
      <c r="F36" s="53"/>
      <c r="G36" s="134"/>
      <c r="H36" s="53">
        <f t="shared" si="1"/>
        <v>0</v>
      </c>
      <c r="I36" s="115"/>
      <c r="J36" s="136"/>
      <c r="K36" s="60">
        <f t="shared" si="2"/>
        <v>0</v>
      </c>
      <c r="L36" s="117"/>
    </row>
    <row r="37" ht="15.75" customHeight="1">
      <c r="A37" s="9" t="s">
        <v>37</v>
      </c>
      <c r="B37" s="109"/>
      <c r="C37" s="110"/>
      <c r="D37" s="156"/>
      <c r="E37" s="111"/>
      <c r="F37" s="112"/>
      <c r="G37" s="113"/>
      <c r="H37" s="53">
        <f t="shared" si="1"/>
        <v>0</v>
      </c>
      <c r="I37" s="115"/>
      <c r="J37" s="115"/>
      <c r="K37" s="60">
        <f t="shared" si="2"/>
        <v>0</v>
      </c>
      <c r="L37" s="117"/>
    </row>
    <row r="38" ht="15.75" customHeight="1">
      <c r="A38" s="9"/>
      <c r="B38" s="109"/>
      <c r="C38" s="110"/>
      <c r="D38" s="156"/>
      <c r="E38" s="111"/>
      <c r="F38" s="112"/>
      <c r="G38" s="113"/>
      <c r="H38" s="53">
        <f t="shared" si="1"/>
        <v>0</v>
      </c>
      <c r="I38" s="115"/>
      <c r="J38" s="115"/>
      <c r="K38" s="60">
        <f t="shared" si="2"/>
        <v>0</v>
      </c>
      <c r="L38" s="117"/>
    </row>
    <row r="39" ht="15.75" customHeight="1">
      <c r="A39" s="9"/>
      <c r="B39" s="109"/>
      <c r="C39" s="110"/>
      <c r="D39" s="156"/>
      <c r="E39" s="111"/>
      <c r="F39" s="112"/>
      <c r="G39" s="113"/>
      <c r="H39" s="53">
        <f t="shared" si="1"/>
        <v>0</v>
      </c>
      <c r="I39" s="115"/>
      <c r="J39" s="115"/>
      <c r="K39" s="60">
        <f t="shared" si="2"/>
        <v>0</v>
      </c>
      <c r="L39" s="117"/>
    </row>
    <row r="40" ht="15.75" customHeight="1">
      <c r="A40" s="9">
        <v>2025.0</v>
      </c>
      <c r="B40" s="109"/>
      <c r="C40" s="110"/>
      <c r="D40" s="156"/>
      <c r="E40" s="111"/>
      <c r="F40" s="112"/>
      <c r="G40" s="113"/>
      <c r="H40" s="53">
        <f t="shared" si="1"/>
        <v>0</v>
      </c>
      <c r="I40" s="115"/>
      <c r="J40" s="115"/>
      <c r="K40" s="60">
        <f t="shared" si="2"/>
        <v>0</v>
      </c>
      <c r="L40" s="117"/>
    </row>
    <row r="41" ht="15.75" customHeight="1">
      <c r="A41" s="9"/>
      <c r="B41" s="109"/>
      <c r="C41" s="110"/>
      <c r="D41" s="156"/>
      <c r="E41" s="111"/>
      <c r="F41" s="112"/>
      <c r="G41" s="113"/>
      <c r="H41" s="53">
        <f t="shared" si="1"/>
        <v>0</v>
      </c>
      <c r="I41" s="115"/>
      <c r="J41" s="115"/>
      <c r="K41" s="60">
        <f t="shared" si="2"/>
        <v>0</v>
      </c>
      <c r="L41" s="117"/>
    </row>
    <row r="42" ht="15.75" customHeight="1">
      <c r="A42" s="9"/>
      <c r="B42" s="163"/>
      <c r="C42" s="110"/>
      <c r="D42" s="156"/>
      <c r="E42" s="111"/>
      <c r="F42" s="112"/>
      <c r="G42" s="113"/>
      <c r="H42" s="53">
        <f t="shared" si="1"/>
        <v>0</v>
      </c>
      <c r="I42" s="115"/>
      <c r="J42" s="115"/>
      <c r="K42" s="60">
        <f t="shared" si="2"/>
        <v>0</v>
      </c>
      <c r="L42" s="117"/>
    </row>
    <row r="43" ht="15.75" customHeight="1">
      <c r="A43" s="9"/>
      <c r="B43" s="164"/>
      <c r="C43" s="110"/>
      <c r="D43" s="156"/>
      <c r="E43" s="111"/>
      <c r="F43" s="112"/>
      <c r="G43" s="113"/>
      <c r="H43" s="53">
        <f t="shared" si="1"/>
        <v>0</v>
      </c>
      <c r="I43" s="115"/>
      <c r="J43" s="115"/>
      <c r="K43" s="60">
        <f t="shared" si="2"/>
        <v>0</v>
      </c>
      <c r="L43" s="117"/>
    </row>
    <row r="44" ht="15.75" customHeight="1">
      <c r="A44" s="9"/>
      <c r="B44" s="164"/>
      <c r="C44" s="110"/>
      <c r="D44" s="156"/>
      <c r="E44" s="111"/>
      <c r="F44" s="112"/>
      <c r="G44" s="113"/>
      <c r="H44" s="53">
        <f t="shared" si="1"/>
        <v>0</v>
      </c>
      <c r="I44" s="115"/>
      <c r="J44" s="115"/>
      <c r="K44" s="60">
        <f t="shared" si="2"/>
        <v>0</v>
      </c>
      <c r="L44" s="117"/>
    </row>
    <row r="45" ht="15.75" customHeight="1">
      <c r="A45" s="9"/>
      <c r="B45" s="164"/>
      <c r="C45" s="110"/>
      <c r="D45" s="156"/>
      <c r="E45" s="111"/>
      <c r="F45" s="112"/>
      <c r="G45" s="113"/>
      <c r="H45" s="53">
        <f t="shared" si="1"/>
        <v>0</v>
      </c>
      <c r="I45" s="115"/>
      <c r="J45" s="115"/>
      <c r="K45" s="60">
        <f t="shared" si="2"/>
        <v>0</v>
      </c>
      <c r="L45" s="117"/>
    </row>
    <row r="46" ht="15.75" customHeight="1">
      <c r="A46" s="9"/>
      <c r="B46" s="164"/>
      <c r="C46" s="110"/>
      <c r="D46" s="156"/>
      <c r="E46" s="111"/>
      <c r="F46" s="112"/>
      <c r="G46" s="113"/>
      <c r="H46" s="53">
        <f t="shared" si="1"/>
        <v>0</v>
      </c>
      <c r="I46" s="115"/>
      <c r="J46" s="115"/>
      <c r="K46" s="60">
        <f t="shared" si="2"/>
        <v>0</v>
      </c>
      <c r="L46" s="117"/>
    </row>
    <row r="47" ht="15.75" customHeight="1">
      <c r="A47" s="9"/>
      <c r="B47" s="164"/>
      <c r="C47" s="110"/>
      <c r="D47" s="156"/>
      <c r="E47" s="111"/>
      <c r="F47" s="112"/>
      <c r="G47" s="113"/>
      <c r="H47" s="53">
        <f t="shared" si="1"/>
        <v>0</v>
      </c>
      <c r="I47" s="115"/>
      <c r="J47" s="115"/>
      <c r="K47" s="60">
        <f t="shared" si="2"/>
        <v>0</v>
      </c>
      <c r="L47" s="117"/>
    </row>
    <row r="48" ht="15.75" customHeight="1">
      <c r="A48" s="9"/>
      <c r="B48" s="164"/>
      <c r="C48" s="110"/>
      <c r="D48" s="156"/>
      <c r="E48" s="111"/>
      <c r="F48" s="112"/>
      <c r="G48" s="113"/>
      <c r="H48" s="53">
        <f t="shared" si="1"/>
        <v>0</v>
      </c>
      <c r="I48" s="115"/>
      <c r="J48" s="115"/>
      <c r="K48" s="60">
        <f t="shared" si="2"/>
        <v>0</v>
      </c>
      <c r="L48" s="117"/>
    </row>
    <row r="49" ht="15.75" customHeight="1">
      <c r="A49" s="9"/>
      <c r="B49" s="164"/>
      <c r="C49" s="110"/>
      <c r="D49" s="156"/>
      <c r="E49" s="111"/>
      <c r="F49" s="112"/>
      <c r="G49" s="113"/>
      <c r="H49" s="53">
        <f t="shared" si="1"/>
        <v>0</v>
      </c>
      <c r="I49" s="115"/>
      <c r="J49" s="115"/>
      <c r="K49" s="60">
        <f t="shared" si="2"/>
        <v>0</v>
      </c>
      <c r="L49" s="117"/>
    </row>
    <row r="50" ht="15.75" customHeight="1">
      <c r="A50" s="9"/>
      <c r="B50" s="164"/>
      <c r="C50" s="110"/>
      <c r="D50" s="156"/>
      <c r="E50" s="111"/>
      <c r="F50" s="112"/>
      <c r="G50" s="113"/>
      <c r="H50" s="53">
        <f t="shared" si="1"/>
        <v>0</v>
      </c>
      <c r="I50" s="115"/>
      <c r="J50" s="115"/>
      <c r="K50" s="60">
        <f t="shared" si="2"/>
        <v>0</v>
      </c>
      <c r="L50" s="117"/>
    </row>
    <row r="51" ht="15.75" customHeight="1">
      <c r="A51" s="9"/>
      <c r="B51" s="164"/>
      <c r="C51" s="110"/>
      <c r="D51" s="156"/>
      <c r="E51" s="111"/>
      <c r="F51" s="112"/>
      <c r="G51" s="113"/>
      <c r="H51" s="53">
        <f t="shared" si="1"/>
        <v>0</v>
      </c>
      <c r="I51" s="115"/>
      <c r="J51" s="115"/>
      <c r="K51" s="60">
        <f t="shared" si="2"/>
        <v>0</v>
      </c>
      <c r="L51" s="117"/>
    </row>
    <row r="52" ht="15.75" customHeight="1">
      <c r="A52" s="9"/>
      <c r="B52" s="164"/>
      <c r="C52" s="110"/>
      <c r="D52" s="156"/>
      <c r="E52" s="111"/>
      <c r="F52" s="112"/>
      <c r="G52" s="113"/>
      <c r="H52" s="53">
        <f t="shared" si="1"/>
        <v>0</v>
      </c>
      <c r="I52" s="115"/>
      <c r="J52" s="115"/>
      <c r="K52" s="60">
        <f t="shared" si="2"/>
        <v>0</v>
      </c>
      <c r="L52" s="117"/>
    </row>
    <row r="53" ht="15.75" customHeight="1">
      <c r="A53" s="9"/>
      <c r="B53" s="164"/>
      <c r="C53" s="110"/>
      <c r="D53" s="156"/>
      <c r="E53" s="111"/>
      <c r="F53" s="112"/>
      <c r="G53" s="113"/>
      <c r="H53" s="53">
        <f t="shared" si="1"/>
        <v>0</v>
      </c>
      <c r="I53" s="115"/>
      <c r="J53" s="115"/>
      <c r="K53" s="60">
        <f t="shared" si="2"/>
        <v>0</v>
      </c>
      <c r="L53" s="117"/>
    </row>
    <row r="54" ht="15.75" customHeight="1">
      <c r="A54" s="9"/>
      <c r="B54" s="164"/>
      <c r="C54" s="110"/>
      <c r="D54" s="156"/>
      <c r="E54" s="111"/>
      <c r="F54" s="112"/>
      <c r="G54" s="113"/>
      <c r="H54" s="53">
        <f t="shared" si="1"/>
        <v>0</v>
      </c>
      <c r="I54" s="115"/>
      <c r="J54" s="115"/>
      <c r="K54" s="60">
        <f t="shared" si="2"/>
        <v>0</v>
      </c>
      <c r="L54" s="117"/>
    </row>
    <row r="55" ht="15.75" customHeight="1">
      <c r="A55" s="9"/>
      <c r="B55" s="164"/>
      <c r="C55" s="110"/>
      <c r="D55" s="156"/>
      <c r="E55" s="111"/>
      <c r="F55" s="112"/>
      <c r="G55" s="113"/>
      <c r="H55" s="53">
        <f t="shared" si="1"/>
        <v>0</v>
      </c>
      <c r="I55" s="115"/>
      <c r="J55" s="115"/>
      <c r="K55" s="60">
        <f t="shared" si="2"/>
        <v>0</v>
      </c>
      <c r="L55" s="117"/>
    </row>
    <row r="56" ht="15.75" customHeight="1">
      <c r="A56" s="9"/>
      <c r="B56" s="164"/>
      <c r="C56" s="110"/>
      <c r="D56" s="156"/>
      <c r="E56" s="111"/>
      <c r="F56" s="112"/>
      <c r="G56" s="113"/>
      <c r="H56" s="53">
        <f t="shared" si="1"/>
        <v>0</v>
      </c>
      <c r="I56" s="115"/>
      <c r="J56" s="115"/>
      <c r="K56" s="60">
        <f t="shared" si="2"/>
        <v>0</v>
      </c>
      <c r="L56" s="117"/>
    </row>
    <row r="57" ht="15.75" customHeight="1">
      <c r="A57" s="9"/>
      <c r="B57" s="164"/>
      <c r="C57" s="110"/>
      <c r="D57" s="156"/>
      <c r="E57" s="111"/>
      <c r="F57" s="112"/>
      <c r="G57" s="113"/>
      <c r="H57" s="53">
        <f t="shared" si="1"/>
        <v>0</v>
      </c>
      <c r="I57" s="115"/>
      <c r="J57" s="115"/>
      <c r="K57" s="60">
        <f t="shared" si="2"/>
        <v>0</v>
      </c>
      <c r="L57" s="117"/>
    </row>
    <row r="58" ht="15.75" customHeight="1">
      <c r="A58" s="9"/>
      <c r="B58" s="164"/>
      <c r="C58" s="110"/>
      <c r="D58" s="156"/>
      <c r="E58" s="111"/>
      <c r="F58" s="112"/>
      <c r="G58" s="113"/>
      <c r="H58" s="53">
        <f t="shared" si="1"/>
        <v>0</v>
      </c>
      <c r="I58" s="115"/>
      <c r="J58" s="115"/>
      <c r="K58" s="60">
        <f t="shared" si="2"/>
        <v>0</v>
      </c>
      <c r="L58" s="117"/>
    </row>
    <row r="59" ht="15.75" customHeight="1">
      <c r="A59" s="9"/>
      <c r="B59" s="164"/>
      <c r="C59" s="110"/>
      <c r="D59" s="156"/>
      <c r="E59" s="111"/>
      <c r="F59" s="112"/>
      <c r="G59" s="113"/>
      <c r="H59" s="53">
        <f t="shared" si="1"/>
        <v>0</v>
      </c>
      <c r="I59" s="115"/>
      <c r="J59" s="115"/>
      <c r="K59" s="60">
        <f t="shared" si="2"/>
        <v>0</v>
      </c>
      <c r="L59" s="117"/>
    </row>
    <row r="60" ht="15.75" customHeight="1">
      <c r="A60" s="9"/>
      <c r="B60" s="164"/>
      <c r="C60" s="110"/>
      <c r="D60" s="156"/>
      <c r="E60" s="111"/>
      <c r="F60" s="112"/>
      <c r="G60" s="113"/>
      <c r="H60" s="53">
        <f t="shared" si="1"/>
        <v>0</v>
      </c>
      <c r="I60" s="115"/>
      <c r="J60" s="115"/>
      <c r="K60" s="60">
        <f t="shared" si="2"/>
        <v>0</v>
      </c>
      <c r="L60" s="117"/>
    </row>
    <row r="61" ht="15.75" customHeight="1">
      <c r="A61" s="9"/>
      <c r="B61" s="164"/>
      <c r="C61" s="110"/>
      <c r="D61" s="156"/>
      <c r="E61" s="111"/>
      <c r="F61" s="112"/>
      <c r="G61" s="113"/>
      <c r="H61" s="53">
        <f t="shared" si="1"/>
        <v>0</v>
      </c>
      <c r="I61" s="115"/>
      <c r="J61" s="115"/>
      <c r="K61" s="60">
        <f t="shared" si="2"/>
        <v>0</v>
      </c>
      <c r="L61" s="117"/>
    </row>
    <row r="62" ht="15.75" customHeight="1">
      <c r="A62" s="9"/>
      <c r="B62" s="164"/>
      <c r="C62" s="110"/>
      <c r="D62" s="156"/>
      <c r="E62" s="111"/>
      <c r="F62" s="112"/>
      <c r="G62" s="113"/>
      <c r="H62" s="53">
        <f t="shared" si="1"/>
        <v>0</v>
      </c>
      <c r="I62" s="115"/>
      <c r="J62" s="115"/>
      <c r="K62" s="60">
        <f t="shared" si="2"/>
        <v>0</v>
      </c>
      <c r="L62" s="117"/>
    </row>
    <row r="63" ht="15.75" customHeight="1">
      <c r="A63" s="9"/>
      <c r="B63" s="164"/>
      <c r="C63" s="110"/>
      <c r="D63" s="156"/>
      <c r="E63" s="111"/>
      <c r="F63" s="112"/>
      <c r="G63" s="113"/>
      <c r="H63" s="53">
        <f t="shared" si="1"/>
        <v>0</v>
      </c>
      <c r="I63" s="115"/>
      <c r="J63" s="115"/>
      <c r="K63" s="60">
        <f t="shared" si="2"/>
        <v>0</v>
      </c>
      <c r="L63" s="117"/>
    </row>
    <row r="64" ht="15.75" customHeight="1">
      <c r="A64" s="9"/>
      <c r="B64" s="164"/>
      <c r="C64" s="110"/>
      <c r="D64" s="156"/>
      <c r="E64" s="111"/>
      <c r="F64" s="112"/>
      <c r="G64" s="113"/>
      <c r="H64" s="53">
        <f t="shared" si="1"/>
        <v>0</v>
      </c>
      <c r="I64" s="115"/>
      <c r="J64" s="115"/>
      <c r="K64" s="60">
        <f t="shared" si="2"/>
        <v>0</v>
      </c>
      <c r="L64" s="117"/>
    </row>
    <row r="65" ht="15.75" customHeight="1">
      <c r="A65" s="9"/>
      <c r="B65" s="164"/>
      <c r="C65" s="110"/>
      <c r="D65" s="156"/>
      <c r="E65" s="111"/>
      <c r="F65" s="112"/>
      <c r="G65" s="113"/>
      <c r="H65" s="53">
        <f t="shared" si="1"/>
        <v>0</v>
      </c>
      <c r="I65" s="115"/>
      <c r="J65" s="115"/>
      <c r="K65" s="60">
        <f t="shared" si="2"/>
        <v>0</v>
      </c>
      <c r="L65" s="117"/>
    </row>
    <row r="66" ht="15.75" customHeight="1">
      <c r="A66" s="9"/>
      <c r="B66" s="164"/>
      <c r="C66" s="110"/>
      <c r="D66" s="156"/>
      <c r="E66" s="111"/>
      <c r="F66" s="112"/>
      <c r="G66" s="113"/>
      <c r="H66" s="53">
        <f t="shared" si="1"/>
        <v>0</v>
      </c>
      <c r="I66" s="115"/>
      <c r="J66" s="115"/>
      <c r="K66" s="60">
        <f t="shared" si="2"/>
        <v>0</v>
      </c>
      <c r="L66" s="117"/>
    </row>
    <row r="67" ht="15.75" customHeight="1">
      <c r="A67" s="9"/>
      <c r="B67" s="164"/>
      <c r="C67" s="110"/>
      <c r="D67" s="156"/>
      <c r="E67" s="111"/>
      <c r="F67" s="112"/>
      <c r="G67" s="113"/>
      <c r="H67" s="53">
        <f t="shared" si="1"/>
        <v>0</v>
      </c>
      <c r="I67" s="115"/>
      <c r="J67" s="115"/>
      <c r="K67" s="60">
        <f t="shared" si="2"/>
        <v>0</v>
      </c>
      <c r="L67" s="117"/>
    </row>
    <row r="68" ht="15.75" customHeight="1">
      <c r="A68" s="9"/>
      <c r="B68" s="164"/>
      <c r="C68" s="110"/>
      <c r="D68" s="156"/>
      <c r="E68" s="111"/>
      <c r="F68" s="112"/>
      <c r="G68" s="113"/>
      <c r="H68" s="53">
        <f t="shared" si="1"/>
        <v>0</v>
      </c>
      <c r="I68" s="115"/>
      <c r="J68" s="115"/>
      <c r="K68" s="60">
        <f t="shared" si="2"/>
        <v>0</v>
      </c>
      <c r="L68" s="117"/>
    </row>
    <row r="69" ht="15.75" customHeight="1">
      <c r="A69" s="9"/>
      <c r="B69" s="164"/>
      <c r="C69" s="110"/>
      <c r="D69" s="156"/>
      <c r="E69" s="111"/>
      <c r="F69" s="112"/>
      <c r="G69" s="113"/>
      <c r="H69" s="53">
        <f t="shared" si="1"/>
        <v>0</v>
      </c>
      <c r="I69" s="115"/>
      <c r="J69" s="115"/>
      <c r="K69" s="60">
        <f t="shared" si="2"/>
        <v>0</v>
      </c>
      <c r="L69" s="117"/>
    </row>
    <row r="70" ht="15.75" customHeight="1">
      <c r="A70" s="9"/>
      <c r="B70" s="164"/>
      <c r="C70" s="110"/>
      <c r="D70" s="156"/>
      <c r="E70" s="111"/>
      <c r="F70" s="112"/>
      <c r="G70" s="113"/>
      <c r="H70" s="53">
        <f t="shared" si="1"/>
        <v>0</v>
      </c>
      <c r="I70" s="115"/>
      <c r="J70" s="115"/>
      <c r="K70" s="60">
        <f t="shared" si="2"/>
        <v>0</v>
      </c>
      <c r="L70" s="117"/>
    </row>
    <row r="71" ht="15.75" customHeight="1">
      <c r="A71" s="9"/>
      <c r="B71" s="164"/>
      <c r="C71" s="110"/>
      <c r="D71" s="156"/>
      <c r="E71" s="111"/>
      <c r="F71" s="112"/>
      <c r="G71" s="113"/>
      <c r="H71" s="53">
        <f t="shared" si="1"/>
        <v>0</v>
      </c>
      <c r="I71" s="115"/>
      <c r="J71" s="115"/>
      <c r="K71" s="60">
        <f t="shared" si="2"/>
        <v>0</v>
      </c>
      <c r="L71" s="117"/>
    </row>
    <row r="72" ht="15.75" customHeight="1">
      <c r="A72" s="9"/>
      <c r="B72" s="164"/>
      <c r="C72" s="110"/>
      <c r="D72" s="156"/>
      <c r="E72" s="111"/>
      <c r="F72" s="112"/>
      <c r="G72" s="113"/>
      <c r="H72" s="53">
        <f t="shared" si="1"/>
        <v>0</v>
      </c>
      <c r="I72" s="115"/>
      <c r="J72" s="115"/>
      <c r="K72" s="60">
        <f t="shared" si="2"/>
        <v>0</v>
      </c>
      <c r="L72" s="117"/>
    </row>
    <row r="73" ht="15.75" customHeight="1">
      <c r="A73" s="9"/>
      <c r="B73" s="164"/>
      <c r="C73" s="110"/>
      <c r="D73" s="156"/>
      <c r="E73" s="111"/>
      <c r="F73" s="112"/>
      <c r="G73" s="113"/>
      <c r="H73" s="53">
        <f t="shared" si="1"/>
        <v>0</v>
      </c>
      <c r="I73" s="115"/>
      <c r="J73" s="115"/>
      <c r="K73" s="60">
        <f t="shared" si="2"/>
        <v>0</v>
      </c>
      <c r="L73" s="117"/>
    </row>
    <row r="74" ht="15.75" customHeight="1">
      <c r="A74" s="9"/>
      <c r="B74" s="164"/>
      <c r="C74" s="110"/>
      <c r="D74" s="156"/>
      <c r="E74" s="111"/>
      <c r="F74" s="112"/>
      <c r="G74" s="113"/>
      <c r="H74" s="53">
        <f t="shared" si="1"/>
        <v>0</v>
      </c>
      <c r="I74" s="115"/>
      <c r="J74" s="115"/>
      <c r="K74" s="60">
        <f t="shared" si="2"/>
        <v>0</v>
      </c>
      <c r="L74" s="117"/>
    </row>
    <row r="75" ht="15.75" customHeight="1">
      <c r="A75" s="9"/>
      <c r="B75" s="164"/>
      <c r="C75" s="110"/>
      <c r="D75" s="156"/>
      <c r="E75" s="111"/>
      <c r="F75" s="112"/>
      <c r="G75" s="113"/>
      <c r="H75" s="53">
        <f t="shared" si="1"/>
        <v>0</v>
      </c>
      <c r="I75" s="115"/>
      <c r="J75" s="115"/>
      <c r="K75" s="60">
        <f t="shared" si="2"/>
        <v>0</v>
      </c>
      <c r="L75" s="117"/>
    </row>
    <row r="76" ht="15.75" customHeight="1">
      <c r="A76" s="9"/>
      <c r="B76" s="164"/>
      <c r="C76" s="110"/>
      <c r="D76" s="156"/>
      <c r="E76" s="111"/>
      <c r="F76" s="112"/>
      <c r="G76" s="113"/>
      <c r="H76" s="53">
        <f t="shared" si="1"/>
        <v>0</v>
      </c>
      <c r="I76" s="115"/>
      <c r="J76" s="115"/>
      <c r="K76" s="60">
        <f t="shared" si="2"/>
        <v>0</v>
      </c>
      <c r="L76" s="117"/>
    </row>
    <row r="77" ht="15.75" customHeight="1">
      <c r="A77" s="9"/>
      <c r="B77" s="164"/>
      <c r="C77" s="110"/>
      <c r="D77" s="156"/>
      <c r="E77" s="111"/>
      <c r="F77" s="112"/>
      <c r="G77" s="113"/>
      <c r="H77" s="53">
        <f t="shared" si="1"/>
        <v>0</v>
      </c>
      <c r="I77" s="115"/>
      <c r="J77" s="115"/>
      <c r="K77" s="60">
        <f t="shared" si="2"/>
        <v>0</v>
      </c>
      <c r="L77" s="117"/>
    </row>
    <row r="78" ht="15.75" customHeight="1">
      <c r="A78" s="9"/>
      <c r="B78" s="164"/>
      <c r="C78" s="110"/>
      <c r="D78" s="156"/>
      <c r="E78" s="111"/>
      <c r="F78" s="112"/>
      <c r="G78" s="113"/>
      <c r="H78" s="53">
        <f t="shared" si="1"/>
        <v>0</v>
      </c>
      <c r="I78" s="115"/>
      <c r="J78" s="115"/>
      <c r="K78" s="60">
        <f t="shared" si="2"/>
        <v>0</v>
      </c>
      <c r="L78" s="117"/>
    </row>
    <row r="79" ht="15.75" customHeight="1">
      <c r="A79" s="9"/>
      <c r="B79" s="164"/>
      <c r="C79" s="110"/>
      <c r="D79" s="156"/>
      <c r="E79" s="111"/>
      <c r="F79" s="112"/>
      <c r="G79" s="113"/>
      <c r="H79" s="53">
        <f t="shared" si="1"/>
        <v>0</v>
      </c>
      <c r="I79" s="115"/>
      <c r="J79" s="115"/>
      <c r="K79" s="60">
        <f t="shared" si="2"/>
        <v>0</v>
      </c>
      <c r="L79" s="117"/>
    </row>
    <row r="80" ht="15.75" customHeight="1">
      <c r="A80" s="9"/>
      <c r="B80" s="164"/>
      <c r="C80" s="110"/>
      <c r="D80" s="156"/>
      <c r="E80" s="111"/>
      <c r="F80" s="112"/>
      <c r="G80" s="113"/>
      <c r="H80" s="53">
        <f t="shared" si="1"/>
        <v>0</v>
      </c>
      <c r="I80" s="115"/>
      <c r="J80" s="115"/>
      <c r="K80" s="60">
        <f t="shared" si="2"/>
        <v>0</v>
      </c>
      <c r="L80" s="117"/>
    </row>
    <row r="81" ht="15.75" customHeight="1">
      <c r="A81" s="9"/>
      <c r="B81" s="164"/>
      <c r="C81" s="110"/>
      <c r="D81" s="156"/>
      <c r="E81" s="111"/>
      <c r="F81" s="112"/>
      <c r="G81" s="113"/>
      <c r="H81" s="53">
        <f t="shared" si="1"/>
        <v>0</v>
      </c>
      <c r="I81" s="115"/>
      <c r="J81" s="115"/>
      <c r="K81" s="60">
        <f t="shared" si="2"/>
        <v>0</v>
      </c>
      <c r="L81" s="117"/>
    </row>
    <row r="82" ht="15.75" customHeight="1">
      <c r="A82" s="9"/>
      <c r="B82" s="164"/>
      <c r="C82" s="110"/>
      <c r="D82" s="156"/>
      <c r="E82" s="111"/>
      <c r="F82" s="112"/>
      <c r="G82" s="113"/>
      <c r="H82" s="53">
        <f t="shared" si="1"/>
        <v>0</v>
      </c>
      <c r="I82" s="115"/>
      <c r="J82" s="115"/>
      <c r="K82" s="60">
        <f t="shared" si="2"/>
        <v>0</v>
      </c>
      <c r="L82" s="117"/>
    </row>
    <row r="83" ht="15.75" customHeight="1">
      <c r="A83" s="9"/>
      <c r="B83" s="164"/>
      <c r="C83" s="110"/>
      <c r="D83" s="156"/>
      <c r="E83" s="111"/>
      <c r="F83" s="112"/>
      <c r="G83" s="113"/>
      <c r="H83" s="53">
        <f t="shared" si="1"/>
        <v>0</v>
      </c>
      <c r="I83" s="115"/>
      <c r="J83" s="115"/>
      <c r="K83" s="60">
        <f t="shared" si="2"/>
        <v>0</v>
      </c>
      <c r="L83" s="117"/>
    </row>
    <row r="84" ht="15.75" customHeight="1">
      <c r="A84" s="9"/>
      <c r="B84" s="164"/>
      <c r="C84" s="110"/>
      <c r="D84" s="156"/>
      <c r="E84" s="111"/>
      <c r="F84" s="112"/>
      <c r="G84" s="113"/>
      <c r="H84" s="53">
        <f t="shared" si="1"/>
        <v>0</v>
      </c>
      <c r="I84" s="115"/>
      <c r="J84" s="115"/>
      <c r="K84" s="60">
        <f t="shared" si="2"/>
        <v>0</v>
      </c>
      <c r="L84" s="117"/>
    </row>
    <row r="85" ht="15.75" customHeight="1">
      <c r="A85" s="9"/>
      <c r="B85" s="164"/>
      <c r="C85" s="110"/>
      <c r="D85" s="156"/>
      <c r="E85" s="111"/>
      <c r="F85" s="112"/>
      <c r="G85" s="113"/>
      <c r="H85" s="53">
        <f t="shared" si="1"/>
        <v>0</v>
      </c>
      <c r="I85" s="115"/>
      <c r="J85" s="115"/>
      <c r="K85" s="60">
        <f t="shared" si="2"/>
        <v>0</v>
      </c>
      <c r="L85" s="117"/>
    </row>
    <row r="86" ht="15.75" customHeight="1">
      <c r="A86" s="9"/>
      <c r="B86" s="164"/>
      <c r="C86" s="110"/>
      <c r="D86" s="156"/>
      <c r="E86" s="111"/>
      <c r="F86" s="112"/>
      <c r="G86" s="113"/>
      <c r="H86" s="53">
        <f t="shared" si="1"/>
        <v>0</v>
      </c>
      <c r="I86" s="115"/>
      <c r="J86" s="115"/>
      <c r="K86" s="60">
        <f t="shared" si="2"/>
        <v>0</v>
      </c>
      <c r="L86" s="117"/>
    </row>
    <row r="87" ht="15.75" customHeight="1">
      <c r="A87" s="9"/>
      <c r="B87" s="164"/>
      <c r="C87" s="110"/>
      <c r="D87" s="156"/>
      <c r="E87" s="111"/>
      <c r="F87" s="112"/>
      <c r="G87" s="113"/>
      <c r="H87" s="53">
        <f t="shared" si="1"/>
        <v>0</v>
      </c>
      <c r="I87" s="115"/>
      <c r="J87" s="115"/>
      <c r="K87" s="60">
        <f t="shared" si="2"/>
        <v>0</v>
      </c>
      <c r="L87" s="117"/>
    </row>
    <row r="88" ht="15.75" customHeight="1">
      <c r="A88" s="9"/>
      <c r="B88" s="164"/>
      <c r="C88" s="110"/>
      <c r="D88" s="156"/>
      <c r="E88" s="111"/>
      <c r="F88" s="112"/>
      <c r="G88" s="113"/>
      <c r="H88" s="53">
        <f t="shared" si="1"/>
        <v>0</v>
      </c>
      <c r="I88" s="115"/>
      <c r="J88" s="115"/>
      <c r="K88" s="60">
        <f t="shared" si="2"/>
        <v>0</v>
      </c>
      <c r="L88" s="117"/>
    </row>
    <row r="89" ht="15.75" customHeight="1">
      <c r="A89" s="9"/>
      <c r="B89" s="164"/>
      <c r="C89" s="110"/>
      <c r="D89" s="156"/>
      <c r="E89" s="111"/>
      <c r="F89" s="112"/>
      <c r="G89" s="113"/>
      <c r="H89" s="53">
        <f t="shared" si="1"/>
        <v>0</v>
      </c>
      <c r="I89" s="115"/>
      <c r="J89" s="115"/>
      <c r="K89" s="60">
        <f t="shared" si="2"/>
        <v>0</v>
      </c>
      <c r="L89" s="117"/>
    </row>
    <row r="90" ht="15.75" customHeight="1">
      <c r="A90" s="9"/>
      <c r="B90" s="164"/>
      <c r="C90" s="110"/>
      <c r="D90" s="156"/>
      <c r="E90" s="111"/>
      <c r="F90" s="112"/>
      <c r="G90" s="113"/>
      <c r="H90" s="53">
        <f t="shared" si="1"/>
        <v>0</v>
      </c>
      <c r="I90" s="115"/>
      <c r="J90" s="115"/>
      <c r="K90" s="60">
        <f t="shared" si="2"/>
        <v>0</v>
      </c>
      <c r="L90" s="117"/>
    </row>
    <row r="91" ht="15.75" customHeight="1">
      <c r="A91" s="9"/>
      <c r="B91" s="164"/>
      <c r="C91" s="110"/>
      <c r="D91" s="156"/>
      <c r="E91" s="111"/>
      <c r="F91" s="112"/>
      <c r="G91" s="113"/>
      <c r="H91" s="53">
        <f t="shared" si="1"/>
        <v>0</v>
      </c>
      <c r="I91" s="115"/>
      <c r="J91" s="115"/>
      <c r="K91" s="60">
        <f t="shared" si="2"/>
        <v>0</v>
      </c>
      <c r="L91" s="117"/>
    </row>
    <row r="92" ht="15.75" customHeight="1">
      <c r="A92" s="9"/>
      <c r="B92" s="164"/>
      <c r="C92" s="110"/>
      <c r="D92" s="156"/>
      <c r="E92" s="111"/>
      <c r="F92" s="112"/>
      <c r="G92" s="113"/>
      <c r="H92" s="53">
        <f t="shared" si="1"/>
        <v>0</v>
      </c>
      <c r="I92" s="115"/>
      <c r="J92" s="115"/>
      <c r="K92" s="60">
        <f t="shared" si="2"/>
        <v>0</v>
      </c>
      <c r="L92" s="117"/>
    </row>
    <row r="93" ht="15.75" customHeight="1">
      <c r="A93" s="9"/>
      <c r="B93" s="164"/>
      <c r="C93" s="110"/>
      <c r="D93" s="156"/>
      <c r="E93" s="111"/>
      <c r="F93" s="112"/>
      <c r="G93" s="113"/>
      <c r="H93" s="53">
        <f t="shared" si="1"/>
        <v>0</v>
      </c>
      <c r="I93" s="115"/>
      <c r="J93" s="115"/>
      <c r="K93" s="60">
        <f t="shared" si="2"/>
        <v>0</v>
      </c>
      <c r="L93" s="117"/>
    </row>
    <row r="94" ht="15.75" customHeight="1">
      <c r="A94" s="9"/>
      <c r="B94" s="164"/>
      <c r="C94" s="110"/>
      <c r="D94" s="156"/>
      <c r="E94" s="111"/>
      <c r="F94" s="112"/>
      <c r="G94" s="113"/>
      <c r="H94" s="53">
        <f t="shared" si="1"/>
        <v>0</v>
      </c>
      <c r="I94" s="115"/>
      <c r="J94" s="115"/>
      <c r="K94" s="60">
        <f t="shared" si="2"/>
        <v>0</v>
      </c>
      <c r="L94" s="117"/>
    </row>
    <row r="95" ht="15.75" customHeight="1">
      <c r="A95" s="9"/>
      <c r="B95" s="164"/>
      <c r="C95" s="110"/>
      <c r="D95" s="156"/>
      <c r="E95" s="111"/>
      <c r="F95" s="112"/>
      <c r="G95" s="113"/>
      <c r="H95" s="53">
        <f t="shared" si="1"/>
        <v>0</v>
      </c>
      <c r="I95" s="115"/>
      <c r="J95" s="115"/>
      <c r="K95" s="60">
        <f t="shared" si="2"/>
        <v>0</v>
      </c>
      <c r="L95" s="117"/>
    </row>
    <row r="96" ht="15.75" customHeight="1">
      <c r="A96" s="9"/>
      <c r="B96" s="164"/>
      <c r="C96" s="110"/>
      <c r="D96" s="156"/>
      <c r="E96" s="111"/>
      <c r="F96" s="112"/>
      <c r="G96" s="113"/>
      <c r="H96" s="53">
        <f t="shared" si="1"/>
        <v>0</v>
      </c>
      <c r="I96" s="115"/>
      <c r="J96" s="115"/>
      <c r="K96" s="60">
        <f t="shared" si="2"/>
        <v>0</v>
      </c>
      <c r="L96" s="117"/>
    </row>
    <row r="97" ht="15.75" customHeight="1">
      <c r="A97" s="9"/>
      <c r="B97" s="164"/>
      <c r="C97" s="110"/>
      <c r="D97" s="156"/>
      <c r="E97" s="111"/>
      <c r="F97" s="112"/>
      <c r="G97" s="113"/>
      <c r="H97" s="53">
        <f t="shared" si="1"/>
        <v>0</v>
      </c>
      <c r="I97" s="115"/>
      <c r="J97" s="115"/>
      <c r="K97" s="60">
        <f t="shared" si="2"/>
        <v>0</v>
      </c>
      <c r="L97" s="117"/>
    </row>
    <row r="98" ht="15.75" customHeight="1">
      <c r="A98" s="9"/>
      <c r="B98" s="164"/>
      <c r="C98" s="110"/>
      <c r="D98" s="156"/>
      <c r="E98" s="111"/>
      <c r="F98" s="112"/>
      <c r="G98" s="113"/>
      <c r="H98" s="53">
        <f t="shared" si="1"/>
        <v>0</v>
      </c>
      <c r="I98" s="115"/>
      <c r="J98" s="115"/>
      <c r="K98" s="60">
        <f t="shared" si="2"/>
        <v>0</v>
      </c>
      <c r="L98" s="117"/>
    </row>
    <row r="99" ht="15.75" customHeight="1">
      <c r="A99" s="9"/>
      <c r="B99" s="164"/>
      <c r="C99" s="110"/>
      <c r="D99" s="156"/>
      <c r="E99" s="111"/>
      <c r="F99" s="112"/>
      <c r="G99" s="113"/>
      <c r="H99" s="53">
        <f t="shared" si="1"/>
        <v>0</v>
      </c>
      <c r="I99" s="115"/>
      <c r="J99" s="115"/>
      <c r="K99" s="60">
        <f t="shared" si="2"/>
        <v>0</v>
      </c>
      <c r="L99" s="117"/>
    </row>
    <row r="100" ht="15.75" customHeight="1">
      <c r="A100" s="9"/>
      <c r="B100" s="164"/>
      <c r="C100" s="110"/>
      <c r="D100" s="156"/>
      <c r="E100" s="111"/>
      <c r="F100" s="112"/>
      <c r="G100" s="113"/>
      <c r="H100" s="53">
        <f t="shared" si="1"/>
        <v>0</v>
      </c>
      <c r="I100" s="115"/>
      <c r="J100" s="115"/>
      <c r="K100" s="60">
        <f t="shared" si="2"/>
        <v>0</v>
      </c>
      <c r="L100" s="117"/>
    </row>
    <row r="101" ht="15.75" customHeight="1">
      <c r="A101" s="9"/>
      <c r="B101" s="164"/>
      <c r="C101" s="110"/>
      <c r="D101" s="156"/>
      <c r="E101" s="111"/>
      <c r="F101" s="112"/>
      <c r="G101" s="113"/>
      <c r="H101" s="53">
        <f t="shared" si="1"/>
        <v>0</v>
      </c>
      <c r="I101" s="115"/>
      <c r="J101" s="115"/>
      <c r="K101" s="60">
        <f t="shared" si="2"/>
        <v>0</v>
      </c>
      <c r="L101" s="117"/>
    </row>
    <row r="102" ht="15.75" customHeight="1">
      <c r="A102" s="9"/>
      <c r="B102" s="164"/>
      <c r="C102" s="110"/>
      <c r="D102" s="156"/>
      <c r="E102" s="111"/>
      <c r="F102" s="112"/>
      <c r="G102" s="113"/>
      <c r="H102" s="53">
        <f t="shared" si="1"/>
        <v>0</v>
      </c>
      <c r="I102" s="115"/>
      <c r="J102" s="115"/>
      <c r="K102" s="60">
        <f t="shared" si="2"/>
        <v>0</v>
      </c>
      <c r="L102" s="117"/>
    </row>
    <row r="103" ht="15.75" customHeight="1">
      <c r="A103" s="9"/>
      <c r="B103" s="164"/>
      <c r="C103" s="110"/>
      <c r="D103" s="156"/>
      <c r="E103" s="111"/>
      <c r="F103" s="112"/>
      <c r="G103" s="113"/>
      <c r="H103" s="53">
        <f t="shared" si="1"/>
        <v>0</v>
      </c>
      <c r="I103" s="115"/>
      <c r="J103" s="115"/>
      <c r="K103" s="60">
        <f t="shared" si="2"/>
        <v>0</v>
      </c>
      <c r="L103" s="117"/>
    </row>
    <row r="104" ht="15.75" customHeight="1">
      <c r="A104" s="9"/>
      <c r="B104" s="164"/>
      <c r="C104" s="110"/>
      <c r="D104" s="156"/>
      <c r="E104" s="111"/>
      <c r="F104" s="112"/>
      <c r="G104" s="113"/>
      <c r="H104" s="53">
        <f t="shared" si="1"/>
        <v>0</v>
      </c>
      <c r="I104" s="115"/>
      <c r="J104" s="115"/>
      <c r="K104" s="60">
        <f t="shared" si="2"/>
        <v>0</v>
      </c>
      <c r="L104" s="117"/>
    </row>
    <row r="105" ht="15.75" customHeight="1">
      <c r="A105" s="9"/>
      <c r="B105" s="164"/>
      <c r="C105" s="110"/>
      <c r="D105" s="156"/>
      <c r="E105" s="111"/>
      <c r="F105" s="112"/>
      <c r="G105" s="113"/>
      <c r="H105" s="53">
        <f t="shared" si="1"/>
        <v>0</v>
      </c>
      <c r="I105" s="115"/>
      <c r="J105" s="115"/>
      <c r="K105" s="60">
        <f t="shared" si="2"/>
        <v>0</v>
      </c>
      <c r="L105" s="117"/>
    </row>
    <row r="106" ht="15.75" customHeight="1">
      <c r="A106" s="9"/>
      <c r="B106" s="164"/>
      <c r="C106" s="110"/>
      <c r="D106" s="156"/>
      <c r="E106" s="111"/>
      <c r="F106" s="112"/>
      <c r="G106" s="113"/>
      <c r="H106" s="53">
        <f t="shared" si="1"/>
        <v>0</v>
      </c>
      <c r="I106" s="115"/>
      <c r="J106" s="115"/>
      <c r="K106" s="60">
        <f t="shared" si="2"/>
        <v>0</v>
      </c>
      <c r="L106" s="117"/>
    </row>
    <row r="107" ht="15.75" customHeight="1">
      <c r="A107" s="9"/>
      <c r="B107" s="164"/>
      <c r="C107" s="110"/>
      <c r="D107" s="156"/>
      <c r="E107" s="111"/>
      <c r="F107" s="112"/>
      <c r="G107" s="113"/>
      <c r="H107" s="53">
        <f t="shared" si="1"/>
        <v>0</v>
      </c>
      <c r="I107" s="115"/>
      <c r="J107" s="115"/>
      <c r="K107" s="60">
        <f t="shared" si="2"/>
        <v>0</v>
      </c>
      <c r="L107" s="117"/>
    </row>
    <row r="108" ht="15.75" customHeight="1">
      <c r="A108" s="9"/>
      <c r="B108" s="164"/>
      <c r="C108" s="110"/>
      <c r="D108" s="156"/>
      <c r="E108" s="111"/>
      <c r="F108" s="112"/>
      <c r="G108" s="113"/>
      <c r="H108" s="53">
        <f t="shared" si="1"/>
        <v>0</v>
      </c>
      <c r="I108" s="115"/>
      <c r="J108" s="115"/>
      <c r="K108" s="60">
        <f t="shared" si="2"/>
        <v>0</v>
      </c>
      <c r="L108" s="117"/>
    </row>
    <row r="109" ht="15.75" customHeight="1">
      <c r="A109" s="9"/>
      <c r="B109" s="164"/>
      <c r="C109" s="110"/>
      <c r="D109" s="156"/>
      <c r="E109" s="111"/>
      <c r="F109" s="112"/>
      <c r="G109" s="113"/>
      <c r="H109" s="53">
        <f t="shared" si="1"/>
        <v>0</v>
      </c>
      <c r="I109" s="115"/>
      <c r="J109" s="115"/>
      <c r="K109" s="60">
        <f t="shared" si="2"/>
        <v>0</v>
      </c>
      <c r="L109" s="117"/>
    </row>
    <row r="110" ht="15.75" customHeight="1">
      <c r="A110" s="9"/>
      <c r="B110" s="164"/>
      <c r="C110" s="110"/>
      <c r="D110" s="156"/>
      <c r="E110" s="111"/>
      <c r="F110" s="112"/>
      <c r="G110" s="113"/>
      <c r="H110" s="53">
        <f t="shared" si="1"/>
        <v>0</v>
      </c>
      <c r="I110" s="115"/>
      <c r="J110" s="115"/>
      <c r="K110" s="60">
        <f t="shared" si="2"/>
        <v>0</v>
      </c>
      <c r="L110" s="117"/>
    </row>
    <row r="111" ht="15.75" customHeight="1">
      <c r="A111" s="9"/>
      <c r="B111" s="164"/>
      <c r="C111" s="110"/>
      <c r="D111" s="156"/>
      <c r="E111" s="111"/>
      <c r="F111" s="112"/>
      <c r="G111" s="113"/>
      <c r="H111" s="53">
        <f t="shared" si="1"/>
        <v>0</v>
      </c>
      <c r="I111" s="115"/>
      <c r="J111" s="115"/>
      <c r="K111" s="60">
        <f t="shared" si="2"/>
        <v>0</v>
      </c>
      <c r="L111" s="117"/>
    </row>
    <row r="112" ht="15.75" customHeight="1">
      <c r="A112" s="9"/>
      <c r="B112" s="164"/>
      <c r="C112" s="110"/>
      <c r="D112" s="156"/>
      <c r="E112" s="111"/>
      <c r="F112" s="112"/>
      <c r="G112" s="113"/>
      <c r="H112" s="53">
        <f t="shared" si="1"/>
        <v>0</v>
      </c>
      <c r="I112" s="115"/>
      <c r="J112" s="115"/>
      <c r="K112" s="60">
        <f t="shared" si="2"/>
        <v>0</v>
      </c>
      <c r="L112" s="117"/>
    </row>
    <row r="113" ht="15.75" customHeight="1">
      <c r="A113" s="9"/>
      <c r="B113" s="164"/>
      <c r="C113" s="110"/>
      <c r="D113" s="156"/>
      <c r="E113" s="111"/>
      <c r="F113" s="112"/>
      <c r="G113" s="113"/>
      <c r="H113" s="53">
        <f t="shared" si="1"/>
        <v>0</v>
      </c>
      <c r="I113" s="115"/>
      <c r="J113" s="115"/>
      <c r="K113" s="60">
        <f t="shared" si="2"/>
        <v>0</v>
      </c>
      <c r="L113" s="117"/>
    </row>
    <row r="114" ht="15.75" customHeight="1">
      <c r="A114" s="9"/>
      <c r="B114" s="164"/>
      <c r="C114" s="110"/>
      <c r="D114" s="156"/>
      <c r="E114" s="111"/>
      <c r="F114" s="112"/>
      <c r="G114" s="113"/>
      <c r="H114" s="53">
        <f t="shared" si="1"/>
        <v>0</v>
      </c>
      <c r="I114" s="115"/>
      <c r="J114" s="115"/>
      <c r="K114" s="60">
        <f t="shared" si="2"/>
        <v>0</v>
      </c>
      <c r="L114" s="117"/>
    </row>
    <row r="115" ht="15.75" customHeight="1">
      <c r="A115" s="9"/>
      <c r="B115" s="164"/>
      <c r="C115" s="110"/>
      <c r="D115" s="156"/>
      <c r="E115" s="111"/>
      <c r="F115" s="112"/>
      <c r="G115" s="113"/>
      <c r="H115" s="53">
        <f t="shared" si="1"/>
        <v>0</v>
      </c>
      <c r="I115" s="115"/>
      <c r="J115" s="115"/>
      <c r="K115" s="60">
        <f t="shared" si="2"/>
        <v>0</v>
      </c>
      <c r="L115" s="117"/>
    </row>
    <row r="116" ht="15.75" customHeight="1">
      <c r="A116" s="9"/>
      <c r="B116" s="164"/>
      <c r="C116" s="110"/>
      <c r="D116" s="156"/>
      <c r="E116" s="111"/>
      <c r="F116" s="112"/>
      <c r="G116" s="113"/>
      <c r="H116" s="53">
        <f t="shared" si="1"/>
        <v>0</v>
      </c>
      <c r="I116" s="115"/>
      <c r="J116" s="115"/>
      <c r="K116" s="60">
        <f t="shared" si="2"/>
        <v>0</v>
      </c>
      <c r="L116" s="117"/>
    </row>
    <row r="117" ht="15.75" customHeight="1">
      <c r="A117" s="9"/>
      <c r="B117" s="164"/>
      <c r="C117" s="110"/>
      <c r="D117" s="156"/>
      <c r="E117" s="111"/>
      <c r="F117" s="112"/>
      <c r="G117" s="113"/>
      <c r="H117" s="53">
        <f t="shared" si="1"/>
        <v>0</v>
      </c>
      <c r="I117" s="115"/>
      <c r="J117" s="115"/>
      <c r="K117" s="60">
        <f t="shared" si="2"/>
        <v>0</v>
      </c>
      <c r="L117" s="117"/>
    </row>
    <row r="118" ht="15.75" customHeight="1">
      <c r="A118" s="9"/>
      <c r="B118" s="164"/>
      <c r="C118" s="110"/>
      <c r="D118" s="156"/>
      <c r="E118" s="111"/>
      <c r="F118" s="112"/>
      <c r="G118" s="113"/>
      <c r="H118" s="53">
        <f t="shared" si="1"/>
        <v>0</v>
      </c>
      <c r="I118" s="115"/>
      <c r="J118" s="115"/>
      <c r="K118" s="60">
        <f t="shared" si="2"/>
        <v>0</v>
      </c>
      <c r="L118" s="117"/>
    </row>
    <row r="119" ht="15.75" customHeight="1">
      <c r="A119" s="9"/>
      <c r="B119" s="164"/>
      <c r="C119" s="110"/>
      <c r="D119" s="156"/>
      <c r="E119" s="111"/>
      <c r="F119" s="112"/>
      <c r="G119" s="113"/>
      <c r="H119" s="53">
        <f t="shared" si="1"/>
        <v>0</v>
      </c>
      <c r="I119" s="115"/>
      <c r="J119" s="115"/>
      <c r="K119" s="60">
        <f t="shared" si="2"/>
        <v>0</v>
      </c>
      <c r="L119" s="117"/>
    </row>
    <row r="120" ht="15.75" customHeight="1">
      <c r="A120" s="9"/>
      <c r="B120" s="164"/>
      <c r="C120" s="110"/>
      <c r="D120" s="156"/>
      <c r="E120" s="111"/>
      <c r="F120" s="112"/>
      <c r="G120" s="113"/>
      <c r="H120" s="53">
        <f t="shared" si="1"/>
        <v>0</v>
      </c>
      <c r="I120" s="115"/>
      <c r="J120" s="115"/>
      <c r="K120" s="60">
        <f t="shared" si="2"/>
        <v>0</v>
      </c>
      <c r="L120" s="117"/>
    </row>
    <row r="121" ht="15.75" customHeight="1">
      <c r="A121" s="9"/>
      <c r="B121" s="164"/>
      <c r="C121" s="110"/>
      <c r="D121" s="156"/>
      <c r="E121" s="111"/>
      <c r="F121" s="112"/>
      <c r="G121" s="113"/>
      <c r="H121" s="53">
        <f t="shared" si="1"/>
        <v>0</v>
      </c>
      <c r="I121" s="115"/>
      <c r="J121" s="115"/>
      <c r="K121" s="60">
        <f t="shared" si="2"/>
        <v>0</v>
      </c>
      <c r="L121" s="117"/>
    </row>
    <row r="122" ht="15.75" customHeight="1">
      <c r="A122" s="9"/>
      <c r="B122" s="164"/>
      <c r="C122" s="110"/>
      <c r="D122" s="156"/>
      <c r="E122" s="111"/>
      <c r="F122" s="112"/>
      <c r="G122" s="113"/>
      <c r="H122" s="53">
        <f t="shared" si="1"/>
        <v>0</v>
      </c>
      <c r="I122" s="115"/>
      <c r="J122" s="115"/>
      <c r="K122" s="60">
        <f t="shared" si="2"/>
        <v>0</v>
      </c>
      <c r="L122" s="117"/>
    </row>
    <row r="123" ht="15.75" customHeight="1">
      <c r="A123" s="9"/>
      <c r="B123" s="164"/>
      <c r="C123" s="110"/>
      <c r="D123" s="156"/>
      <c r="E123" s="111"/>
      <c r="F123" s="112"/>
      <c r="G123" s="113"/>
      <c r="H123" s="53">
        <f t="shared" si="1"/>
        <v>0</v>
      </c>
      <c r="I123" s="115"/>
      <c r="J123" s="115"/>
      <c r="K123" s="60">
        <f t="shared" si="2"/>
        <v>0</v>
      </c>
      <c r="L123" s="117"/>
    </row>
    <row r="124" ht="15.75" customHeight="1">
      <c r="A124" s="9"/>
      <c r="B124" s="164"/>
      <c r="C124" s="110"/>
      <c r="D124" s="156"/>
      <c r="E124" s="111"/>
      <c r="F124" s="112"/>
      <c r="G124" s="113"/>
      <c r="H124" s="53">
        <f t="shared" si="1"/>
        <v>0</v>
      </c>
      <c r="I124" s="115"/>
      <c r="J124" s="115"/>
      <c r="K124" s="60">
        <f t="shared" si="2"/>
        <v>0</v>
      </c>
      <c r="L124" s="117"/>
    </row>
    <row r="125" ht="15.75" customHeight="1">
      <c r="A125" s="9"/>
      <c r="B125" s="164"/>
      <c r="C125" s="110"/>
      <c r="D125" s="156"/>
      <c r="E125" s="111"/>
      <c r="F125" s="112"/>
      <c r="G125" s="113"/>
      <c r="H125" s="53">
        <f t="shared" si="1"/>
        <v>0</v>
      </c>
      <c r="I125" s="115"/>
      <c r="J125" s="115"/>
      <c r="K125" s="60">
        <f t="shared" si="2"/>
        <v>0</v>
      </c>
      <c r="L125" s="117"/>
    </row>
    <row r="126" ht="15.75" customHeight="1">
      <c r="A126" s="9"/>
      <c r="B126" s="164"/>
      <c r="C126" s="110"/>
      <c r="D126" s="156"/>
      <c r="E126" s="111"/>
      <c r="F126" s="112"/>
      <c r="G126" s="113"/>
      <c r="H126" s="53">
        <f t="shared" si="1"/>
        <v>0</v>
      </c>
      <c r="I126" s="115"/>
      <c r="J126" s="115"/>
      <c r="K126" s="60">
        <f t="shared" si="2"/>
        <v>0</v>
      </c>
      <c r="L126" s="117"/>
    </row>
    <row r="127" ht="15.75" customHeight="1">
      <c r="A127" s="9"/>
      <c r="B127" s="164"/>
      <c r="C127" s="110"/>
      <c r="D127" s="156"/>
      <c r="E127" s="111"/>
      <c r="F127" s="112"/>
      <c r="G127" s="113"/>
      <c r="H127" s="53">
        <f t="shared" si="1"/>
        <v>0</v>
      </c>
      <c r="I127" s="115"/>
      <c r="J127" s="115"/>
      <c r="K127" s="60">
        <f t="shared" si="2"/>
        <v>0</v>
      </c>
      <c r="L127" s="117"/>
    </row>
    <row r="128" ht="15.75" customHeight="1">
      <c r="A128" s="9"/>
      <c r="B128" s="164"/>
      <c r="C128" s="110"/>
      <c r="D128" s="156"/>
      <c r="E128" s="111"/>
      <c r="F128" s="112"/>
      <c r="G128" s="113"/>
      <c r="H128" s="53">
        <f t="shared" si="1"/>
        <v>0</v>
      </c>
      <c r="I128" s="115"/>
      <c r="J128" s="115"/>
      <c r="K128" s="60">
        <f t="shared" si="2"/>
        <v>0</v>
      </c>
      <c r="L128" s="117"/>
    </row>
    <row r="129" ht="15.75" customHeight="1">
      <c r="A129" s="9"/>
      <c r="B129" s="164"/>
      <c r="C129" s="110"/>
      <c r="D129" s="156"/>
      <c r="E129" s="111"/>
      <c r="F129" s="112"/>
      <c r="G129" s="113"/>
      <c r="H129" s="53">
        <f t="shared" si="1"/>
        <v>0</v>
      </c>
      <c r="I129" s="115"/>
      <c r="J129" s="115"/>
      <c r="K129" s="60">
        <f t="shared" si="2"/>
        <v>0</v>
      </c>
      <c r="L129" s="117"/>
    </row>
    <row r="130" ht="15.75" customHeight="1">
      <c r="A130" s="9"/>
      <c r="B130" s="164"/>
      <c r="C130" s="110"/>
      <c r="D130" s="156"/>
      <c r="E130" s="111"/>
      <c r="F130" s="112"/>
      <c r="G130" s="113"/>
      <c r="H130" s="53">
        <f t="shared" si="1"/>
        <v>0</v>
      </c>
      <c r="I130" s="115"/>
      <c r="J130" s="115"/>
      <c r="K130" s="60">
        <f t="shared" si="2"/>
        <v>0</v>
      </c>
      <c r="L130" s="117"/>
    </row>
    <row r="131" ht="15.75" customHeight="1">
      <c r="A131" s="9"/>
      <c r="B131" s="164"/>
      <c r="C131" s="110"/>
      <c r="D131" s="156"/>
      <c r="E131" s="111"/>
      <c r="F131" s="112"/>
      <c r="G131" s="113"/>
      <c r="H131" s="53">
        <f t="shared" si="1"/>
        <v>0</v>
      </c>
      <c r="I131" s="115"/>
      <c r="J131" s="115"/>
      <c r="K131" s="60">
        <f t="shared" si="2"/>
        <v>0</v>
      </c>
      <c r="L131" s="117"/>
    </row>
    <row r="132" ht="15.75" customHeight="1">
      <c r="A132" s="9"/>
      <c r="B132" s="164"/>
      <c r="C132" s="110"/>
      <c r="D132" s="156"/>
      <c r="E132" s="111"/>
      <c r="F132" s="112"/>
      <c r="G132" s="113"/>
      <c r="H132" s="53">
        <f t="shared" si="1"/>
        <v>0</v>
      </c>
      <c r="I132" s="115"/>
      <c r="J132" s="115"/>
      <c r="K132" s="60">
        <f t="shared" si="2"/>
        <v>0</v>
      </c>
      <c r="L132" s="117"/>
    </row>
    <row r="133" ht="15.75" customHeight="1">
      <c r="A133" s="9"/>
      <c r="B133" s="164"/>
      <c r="C133" s="110"/>
      <c r="D133" s="156"/>
      <c r="E133" s="111"/>
      <c r="F133" s="112"/>
      <c r="G133" s="113"/>
      <c r="H133" s="53">
        <f t="shared" si="1"/>
        <v>0</v>
      </c>
      <c r="I133" s="115"/>
      <c r="J133" s="115"/>
      <c r="K133" s="60">
        <f t="shared" si="2"/>
        <v>0</v>
      </c>
      <c r="L133" s="117"/>
    </row>
    <row r="134" ht="15.75" customHeight="1">
      <c r="A134" s="9"/>
      <c r="B134" s="164"/>
      <c r="C134" s="110"/>
      <c r="D134" s="156"/>
      <c r="E134" s="111"/>
      <c r="F134" s="112"/>
      <c r="G134" s="113"/>
      <c r="H134" s="53">
        <f t="shared" si="1"/>
        <v>0</v>
      </c>
      <c r="I134" s="115"/>
      <c r="J134" s="115"/>
      <c r="K134" s="60">
        <f t="shared" si="2"/>
        <v>0</v>
      </c>
      <c r="L134" s="117"/>
    </row>
    <row r="135" ht="15.75" customHeight="1">
      <c r="A135" s="9"/>
      <c r="B135" s="164"/>
      <c r="C135" s="110"/>
      <c r="D135" s="156"/>
      <c r="E135" s="111"/>
      <c r="F135" s="112"/>
      <c r="G135" s="113"/>
      <c r="H135" s="53">
        <f t="shared" si="1"/>
        <v>0</v>
      </c>
      <c r="I135" s="115"/>
      <c r="J135" s="115"/>
      <c r="K135" s="60">
        <f t="shared" si="2"/>
        <v>0</v>
      </c>
      <c r="L135" s="117"/>
    </row>
    <row r="136" ht="15.75" customHeight="1">
      <c r="A136" s="9"/>
      <c r="B136" s="164"/>
      <c r="C136" s="110"/>
      <c r="D136" s="156"/>
      <c r="E136" s="111"/>
      <c r="F136" s="112"/>
      <c r="G136" s="113"/>
      <c r="H136" s="53">
        <f t="shared" si="1"/>
        <v>0</v>
      </c>
      <c r="I136" s="115"/>
      <c r="J136" s="115"/>
      <c r="K136" s="60">
        <f t="shared" si="2"/>
        <v>0</v>
      </c>
      <c r="L136" s="117"/>
    </row>
    <row r="137" ht="15.75" customHeight="1">
      <c r="A137" s="9"/>
      <c r="B137" s="164"/>
      <c r="C137" s="110"/>
      <c r="D137" s="156"/>
      <c r="E137" s="111"/>
      <c r="F137" s="112"/>
      <c r="G137" s="113"/>
      <c r="H137" s="53">
        <f t="shared" si="1"/>
        <v>0</v>
      </c>
      <c r="I137" s="115"/>
      <c r="J137" s="115"/>
      <c r="K137" s="60">
        <f t="shared" si="2"/>
        <v>0</v>
      </c>
      <c r="L137" s="117"/>
    </row>
    <row r="138" ht="15.75" customHeight="1">
      <c r="A138" s="9"/>
      <c r="B138" s="164"/>
      <c r="C138" s="110"/>
      <c r="D138" s="156"/>
      <c r="E138" s="111"/>
      <c r="F138" s="112"/>
      <c r="G138" s="113"/>
      <c r="H138" s="53">
        <f t="shared" si="1"/>
        <v>0</v>
      </c>
      <c r="I138" s="115"/>
      <c r="J138" s="115"/>
      <c r="K138" s="60">
        <f t="shared" si="2"/>
        <v>0</v>
      </c>
      <c r="L138" s="117"/>
    </row>
    <row r="139" ht="15.75" customHeight="1">
      <c r="A139" s="9"/>
      <c r="B139" s="164"/>
      <c r="C139" s="110"/>
      <c r="D139" s="156"/>
      <c r="E139" s="111"/>
      <c r="F139" s="112"/>
      <c r="G139" s="113"/>
      <c r="H139" s="53">
        <f t="shared" si="1"/>
        <v>0</v>
      </c>
      <c r="I139" s="115"/>
      <c r="J139" s="115"/>
      <c r="K139" s="60">
        <f t="shared" si="2"/>
        <v>0</v>
      </c>
      <c r="L139" s="117"/>
    </row>
    <row r="140" ht="15.75" customHeight="1">
      <c r="A140" s="9"/>
      <c r="B140" s="164"/>
      <c r="C140" s="110"/>
      <c r="D140" s="156"/>
      <c r="E140" s="111"/>
      <c r="F140" s="112"/>
      <c r="G140" s="113"/>
      <c r="H140" s="53">
        <f t="shared" si="1"/>
        <v>0</v>
      </c>
      <c r="I140" s="115"/>
      <c r="J140" s="115"/>
      <c r="K140" s="60">
        <f t="shared" si="2"/>
        <v>0</v>
      </c>
      <c r="L140" s="117"/>
    </row>
    <row r="141" ht="15.75" customHeight="1">
      <c r="A141" s="9"/>
      <c r="B141" s="164"/>
      <c r="C141" s="110"/>
      <c r="D141" s="156"/>
      <c r="E141" s="111"/>
      <c r="F141" s="112"/>
      <c r="G141" s="113"/>
      <c r="H141" s="53">
        <f t="shared" si="1"/>
        <v>0</v>
      </c>
      <c r="I141" s="115"/>
      <c r="J141" s="115"/>
      <c r="K141" s="60">
        <f t="shared" si="2"/>
        <v>0</v>
      </c>
      <c r="L141" s="117"/>
    </row>
    <row r="142" ht="15.75" customHeight="1">
      <c r="A142" s="9"/>
      <c r="B142" s="164"/>
      <c r="C142" s="110"/>
      <c r="D142" s="156"/>
      <c r="E142" s="111"/>
      <c r="F142" s="112"/>
      <c r="G142" s="113"/>
      <c r="H142" s="53">
        <f t="shared" si="1"/>
        <v>0</v>
      </c>
      <c r="I142" s="115"/>
      <c r="J142" s="115"/>
      <c r="K142" s="60">
        <f t="shared" si="2"/>
        <v>0</v>
      </c>
      <c r="L142" s="117"/>
    </row>
    <row r="143" ht="15.75" customHeight="1">
      <c r="A143" s="9"/>
      <c r="B143" s="164"/>
      <c r="C143" s="110"/>
      <c r="D143" s="156"/>
      <c r="E143" s="111"/>
      <c r="F143" s="112"/>
      <c r="G143" s="113"/>
      <c r="H143" s="53">
        <f t="shared" si="1"/>
        <v>0</v>
      </c>
      <c r="I143" s="115"/>
      <c r="J143" s="115"/>
      <c r="K143" s="60">
        <f t="shared" si="2"/>
        <v>0</v>
      </c>
      <c r="L143" s="117"/>
    </row>
    <row r="144" ht="15.75" customHeight="1">
      <c r="A144" s="9"/>
      <c r="B144" s="164"/>
      <c r="C144" s="110"/>
      <c r="D144" s="156"/>
      <c r="E144" s="111"/>
      <c r="F144" s="112"/>
      <c r="G144" s="113"/>
      <c r="H144" s="53">
        <f t="shared" si="1"/>
        <v>0</v>
      </c>
      <c r="I144" s="115"/>
      <c r="J144" s="115"/>
      <c r="K144" s="60">
        <f t="shared" si="2"/>
        <v>0</v>
      </c>
      <c r="L144" s="117"/>
    </row>
    <row r="145" ht="15.75" customHeight="1">
      <c r="A145" s="9"/>
      <c r="B145" s="164"/>
      <c r="C145" s="110"/>
      <c r="D145" s="156"/>
      <c r="E145" s="111"/>
      <c r="F145" s="112"/>
      <c r="G145" s="113"/>
      <c r="H145" s="53">
        <f t="shared" si="1"/>
        <v>0</v>
      </c>
      <c r="I145" s="115"/>
      <c r="J145" s="115"/>
      <c r="K145" s="60">
        <f t="shared" si="2"/>
        <v>0</v>
      </c>
      <c r="L145" s="117"/>
    </row>
    <row r="146" ht="15.75" customHeight="1">
      <c r="A146" s="9"/>
      <c r="B146" s="164"/>
      <c r="C146" s="110"/>
      <c r="D146" s="156"/>
      <c r="E146" s="111"/>
      <c r="F146" s="112"/>
      <c r="G146" s="113"/>
      <c r="H146" s="53">
        <f t="shared" si="1"/>
        <v>0</v>
      </c>
      <c r="I146" s="115"/>
      <c r="J146" s="115"/>
      <c r="K146" s="60">
        <f t="shared" si="2"/>
        <v>0</v>
      </c>
      <c r="L146" s="117"/>
    </row>
    <row r="147" ht="15.75" customHeight="1">
      <c r="A147" s="9"/>
      <c r="B147" s="164"/>
      <c r="C147" s="110"/>
      <c r="D147" s="156"/>
      <c r="E147" s="111"/>
      <c r="F147" s="112"/>
      <c r="G147" s="113"/>
      <c r="H147" s="53">
        <f t="shared" si="1"/>
        <v>0</v>
      </c>
      <c r="I147" s="115"/>
      <c r="J147" s="115"/>
      <c r="K147" s="60">
        <f t="shared" si="2"/>
        <v>0</v>
      </c>
      <c r="L147" s="117"/>
    </row>
    <row r="148" ht="15.75" customHeight="1">
      <c r="A148" s="9"/>
      <c r="B148" s="164"/>
      <c r="C148" s="110"/>
      <c r="D148" s="156"/>
      <c r="E148" s="111"/>
      <c r="F148" s="112"/>
      <c r="G148" s="113"/>
      <c r="H148" s="53">
        <f t="shared" si="1"/>
        <v>0</v>
      </c>
      <c r="I148" s="115"/>
      <c r="J148" s="115"/>
      <c r="K148" s="60">
        <f t="shared" si="2"/>
        <v>0</v>
      </c>
      <c r="L148" s="117"/>
    </row>
    <row r="149" ht="15.75" customHeight="1">
      <c r="A149" s="9"/>
      <c r="B149" s="164"/>
      <c r="C149" s="110"/>
      <c r="D149" s="156"/>
      <c r="E149" s="111"/>
      <c r="F149" s="112"/>
      <c r="G149" s="113"/>
      <c r="H149" s="53">
        <f t="shared" si="1"/>
        <v>0</v>
      </c>
      <c r="I149" s="115"/>
      <c r="J149" s="115"/>
      <c r="K149" s="60">
        <f t="shared" si="2"/>
        <v>0</v>
      </c>
      <c r="L149" s="117"/>
    </row>
    <row r="150" ht="15.75" customHeight="1">
      <c r="A150" s="9"/>
      <c r="B150" s="164"/>
      <c r="C150" s="110"/>
      <c r="D150" s="156"/>
      <c r="E150" s="111"/>
      <c r="F150" s="112"/>
      <c r="G150" s="113"/>
      <c r="H150" s="53">
        <f t="shared" si="1"/>
        <v>0</v>
      </c>
      <c r="I150" s="115"/>
      <c r="J150" s="115"/>
      <c r="K150" s="60">
        <f t="shared" si="2"/>
        <v>0</v>
      </c>
      <c r="L150" s="117"/>
    </row>
    <row r="151" ht="15.75" customHeight="1">
      <c r="A151" s="9"/>
      <c r="B151" s="164"/>
      <c r="C151" s="110"/>
      <c r="D151" s="156"/>
      <c r="E151" s="111"/>
      <c r="F151" s="112"/>
      <c r="G151" s="113"/>
      <c r="H151" s="53">
        <f t="shared" si="1"/>
        <v>0</v>
      </c>
      <c r="I151" s="115"/>
      <c r="J151" s="115"/>
      <c r="K151" s="60">
        <f t="shared" si="2"/>
        <v>0</v>
      </c>
      <c r="L151" s="117"/>
    </row>
    <row r="152" ht="15.75" customHeight="1">
      <c r="A152" s="9"/>
      <c r="B152" s="164"/>
      <c r="C152" s="110"/>
      <c r="D152" s="156"/>
      <c r="E152" s="111"/>
      <c r="F152" s="112"/>
      <c r="G152" s="113"/>
      <c r="H152" s="53">
        <f t="shared" si="1"/>
        <v>0</v>
      </c>
      <c r="I152" s="115"/>
      <c r="J152" s="115"/>
      <c r="K152" s="60">
        <f t="shared" si="2"/>
        <v>0</v>
      </c>
      <c r="L152" s="117"/>
    </row>
    <row r="153" ht="15.75" customHeight="1">
      <c r="A153" s="9"/>
      <c r="B153" s="164"/>
      <c r="C153" s="110"/>
      <c r="D153" s="156"/>
      <c r="E153" s="111"/>
      <c r="F153" s="112"/>
      <c r="G153" s="113"/>
      <c r="H153" s="53">
        <f t="shared" si="1"/>
        <v>0</v>
      </c>
      <c r="I153" s="115"/>
      <c r="J153" s="115"/>
      <c r="K153" s="60">
        <f t="shared" si="2"/>
        <v>0</v>
      </c>
      <c r="L153" s="117"/>
    </row>
    <row r="154" ht="15.75" customHeight="1">
      <c r="A154" s="9"/>
      <c r="B154" s="164"/>
      <c r="C154" s="110"/>
      <c r="D154" s="156"/>
      <c r="E154" s="111"/>
      <c r="F154" s="112"/>
      <c r="G154" s="113"/>
      <c r="H154" s="53">
        <f t="shared" si="1"/>
        <v>0</v>
      </c>
      <c r="I154" s="115"/>
      <c r="J154" s="115"/>
      <c r="K154" s="60">
        <f t="shared" si="2"/>
        <v>0</v>
      </c>
      <c r="L154" s="117"/>
    </row>
    <row r="155" ht="15.75" customHeight="1">
      <c r="A155" s="9"/>
      <c r="B155" s="164"/>
      <c r="C155" s="110"/>
      <c r="D155" s="156"/>
      <c r="E155" s="111"/>
      <c r="F155" s="112"/>
      <c r="G155" s="113"/>
      <c r="H155" s="53">
        <f t="shared" si="1"/>
        <v>0</v>
      </c>
      <c r="I155" s="115"/>
      <c r="J155" s="115"/>
      <c r="K155" s="60">
        <f t="shared" si="2"/>
        <v>0</v>
      </c>
      <c r="L155" s="117"/>
    </row>
    <row r="156" ht="15.75" customHeight="1">
      <c r="A156" s="9"/>
      <c r="B156" s="164"/>
      <c r="C156" s="110"/>
      <c r="D156" s="156"/>
      <c r="E156" s="111"/>
      <c r="F156" s="112"/>
      <c r="G156" s="113"/>
      <c r="H156" s="53">
        <f t="shared" si="1"/>
        <v>0</v>
      </c>
      <c r="I156" s="115"/>
      <c r="J156" s="115"/>
      <c r="K156" s="60">
        <f t="shared" si="2"/>
        <v>0</v>
      </c>
      <c r="L156" s="117"/>
    </row>
    <row r="157" ht="15.75" customHeight="1">
      <c r="A157" s="9"/>
      <c r="B157" s="164"/>
      <c r="C157" s="110"/>
      <c r="D157" s="156"/>
      <c r="E157" s="111"/>
      <c r="F157" s="112"/>
      <c r="G157" s="113"/>
      <c r="H157" s="53">
        <f t="shared" si="1"/>
        <v>0</v>
      </c>
      <c r="I157" s="115"/>
      <c r="J157" s="115"/>
      <c r="K157" s="60">
        <f t="shared" si="2"/>
        <v>0</v>
      </c>
      <c r="L157" s="117"/>
    </row>
    <row r="158" ht="15.75" customHeight="1">
      <c r="A158" s="9"/>
      <c r="B158" s="164"/>
      <c r="C158" s="110"/>
      <c r="D158" s="156"/>
      <c r="E158" s="111"/>
      <c r="F158" s="112"/>
      <c r="G158" s="113"/>
      <c r="H158" s="53">
        <f t="shared" si="1"/>
        <v>0</v>
      </c>
      <c r="I158" s="115"/>
      <c r="J158" s="115"/>
      <c r="K158" s="60">
        <f t="shared" si="2"/>
        <v>0</v>
      </c>
      <c r="L158" s="117"/>
    </row>
    <row r="159" ht="15.75" customHeight="1">
      <c r="A159" s="9"/>
      <c r="B159" s="164"/>
      <c r="C159" s="110"/>
      <c r="D159" s="156"/>
      <c r="E159" s="111"/>
      <c r="F159" s="112"/>
      <c r="G159" s="113"/>
      <c r="H159" s="53">
        <f t="shared" si="1"/>
        <v>0</v>
      </c>
      <c r="I159" s="115"/>
      <c r="J159" s="115"/>
      <c r="K159" s="60">
        <f t="shared" si="2"/>
        <v>0</v>
      </c>
      <c r="L159" s="117"/>
    </row>
    <row r="160" ht="15.75" customHeight="1">
      <c r="A160" s="9"/>
      <c r="B160" s="164"/>
      <c r="C160" s="110"/>
      <c r="D160" s="156"/>
      <c r="E160" s="111"/>
      <c r="F160" s="112"/>
      <c r="G160" s="113"/>
      <c r="H160" s="53">
        <f t="shared" si="1"/>
        <v>0</v>
      </c>
      <c r="I160" s="115"/>
      <c r="J160" s="115"/>
      <c r="K160" s="60">
        <f t="shared" si="2"/>
        <v>0</v>
      </c>
      <c r="L160" s="117"/>
    </row>
    <row r="161" ht="15.75" customHeight="1">
      <c r="A161" s="9"/>
      <c r="B161" s="164"/>
      <c r="C161" s="110"/>
      <c r="D161" s="156"/>
      <c r="E161" s="111"/>
      <c r="F161" s="112"/>
      <c r="G161" s="113"/>
      <c r="H161" s="53">
        <f t="shared" si="1"/>
        <v>0</v>
      </c>
      <c r="I161" s="115"/>
      <c r="J161" s="115"/>
      <c r="K161" s="60">
        <f t="shared" si="2"/>
        <v>0</v>
      </c>
      <c r="L161" s="117"/>
    </row>
    <row r="162" ht="15.75" customHeight="1">
      <c r="A162" s="9"/>
      <c r="B162" s="164"/>
      <c r="C162" s="110"/>
      <c r="D162" s="156"/>
      <c r="E162" s="111"/>
      <c r="F162" s="112"/>
      <c r="G162" s="113"/>
      <c r="H162" s="53">
        <f t="shared" si="1"/>
        <v>0</v>
      </c>
      <c r="I162" s="115"/>
      <c r="J162" s="115"/>
      <c r="K162" s="60">
        <f t="shared" si="2"/>
        <v>0</v>
      </c>
      <c r="L162" s="117"/>
    </row>
    <row r="163" ht="15.75" customHeight="1">
      <c r="A163" s="9"/>
      <c r="B163" s="164"/>
      <c r="C163" s="110"/>
      <c r="D163" s="156"/>
      <c r="E163" s="111"/>
      <c r="F163" s="112"/>
      <c r="G163" s="113"/>
      <c r="H163" s="53">
        <f t="shared" si="1"/>
        <v>0</v>
      </c>
      <c r="I163" s="115"/>
      <c r="J163" s="115"/>
      <c r="K163" s="60">
        <f t="shared" si="2"/>
        <v>0</v>
      </c>
      <c r="L163" s="117"/>
    </row>
    <row r="164" ht="15.75" customHeight="1">
      <c r="A164" s="9"/>
      <c r="B164" s="164"/>
      <c r="C164" s="110"/>
      <c r="D164" s="156"/>
      <c r="E164" s="111"/>
      <c r="F164" s="112"/>
      <c r="G164" s="113"/>
      <c r="H164" s="53">
        <f t="shared" si="1"/>
        <v>0</v>
      </c>
      <c r="I164" s="115"/>
      <c r="J164" s="115"/>
      <c r="K164" s="60">
        <f t="shared" si="2"/>
        <v>0</v>
      </c>
      <c r="L164" s="117"/>
    </row>
    <row r="165" ht="15.75" customHeight="1">
      <c r="A165" s="9"/>
      <c r="B165" s="164"/>
      <c r="C165" s="110"/>
      <c r="D165" s="156"/>
      <c r="E165" s="111"/>
      <c r="F165" s="112"/>
      <c r="G165" s="113"/>
      <c r="H165" s="53">
        <f t="shared" si="1"/>
        <v>0</v>
      </c>
      <c r="I165" s="115"/>
      <c r="J165" s="115"/>
      <c r="K165" s="60">
        <f t="shared" si="2"/>
        <v>0</v>
      </c>
      <c r="L165" s="117"/>
    </row>
    <row r="166" ht="15.75" customHeight="1">
      <c r="A166" s="9"/>
      <c r="B166" s="164"/>
      <c r="C166" s="110"/>
      <c r="D166" s="156"/>
      <c r="E166" s="111"/>
      <c r="F166" s="112"/>
      <c r="G166" s="113"/>
      <c r="H166" s="53">
        <f t="shared" si="1"/>
        <v>0</v>
      </c>
      <c r="I166" s="115"/>
      <c r="J166" s="115"/>
      <c r="K166" s="60">
        <f t="shared" si="2"/>
        <v>0</v>
      </c>
      <c r="L166" s="117"/>
    </row>
    <row r="167" ht="15.75" customHeight="1">
      <c r="A167" s="9"/>
      <c r="B167" s="164"/>
      <c r="C167" s="110"/>
      <c r="D167" s="156"/>
      <c r="E167" s="111"/>
      <c r="F167" s="112"/>
      <c r="G167" s="113"/>
      <c r="H167" s="53">
        <f t="shared" si="1"/>
        <v>0</v>
      </c>
      <c r="I167" s="115"/>
      <c r="J167" s="115"/>
      <c r="K167" s="60">
        <f t="shared" si="2"/>
        <v>0</v>
      </c>
      <c r="L167" s="117"/>
    </row>
    <row r="168" ht="15.75" customHeight="1">
      <c r="A168" s="9"/>
      <c r="B168" s="164"/>
      <c r="C168" s="110"/>
      <c r="D168" s="156"/>
      <c r="E168" s="111"/>
      <c r="F168" s="112"/>
      <c r="G168" s="113"/>
      <c r="H168" s="53">
        <f t="shared" si="1"/>
        <v>0</v>
      </c>
      <c r="I168" s="115"/>
      <c r="J168" s="115"/>
      <c r="K168" s="60">
        <f t="shared" si="2"/>
        <v>0</v>
      </c>
      <c r="L168" s="117"/>
    </row>
    <row r="169" ht="15.75" customHeight="1">
      <c r="A169" s="9"/>
      <c r="B169" s="164"/>
      <c r="C169" s="110"/>
      <c r="D169" s="156"/>
      <c r="E169" s="111"/>
      <c r="F169" s="112"/>
      <c r="G169" s="113"/>
      <c r="H169" s="53">
        <f t="shared" si="1"/>
        <v>0</v>
      </c>
      <c r="I169" s="115"/>
      <c r="J169" s="115"/>
      <c r="K169" s="60">
        <f t="shared" si="2"/>
        <v>0</v>
      </c>
      <c r="L169" s="117"/>
    </row>
    <row r="170" ht="15.75" customHeight="1">
      <c r="A170" s="9"/>
      <c r="B170" s="164"/>
      <c r="C170" s="110"/>
      <c r="D170" s="156"/>
      <c r="E170" s="111"/>
      <c r="F170" s="112"/>
      <c r="G170" s="113"/>
      <c r="H170" s="53">
        <f t="shared" si="1"/>
        <v>0</v>
      </c>
      <c r="I170" s="115"/>
      <c r="J170" s="115"/>
      <c r="K170" s="60">
        <f t="shared" si="2"/>
        <v>0</v>
      </c>
      <c r="L170" s="117"/>
    </row>
    <row r="171" ht="15.75" customHeight="1">
      <c r="A171" s="9"/>
      <c r="B171" s="164"/>
      <c r="C171" s="110"/>
      <c r="D171" s="156"/>
      <c r="E171" s="111"/>
      <c r="F171" s="112"/>
      <c r="G171" s="113"/>
      <c r="H171" s="53">
        <f t="shared" si="1"/>
        <v>0</v>
      </c>
      <c r="I171" s="115"/>
      <c r="J171" s="115"/>
      <c r="K171" s="60">
        <f t="shared" si="2"/>
        <v>0</v>
      </c>
      <c r="L171" s="117"/>
    </row>
    <row r="172" ht="15.75" customHeight="1">
      <c r="A172" s="9"/>
      <c r="B172" s="164"/>
      <c r="C172" s="110"/>
      <c r="D172" s="156"/>
      <c r="E172" s="111"/>
      <c r="F172" s="112"/>
      <c r="G172" s="113"/>
      <c r="H172" s="53">
        <f t="shared" si="1"/>
        <v>0</v>
      </c>
      <c r="I172" s="115"/>
      <c r="J172" s="115"/>
      <c r="K172" s="60">
        <f t="shared" si="2"/>
        <v>0</v>
      </c>
      <c r="L172" s="117"/>
    </row>
    <row r="173" ht="15.75" customHeight="1">
      <c r="A173" s="9"/>
      <c r="B173" s="164"/>
      <c r="C173" s="110"/>
      <c r="D173" s="156"/>
      <c r="E173" s="111"/>
      <c r="F173" s="112"/>
      <c r="G173" s="113"/>
      <c r="H173" s="53">
        <f t="shared" si="1"/>
        <v>0</v>
      </c>
      <c r="I173" s="115"/>
      <c r="J173" s="115"/>
      <c r="K173" s="60">
        <f t="shared" si="2"/>
        <v>0</v>
      </c>
      <c r="L173" s="117"/>
    </row>
    <row r="174" ht="15.75" customHeight="1">
      <c r="A174" s="9"/>
      <c r="B174" s="164"/>
      <c r="C174" s="110"/>
      <c r="D174" s="156"/>
      <c r="E174" s="111"/>
      <c r="F174" s="112"/>
      <c r="G174" s="113"/>
      <c r="H174" s="53">
        <f t="shared" si="1"/>
        <v>0</v>
      </c>
      <c r="I174" s="115"/>
      <c r="J174" s="115"/>
      <c r="K174" s="60">
        <f t="shared" si="2"/>
        <v>0</v>
      </c>
      <c r="L174" s="117"/>
    </row>
    <row r="175" ht="15.75" customHeight="1">
      <c r="A175" s="9"/>
      <c r="B175" s="164"/>
      <c r="C175" s="110"/>
      <c r="D175" s="156"/>
      <c r="E175" s="111"/>
      <c r="F175" s="112"/>
      <c r="G175" s="113"/>
      <c r="H175" s="53">
        <f t="shared" si="1"/>
        <v>0</v>
      </c>
      <c r="I175" s="115"/>
      <c r="J175" s="115"/>
      <c r="K175" s="60">
        <f t="shared" si="2"/>
        <v>0</v>
      </c>
      <c r="L175" s="117"/>
    </row>
    <row r="176" ht="15.75" customHeight="1">
      <c r="A176" s="9"/>
      <c r="B176" s="164"/>
      <c r="C176" s="110"/>
      <c r="D176" s="156"/>
      <c r="E176" s="111"/>
      <c r="F176" s="112"/>
      <c r="G176" s="113"/>
      <c r="H176" s="53">
        <f t="shared" si="1"/>
        <v>0</v>
      </c>
      <c r="I176" s="115"/>
      <c r="J176" s="115"/>
      <c r="K176" s="60">
        <f t="shared" si="2"/>
        <v>0</v>
      </c>
      <c r="L176" s="117"/>
    </row>
    <row r="177" ht="15.75" customHeight="1">
      <c r="A177" s="9"/>
      <c r="B177" s="164"/>
      <c r="C177" s="110"/>
      <c r="D177" s="156"/>
      <c r="E177" s="111"/>
      <c r="F177" s="112"/>
      <c r="G177" s="113"/>
      <c r="H177" s="53">
        <f t="shared" si="1"/>
        <v>0</v>
      </c>
      <c r="I177" s="115"/>
      <c r="J177" s="115"/>
      <c r="K177" s="60">
        <f t="shared" si="2"/>
        <v>0</v>
      </c>
      <c r="L177" s="117"/>
    </row>
    <row r="178" ht="15.75" customHeight="1">
      <c r="A178" s="9"/>
      <c r="B178" s="164"/>
      <c r="C178" s="110"/>
      <c r="D178" s="156"/>
      <c r="E178" s="111"/>
      <c r="F178" s="112"/>
      <c r="G178" s="113"/>
      <c r="H178" s="53">
        <f t="shared" si="1"/>
        <v>0</v>
      </c>
      <c r="I178" s="115"/>
      <c r="J178" s="115"/>
      <c r="K178" s="60">
        <f t="shared" si="2"/>
        <v>0</v>
      </c>
      <c r="L178" s="117"/>
    </row>
    <row r="179" ht="15.75" customHeight="1">
      <c r="A179" s="9"/>
      <c r="B179" s="164"/>
      <c r="C179" s="110"/>
      <c r="D179" s="156"/>
      <c r="E179" s="111"/>
      <c r="F179" s="112"/>
      <c r="G179" s="113"/>
      <c r="H179" s="53">
        <f t="shared" si="1"/>
        <v>0</v>
      </c>
      <c r="I179" s="115"/>
      <c r="J179" s="115"/>
      <c r="K179" s="60">
        <f t="shared" si="2"/>
        <v>0</v>
      </c>
      <c r="L179" s="117"/>
    </row>
    <row r="180" ht="15.75" customHeight="1">
      <c r="A180" s="9"/>
      <c r="B180" s="164"/>
      <c r="C180" s="110"/>
      <c r="D180" s="156"/>
      <c r="E180" s="111"/>
      <c r="F180" s="112"/>
      <c r="G180" s="113"/>
      <c r="H180" s="53">
        <f t="shared" si="1"/>
        <v>0</v>
      </c>
      <c r="I180" s="115"/>
      <c r="J180" s="115"/>
      <c r="K180" s="60">
        <f t="shared" si="2"/>
        <v>0</v>
      </c>
      <c r="L180" s="117"/>
    </row>
    <row r="181" ht="15.75" customHeight="1">
      <c r="A181" s="9"/>
      <c r="B181" s="164"/>
      <c r="C181" s="110"/>
      <c r="D181" s="156"/>
      <c r="E181" s="111"/>
      <c r="F181" s="112"/>
      <c r="G181" s="113"/>
      <c r="H181" s="53">
        <f t="shared" si="1"/>
        <v>0</v>
      </c>
      <c r="I181" s="115"/>
      <c r="J181" s="115"/>
      <c r="K181" s="60">
        <f t="shared" si="2"/>
        <v>0</v>
      </c>
      <c r="L181" s="117"/>
    </row>
    <row r="182" ht="15.75" customHeight="1">
      <c r="A182" s="9"/>
      <c r="B182" s="164"/>
      <c r="C182" s="110"/>
      <c r="D182" s="156"/>
      <c r="E182" s="111"/>
      <c r="F182" s="112"/>
      <c r="G182" s="113"/>
      <c r="H182" s="53">
        <f t="shared" si="1"/>
        <v>0</v>
      </c>
      <c r="I182" s="115"/>
      <c r="J182" s="115"/>
      <c r="K182" s="60">
        <f t="shared" si="2"/>
        <v>0</v>
      </c>
      <c r="L182" s="117"/>
    </row>
    <row r="183" ht="15.75" customHeight="1">
      <c r="A183" s="9"/>
      <c r="B183" s="164"/>
      <c r="C183" s="110"/>
      <c r="D183" s="156"/>
      <c r="E183" s="111"/>
      <c r="F183" s="112"/>
      <c r="G183" s="113"/>
      <c r="H183" s="53">
        <f t="shared" si="1"/>
        <v>0</v>
      </c>
      <c r="I183" s="115"/>
      <c r="J183" s="115"/>
      <c r="K183" s="60">
        <f t="shared" si="2"/>
        <v>0</v>
      </c>
      <c r="L183" s="117"/>
    </row>
    <row r="184" ht="15.75" customHeight="1">
      <c r="A184" s="9"/>
      <c r="B184" s="164"/>
      <c r="C184" s="110"/>
      <c r="D184" s="156"/>
      <c r="E184" s="111"/>
      <c r="F184" s="112"/>
      <c r="G184" s="113"/>
      <c r="H184" s="53">
        <f t="shared" si="1"/>
        <v>0</v>
      </c>
      <c r="I184" s="115"/>
      <c r="J184" s="115"/>
      <c r="K184" s="60">
        <f t="shared" si="2"/>
        <v>0</v>
      </c>
      <c r="L184" s="117"/>
    </row>
    <row r="185" ht="15.75" customHeight="1">
      <c r="A185" s="9"/>
      <c r="B185" s="164"/>
      <c r="C185" s="110"/>
      <c r="D185" s="156"/>
      <c r="E185" s="111"/>
      <c r="F185" s="112"/>
      <c r="G185" s="113"/>
      <c r="H185" s="53">
        <f t="shared" si="1"/>
        <v>0</v>
      </c>
      <c r="I185" s="115"/>
      <c r="J185" s="115"/>
      <c r="K185" s="60">
        <f t="shared" si="2"/>
        <v>0</v>
      </c>
      <c r="L185" s="117"/>
    </row>
    <row r="186" ht="15.75" customHeight="1">
      <c r="A186" s="9"/>
      <c r="B186" s="164"/>
      <c r="C186" s="110"/>
      <c r="D186" s="156"/>
      <c r="E186" s="111"/>
      <c r="F186" s="112"/>
      <c r="G186" s="113"/>
      <c r="H186" s="53">
        <f t="shared" si="1"/>
        <v>0</v>
      </c>
      <c r="I186" s="115"/>
      <c r="J186" s="115"/>
      <c r="K186" s="60">
        <f t="shared" si="2"/>
        <v>0</v>
      </c>
      <c r="L186" s="117"/>
    </row>
    <row r="187" ht="15.75" customHeight="1">
      <c r="A187" s="9"/>
      <c r="B187" s="164"/>
      <c r="C187" s="110"/>
      <c r="D187" s="156"/>
      <c r="E187" s="111"/>
      <c r="F187" s="112"/>
      <c r="G187" s="113"/>
      <c r="H187" s="53">
        <f t="shared" si="1"/>
        <v>0</v>
      </c>
      <c r="I187" s="115"/>
      <c r="J187" s="115"/>
      <c r="K187" s="60">
        <f t="shared" si="2"/>
        <v>0</v>
      </c>
      <c r="L187" s="117"/>
    </row>
    <row r="188" ht="15.75" customHeight="1">
      <c r="A188" s="9"/>
      <c r="B188" s="164"/>
      <c r="C188" s="110"/>
      <c r="D188" s="156"/>
      <c r="E188" s="111"/>
      <c r="F188" s="112"/>
      <c r="G188" s="113"/>
      <c r="H188" s="53">
        <f t="shared" si="1"/>
        <v>0</v>
      </c>
      <c r="I188" s="115"/>
      <c r="J188" s="115"/>
      <c r="K188" s="60">
        <f t="shared" si="2"/>
        <v>0</v>
      </c>
      <c r="L188" s="117"/>
    </row>
    <row r="189" ht="15.75" customHeight="1">
      <c r="A189" s="9"/>
      <c r="B189" s="164"/>
      <c r="C189" s="110"/>
      <c r="D189" s="156"/>
      <c r="E189" s="111"/>
      <c r="F189" s="112"/>
      <c r="G189" s="113"/>
      <c r="H189" s="53">
        <f t="shared" si="1"/>
        <v>0</v>
      </c>
      <c r="I189" s="115"/>
      <c r="J189" s="115"/>
      <c r="K189" s="60">
        <f t="shared" si="2"/>
        <v>0</v>
      </c>
      <c r="L189" s="117"/>
    </row>
    <row r="190" ht="15.75" customHeight="1">
      <c r="A190" s="9"/>
      <c r="B190" s="164"/>
      <c r="C190" s="110"/>
      <c r="D190" s="156"/>
      <c r="E190" s="111"/>
      <c r="F190" s="112"/>
      <c r="G190" s="113"/>
      <c r="H190" s="53">
        <f t="shared" si="1"/>
        <v>0</v>
      </c>
      <c r="I190" s="115"/>
      <c r="J190" s="115"/>
      <c r="K190" s="60">
        <f t="shared" si="2"/>
        <v>0</v>
      </c>
      <c r="L190" s="117"/>
    </row>
    <row r="191" ht="15.75" customHeight="1">
      <c r="A191" s="9"/>
      <c r="B191" s="164"/>
      <c r="C191" s="110"/>
      <c r="D191" s="156"/>
      <c r="E191" s="111"/>
      <c r="F191" s="112"/>
      <c r="G191" s="113"/>
      <c r="H191" s="53">
        <f t="shared" si="1"/>
        <v>0</v>
      </c>
      <c r="I191" s="115"/>
      <c r="J191" s="115"/>
      <c r="K191" s="60">
        <f t="shared" si="2"/>
        <v>0</v>
      </c>
      <c r="L191" s="117"/>
    </row>
    <row r="192" ht="15.75" customHeight="1">
      <c r="A192" s="9"/>
      <c r="B192" s="164"/>
      <c r="C192" s="110"/>
      <c r="D192" s="156"/>
      <c r="E192" s="111"/>
      <c r="F192" s="112"/>
      <c r="G192" s="113"/>
      <c r="H192" s="53">
        <f t="shared" si="1"/>
        <v>0</v>
      </c>
      <c r="I192" s="115"/>
      <c r="J192" s="115"/>
      <c r="K192" s="60">
        <f t="shared" si="2"/>
        <v>0</v>
      </c>
      <c r="L192" s="117"/>
    </row>
    <row r="193" ht="15.75" customHeight="1">
      <c r="A193" s="9"/>
      <c r="B193" s="164"/>
      <c r="C193" s="110"/>
      <c r="D193" s="156"/>
      <c r="E193" s="111"/>
      <c r="F193" s="112"/>
      <c r="G193" s="113"/>
      <c r="H193" s="53">
        <f t="shared" si="1"/>
        <v>0</v>
      </c>
      <c r="I193" s="115"/>
      <c r="J193" s="115"/>
      <c r="K193" s="60">
        <f t="shared" si="2"/>
        <v>0</v>
      </c>
      <c r="L193" s="117"/>
    </row>
    <row r="194" ht="15.75" customHeight="1">
      <c r="A194" s="9"/>
      <c r="B194" s="164"/>
      <c r="C194" s="110"/>
      <c r="D194" s="156"/>
      <c r="E194" s="111"/>
      <c r="F194" s="112"/>
      <c r="G194" s="113"/>
      <c r="H194" s="53">
        <f t="shared" si="1"/>
        <v>0</v>
      </c>
      <c r="I194" s="115"/>
      <c r="J194" s="115"/>
      <c r="K194" s="60">
        <f t="shared" si="2"/>
        <v>0</v>
      </c>
      <c r="L194" s="117"/>
    </row>
    <row r="195" ht="15.75" customHeight="1">
      <c r="A195" s="9"/>
      <c r="B195" s="164"/>
      <c r="C195" s="110"/>
      <c r="D195" s="156"/>
      <c r="E195" s="111"/>
      <c r="F195" s="112"/>
      <c r="G195" s="113"/>
      <c r="H195" s="53">
        <f t="shared" si="1"/>
        <v>0</v>
      </c>
      <c r="I195" s="115"/>
      <c r="J195" s="115"/>
      <c r="K195" s="60">
        <f t="shared" si="2"/>
        <v>0</v>
      </c>
      <c r="L195" s="117"/>
    </row>
    <row r="196" ht="15.75" customHeight="1">
      <c r="A196" s="9"/>
      <c r="B196" s="164"/>
      <c r="C196" s="110"/>
      <c r="D196" s="156"/>
      <c r="E196" s="111"/>
      <c r="F196" s="112"/>
      <c r="G196" s="113"/>
      <c r="H196" s="53">
        <f t="shared" si="1"/>
        <v>0</v>
      </c>
      <c r="I196" s="115"/>
      <c r="J196" s="115"/>
      <c r="K196" s="60">
        <f t="shared" si="2"/>
        <v>0</v>
      </c>
      <c r="L196" s="117"/>
    </row>
    <row r="197" ht="15.75" customHeight="1">
      <c r="A197" s="9"/>
      <c r="B197" s="164"/>
      <c r="C197" s="110"/>
      <c r="D197" s="156"/>
      <c r="E197" s="111"/>
      <c r="F197" s="112"/>
      <c r="G197" s="113"/>
      <c r="H197" s="53">
        <f t="shared" si="1"/>
        <v>0</v>
      </c>
      <c r="I197" s="115"/>
      <c r="J197" s="115"/>
      <c r="K197" s="60">
        <f t="shared" si="2"/>
        <v>0</v>
      </c>
      <c r="L197" s="117"/>
    </row>
    <row r="198" ht="15.75" customHeight="1">
      <c r="A198" s="9"/>
      <c r="B198" s="164"/>
      <c r="C198" s="110"/>
      <c r="D198" s="156"/>
      <c r="E198" s="111"/>
      <c r="F198" s="112"/>
      <c r="G198" s="113"/>
      <c r="H198" s="53">
        <f t="shared" si="1"/>
        <v>0</v>
      </c>
      <c r="I198" s="115"/>
      <c r="J198" s="115"/>
      <c r="K198" s="60">
        <f t="shared" si="2"/>
        <v>0</v>
      </c>
      <c r="L198" s="117"/>
    </row>
    <row r="199" ht="15.75" customHeight="1">
      <c r="A199" s="9"/>
      <c r="B199" s="164"/>
      <c r="C199" s="110"/>
      <c r="D199" s="156"/>
      <c r="E199" s="111"/>
      <c r="F199" s="112"/>
      <c r="G199" s="113"/>
      <c r="H199" s="53">
        <f t="shared" si="1"/>
        <v>0</v>
      </c>
      <c r="I199" s="115"/>
      <c r="J199" s="115"/>
      <c r="K199" s="60">
        <f t="shared" si="2"/>
        <v>0</v>
      </c>
      <c r="L199" s="117"/>
    </row>
    <row r="200" ht="15.75" customHeight="1">
      <c r="A200" s="9"/>
      <c r="B200" s="164"/>
      <c r="C200" s="110"/>
      <c r="D200" s="156"/>
      <c r="E200" s="111"/>
      <c r="F200" s="112"/>
      <c r="G200" s="113"/>
      <c r="H200" s="53">
        <f t="shared" si="1"/>
        <v>0</v>
      </c>
      <c r="I200" s="115"/>
      <c r="J200" s="115"/>
      <c r="K200" s="60">
        <f t="shared" si="2"/>
        <v>0</v>
      </c>
      <c r="L200" s="117"/>
    </row>
    <row r="201" ht="15.75" customHeight="1">
      <c r="A201" s="9"/>
      <c r="B201" s="164"/>
      <c r="C201" s="110"/>
      <c r="D201" s="156"/>
      <c r="E201" s="111"/>
      <c r="F201" s="112"/>
      <c r="G201" s="113"/>
      <c r="H201" s="53">
        <f t="shared" si="1"/>
        <v>0</v>
      </c>
      <c r="I201" s="115"/>
      <c r="J201" s="115"/>
      <c r="K201" s="60">
        <f t="shared" si="2"/>
        <v>0</v>
      </c>
      <c r="L201" s="117"/>
    </row>
    <row r="202" ht="15.75" customHeight="1">
      <c r="A202" s="9"/>
      <c r="B202" s="164"/>
      <c r="C202" s="110"/>
      <c r="D202" s="156"/>
      <c r="E202" s="111"/>
      <c r="F202" s="112"/>
      <c r="G202" s="113"/>
      <c r="H202" s="53">
        <f t="shared" si="1"/>
        <v>0</v>
      </c>
      <c r="I202" s="115"/>
      <c r="J202" s="115"/>
      <c r="K202" s="60">
        <f t="shared" si="2"/>
        <v>0</v>
      </c>
      <c r="L202" s="117"/>
    </row>
    <row r="203" ht="15.75" customHeight="1">
      <c r="A203" s="9"/>
      <c r="B203" s="164"/>
      <c r="C203" s="110"/>
      <c r="D203" s="156"/>
      <c r="E203" s="111"/>
      <c r="F203" s="112"/>
      <c r="G203" s="113"/>
      <c r="H203" s="53">
        <f t="shared" si="1"/>
        <v>0</v>
      </c>
      <c r="I203" s="115"/>
      <c r="J203" s="115"/>
      <c r="K203" s="60">
        <f t="shared" si="2"/>
        <v>0</v>
      </c>
      <c r="L203" s="117"/>
    </row>
    <row r="204" ht="15.75" customHeight="1">
      <c r="A204" s="9"/>
      <c r="B204" s="164"/>
      <c r="C204" s="110"/>
      <c r="D204" s="156"/>
      <c r="E204" s="111"/>
      <c r="F204" s="112"/>
      <c r="G204" s="113"/>
      <c r="H204" s="53">
        <f t="shared" si="1"/>
        <v>0</v>
      </c>
      <c r="I204" s="115"/>
      <c r="J204" s="115"/>
      <c r="K204" s="60">
        <f t="shared" si="2"/>
        <v>0</v>
      </c>
      <c r="L204" s="117"/>
    </row>
    <row r="205" ht="15.75" customHeight="1">
      <c r="A205" s="9"/>
      <c r="B205" s="164"/>
      <c r="C205" s="110"/>
      <c r="D205" s="156"/>
      <c r="E205" s="111"/>
      <c r="F205" s="112"/>
      <c r="G205" s="113"/>
      <c r="H205" s="53">
        <f t="shared" si="1"/>
        <v>0</v>
      </c>
      <c r="I205" s="115"/>
      <c r="J205" s="115"/>
      <c r="K205" s="60">
        <f t="shared" si="2"/>
        <v>0</v>
      </c>
      <c r="L205" s="117"/>
    </row>
    <row r="206" ht="15.75" customHeight="1">
      <c r="A206" s="9"/>
      <c r="B206" s="164"/>
      <c r="C206" s="110"/>
      <c r="D206" s="156"/>
      <c r="E206" s="111"/>
      <c r="F206" s="112"/>
      <c r="G206" s="113"/>
      <c r="H206" s="53">
        <f t="shared" si="1"/>
        <v>0</v>
      </c>
      <c r="I206" s="115"/>
      <c r="J206" s="115"/>
      <c r="K206" s="60">
        <f t="shared" si="2"/>
        <v>0</v>
      </c>
      <c r="L206" s="117"/>
    </row>
    <row r="207" ht="15.75" customHeight="1">
      <c r="A207" s="9"/>
      <c r="B207" s="164"/>
      <c r="C207" s="110"/>
      <c r="D207" s="156"/>
      <c r="E207" s="111"/>
      <c r="F207" s="112"/>
      <c r="G207" s="113"/>
      <c r="H207" s="53">
        <f t="shared" si="1"/>
        <v>0</v>
      </c>
      <c r="I207" s="115"/>
      <c r="J207" s="115"/>
      <c r="K207" s="60">
        <f t="shared" si="2"/>
        <v>0</v>
      </c>
      <c r="L207" s="117"/>
    </row>
    <row r="208" ht="15.75" customHeight="1">
      <c r="A208" s="9"/>
      <c r="B208" s="164"/>
      <c r="C208" s="110"/>
      <c r="D208" s="156"/>
      <c r="E208" s="111"/>
      <c r="F208" s="112"/>
      <c r="G208" s="113"/>
      <c r="H208" s="53">
        <f t="shared" si="1"/>
        <v>0</v>
      </c>
      <c r="I208" s="115"/>
      <c r="J208" s="115"/>
      <c r="K208" s="60">
        <f t="shared" si="2"/>
        <v>0</v>
      </c>
      <c r="L208" s="117"/>
    </row>
    <row r="209" ht="15.75" customHeight="1">
      <c r="A209" s="9"/>
      <c r="B209" s="164"/>
      <c r="C209" s="110"/>
      <c r="D209" s="156"/>
      <c r="E209" s="111"/>
      <c r="F209" s="112"/>
      <c r="G209" s="113"/>
      <c r="H209" s="53">
        <f t="shared" si="1"/>
        <v>0</v>
      </c>
      <c r="I209" s="115"/>
      <c r="J209" s="115"/>
      <c r="K209" s="60">
        <f t="shared" si="2"/>
        <v>0</v>
      </c>
      <c r="L209" s="117"/>
    </row>
    <row r="210" ht="15.75" customHeight="1">
      <c r="A210" s="9"/>
      <c r="B210" s="164"/>
      <c r="C210" s="110"/>
      <c r="D210" s="156"/>
      <c r="E210" s="111"/>
      <c r="F210" s="112"/>
      <c r="G210" s="113"/>
      <c r="H210" s="53">
        <f t="shared" si="1"/>
        <v>0</v>
      </c>
      <c r="I210" s="115"/>
      <c r="J210" s="115"/>
      <c r="K210" s="60">
        <f t="shared" si="2"/>
        <v>0</v>
      </c>
      <c r="L210" s="117"/>
    </row>
    <row r="211" ht="15.75" customHeight="1">
      <c r="A211" s="9"/>
      <c r="B211" s="164"/>
      <c r="C211" s="110"/>
      <c r="D211" s="156"/>
      <c r="E211" s="111"/>
      <c r="F211" s="112"/>
      <c r="G211" s="113"/>
      <c r="H211" s="53">
        <f t="shared" si="1"/>
        <v>0</v>
      </c>
      <c r="I211" s="115"/>
      <c r="J211" s="115"/>
      <c r="K211" s="60">
        <f t="shared" si="2"/>
        <v>0</v>
      </c>
      <c r="L211" s="117"/>
    </row>
    <row r="212" ht="15.75" customHeight="1">
      <c r="A212" s="9"/>
      <c r="B212" s="164"/>
      <c r="C212" s="110"/>
      <c r="D212" s="156"/>
      <c r="E212" s="111"/>
      <c r="F212" s="112"/>
      <c r="G212" s="113"/>
      <c r="H212" s="53">
        <f t="shared" si="1"/>
        <v>0</v>
      </c>
      <c r="I212" s="115"/>
      <c r="J212" s="115"/>
      <c r="K212" s="60">
        <f t="shared" si="2"/>
        <v>0</v>
      </c>
      <c r="L212" s="117"/>
    </row>
    <row r="213" ht="15.75" customHeight="1">
      <c r="A213" s="9"/>
      <c r="B213" s="164"/>
      <c r="C213" s="110"/>
      <c r="D213" s="156"/>
      <c r="E213" s="111"/>
      <c r="F213" s="112"/>
      <c r="G213" s="113"/>
      <c r="H213" s="53">
        <f t="shared" si="1"/>
        <v>0</v>
      </c>
      <c r="I213" s="115"/>
      <c r="J213" s="115"/>
      <c r="K213" s="60">
        <f t="shared" si="2"/>
        <v>0</v>
      </c>
      <c r="L213" s="117"/>
    </row>
    <row r="214" ht="15.75" customHeight="1">
      <c r="A214" s="9"/>
      <c r="B214" s="164"/>
      <c r="C214" s="110"/>
      <c r="D214" s="156"/>
      <c r="E214" s="111"/>
      <c r="F214" s="112"/>
      <c r="G214" s="113"/>
      <c r="H214" s="53">
        <f t="shared" si="1"/>
        <v>0</v>
      </c>
      <c r="I214" s="115"/>
      <c r="J214" s="115"/>
      <c r="K214" s="60">
        <f t="shared" si="2"/>
        <v>0</v>
      </c>
      <c r="L214" s="117"/>
    </row>
    <row r="215" ht="15.75" customHeight="1">
      <c r="A215" s="9"/>
      <c r="B215" s="164"/>
      <c r="C215" s="110"/>
      <c r="D215" s="156"/>
      <c r="E215" s="111"/>
      <c r="F215" s="112"/>
      <c r="G215" s="113"/>
      <c r="H215" s="53">
        <f t="shared" si="1"/>
        <v>0</v>
      </c>
      <c r="I215" s="115"/>
      <c r="J215" s="115"/>
      <c r="K215" s="60">
        <f t="shared" si="2"/>
        <v>0</v>
      </c>
      <c r="L215" s="117"/>
    </row>
    <row r="216" ht="15.75" customHeight="1">
      <c r="A216" s="9"/>
      <c r="B216" s="164"/>
      <c r="C216" s="110"/>
      <c r="D216" s="156"/>
      <c r="E216" s="111"/>
      <c r="F216" s="112"/>
      <c r="G216" s="113"/>
      <c r="H216" s="53">
        <f t="shared" si="1"/>
        <v>0</v>
      </c>
      <c r="I216" s="115"/>
      <c r="J216" s="115"/>
      <c r="K216" s="60">
        <f t="shared" si="2"/>
        <v>0</v>
      </c>
      <c r="L216" s="117"/>
    </row>
    <row r="217" ht="15.75" customHeight="1">
      <c r="A217" s="9"/>
      <c r="B217" s="164"/>
      <c r="C217" s="110"/>
      <c r="D217" s="156"/>
      <c r="E217" s="111"/>
      <c r="F217" s="112"/>
      <c r="G217" s="113"/>
      <c r="H217" s="53">
        <f t="shared" si="1"/>
        <v>0</v>
      </c>
      <c r="I217" s="115"/>
      <c r="J217" s="115"/>
      <c r="K217" s="60">
        <f t="shared" si="2"/>
        <v>0</v>
      </c>
      <c r="L217" s="117"/>
    </row>
    <row r="218" ht="15.75" customHeight="1">
      <c r="A218" s="9"/>
      <c r="B218" s="164"/>
      <c r="C218" s="110"/>
      <c r="D218" s="156"/>
      <c r="E218" s="111"/>
      <c r="F218" s="112"/>
      <c r="G218" s="113"/>
      <c r="H218" s="53">
        <f t="shared" si="1"/>
        <v>0</v>
      </c>
      <c r="I218" s="115"/>
      <c r="J218" s="115"/>
      <c r="K218" s="60">
        <f t="shared" si="2"/>
        <v>0</v>
      </c>
      <c r="L218" s="117"/>
    </row>
    <row r="219" ht="15.75" customHeight="1">
      <c r="A219" s="9"/>
      <c r="B219" s="164"/>
      <c r="C219" s="110"/>
      <c r="D219" s="156"/>
      <c r="E219" s="111"/>
      <c r="F219" s="112"/>
      <c r="G219" s="113"/>
      <c r="H219" s="53">
        <f t="shared" si="1"/>
        <v>0</v>
      </c>
      <c r="I219" s="115"/>
      <c r="J219" s="115"/>
      <c r="K219" s="60">
        <f t="shared" si="2"/>
        <v>0</v>
      </c>
      <c r="L219" s="117"/>
    </row>
    <row r="220" ht="15.75" customHeight="1">
      <c r="A220" s="9"/>
      <c r="B220" s="164"/>
      <c r="C220" s="110"/>
      <c r="D220" s="156"/>
      <c r="E220" s="111"/>
      <c r="F220" s="112"/>
      <c r="G220" s="113"/>
      <c r="H220" s="53">
        <f t="shared" si="1"/>
        <v>0</v>
      </c>
      <c r="I220" s="115"/>
      <c r="J220" s="115"/>
      <c r="K220" s="60">
        <f t="shared" si="2"/>
        <v>0</v>
      </c>
      <c r="L220" s="117"/>
    </row>
    <row r="221" ht="15.75" customHeight="1">
      <c r="A221" s="9"/>
      <c r="B221" s="164"/>
      <c r="C221" s="110"/>
      <c r="D221" s="156"/>
      <c r="E221" s="111"/>
      <c r="F221" s="112"/>
      <c r="G221" s="113"/>
      <c r="H221" s="53">
        <f t="shared" si="1"/>
        <v>0</v>
      </c>
      <c r="I221" s="115"/>
      <c r="J221" s="115"/>
      <c r="K221" s="60">
        <f t="shared" si="2"/>
        <v>0</v>
      </c>
      <c r="L221" s="117"/>
    </row>
    <row r="222" ht="15.75" customHeight="1">
      <c r="A222" s="9"/>
      <c r="B222" s="164"/>
      <c r="C222" s="110"/>
      <c r="D222" s="156"/>
      <c r="E222" s="111"/>
      <c r="F222" s="112"/>
      <c r="G222" s="113"/>
      <c r="H222" s="53">
        <f t="shared" si="1"/>
        <v>0</v>
      </c>
      <c r="I222" s="115"/>
      <c r="J222" s="115"/>
      <c r="K222" s="60">
        <f t="shared" si="2"/>
        <v>0</v>
      </c>
      <c r="L222" s="117"/>
    </row>
    <row r="223" ht="15.75" customHeight="1">
      <c r="A223" s="9"/>
      <c r="B223" s="164"/>
      <c r="C223" s="110"/>
      <c r="D223" s="156"/>
      <c r="E223" s="111"/>
      <c r="F223" s="112"/>
      <c r="G223" s="113"/>
      <c r="H223" s="53">
        <f t="shared" si="1"/>
        <v>0</v>
      </c>
      <c r="I223" s="115"/>
      <c r="J223" s="115"/>
      <c r="K223" s="60">
        <f t="shared" si="2"/>
        <v>0</v>
      </c>
      <c r="L223" s="117"/>
    </row>
    <row r="224" ht="15.75" customHeight="1">
      <c r="A224" s="9"/>
      <c r="B224" s="164"/>
      <c r="C224" s="110"/>
      <c r="D224" s="156"/>
      <c r="E224" s="111"/>
      <c r="F224" s="112"/>
      <c r="G224" s="113"/>
      <c r="H224" s="53">
        <f t="shared" si="1"/>
        <v>0</v>
      </c>
      <c r="I224" s="115"/>
      <c r="J224" s="115"/>
      <c r="K224" s="60">
        <f t="shared" si="2"/>
        <v>0</v>
      </c>
      <c r="L224" s="117"/>
    </row>
    <row r="225" ht="15.75" customHeight="1">
      <c r="A225" s="9"/>
      <c r="B225" s="164"/>
      <c r="C225" s="110"/>
      <c r="D225" s="156"/>
      <c r="E225" s="111"/>
      <c r="F225" s="112"/>
      <c r="G225" s="113"/>
      <c r="H225" s="53">
        <f t="shared" si="1"/>
        <v>0</v>
      </c>
      <c r="I225" s="115"/>
      <c r="J225" s="115"/>
      <c r="K225" s="60">
        <f t="shared" si="2"/>
        <v>0</v>
      </c>
      <c r="L225" s="117"/>
    </row>
    <row r="226" ht="15.75" customHeight="1">
      <c r="A226" s="9"/>
      <c r="B226" s="164"/>
      <c r="C226" s="110"/>
      <c r="D226" s="156"/>
      <c r="E226" s="111"/>
      <c r="F226" s="112"/>
      <c r="G226" s="113"/>
      <c r="H226" s="53">
        <f t="shared" si="1"/>
        <v>0</v>
      </c>
      <c r="I226" s="115"/>
      <c r="J226" s="115"/>
      <c r="K226" s="60">
        <f t="shared" si="2"/>
        <v>0</v>
      </c>
      <c r="L226" s="117"/>
    </row>
    <row r="227" ht="15.75" customHeight="1">
      <c r="A227" s="9"/>
      <c r="B227" s="164"/>
      <c r="C227" s="110"/>
      <c r="D227" s="156"/>
      <c r="E227" s="111"/>
      <c r="F227" s="112"/>
      <c r="G227" s="113"/>
      <c r="H227" s="53">
        <f t="shared" si="1"/>
        <v>0</v>
      </c>
      <c r="I227" s="115"/>
      <c r="J227" s="115"/>
      <c r="K227" s="60">
        <f t="shared" si="2"/>
        <v>0</v>
      </c>
      <c r="L227" s="117"/>
    </row>
    <row r="228" ht="15.75" customHeight="1">
      <c r="A228" s="9"/>
      <c r="B228" s="164"/>
      <c r="C228" s="110"/>
      <c r="D228" s="156"/>
      <c r="E228" s="111"/>
      <c r="F228" s="112"/>
      <c r="G228" s="113"/>
      <c r="H228" s="53">
        <f t="shared" si="1"/>
        <v>0</v>
      </c>
      <c r="I228" s="115"/>
      <c r="J228" s="115"/>
      <c r="K228" s="60">
        <f t="shared" si="2"/>
        <v>0</v>
      </c>
      <c r="L228" s="117"/>
    </row>
    <row r="229" ht="15.75" customHeight="1">
      <c r="A229" s="9"/>
      <c r="B229" s="164"/>
      <c r="C229" s="110"/>
      <c r="D229" s="156"/>
      <c r="E229" s="111"/>
      <c r="F229" s="112"/>
      <c r="G229" s="113"/>
      <c r="H229" s="53">
        <f t="shared" si="1"/>
        <v>0</v>
      </c>
      <c r="I229" s="115"/>
      <c r="J229" s="115"/>
      <c r="K229" s="60">
        <f t="shared" si="2"/>
        <v>0</v>
      </c>
      <c r="L229" s="117"/>
    </row>
    <row r="230" ht="15.75" customHeight="1">
      <c r="A230" s="9"/>
      <c r="B230" s="164"/>
      <c r="C230" s="110"/>
      <c r="D230" s="156"/>
      <c r="E230" s="111"/>
      <c r="F230" s="112"/>
      <c r="G230" s="113"/>
      <c r="H230" s="53">
        <f t="shared" si="1"/>
        <v>0</v>
      </c>
      <c r="I230" s="115"/>
      <c r="J230" s="115"/>
      <c r="K230" s="60">
        <f t="shared" si="2"/>
        <v>0</v>
      </c>
      <c r="L230" s="117"/>
    </row>
    <row r="231" ht="15.75" customHeight="1">
      <c r="A231" s="9"/>
      <c r="B231" s="164"/>
      <c r="C231" s="110"/>
      <c r="D231" s="156"/>
      <c r="E231" s="111"/>
      <c r="F231" s="112"/>
      <c r="G231" s="113"/>
      <c r="H231" s="53">
        <f t="shared" si="1"/>
        <v>0</v>
      </c>
      <c r="I231" s="115"/>
      <c r="J231" s="115"/>
      <c r="K231" s="60">
        <f t="shared" si="2"/>
        <v>0</v>
      </c>
      <c r="L231" s="117"/>
    </row>
    <row r="232" ht="15.75" customHeight="1">
      <c r="A232" s="9"/>
      <c r="B232" s="164"/>
      <c r="C232" s="110"/>
      <c r="D232" s="156"/>
      <c r="E232" s="111"/>
      <c r="F232" s="112"/>
      <c r="G232" s="113"/>
      <c r="H232" s="53">
        <f t="shared" si="1"/>
        <v>0</v>
      </c>
      <c r="I232" s="115"/>
      <c r="J232" s="115"/>
      <c r="K232" s="60">
        <f t="shared" si="2"/>
        <v>0</v>
      </c>
      <c r="L232" s="117"/>
    </row>
    <row r="233" ht="15.75" customHeight="1">
      <c r="A233" s="9"/>
      <c r="B233" s="164"/>
      <c r="C233" s="110"/>
      <c r="D233" s="156"/>
      <c r="E233" s="111"/>
      <c r="F233" s="112"/>
      <c r="G233" s="113"/>
      <c r="H233" s="53">
        <f t="shared" si="1"/>
        <v>0</v>
      </c>
      <c r="I233" s="115"/>
      <c r="J233" s="115"/>
      <c r="K233" s="60">
        <f t="shared" si="2"/>
        <v>0</v>
      </c>
      <c r="L233" s="117"/>
    </row>
    <row r="234" ht="15.75" customHeight="1">
      <c r="A234" s="9"/>
      <c r="B234" s="164"/>
      <c r="C234" s="110"/>
      <c r="D234" s="156"/>
      <c r="E234" s="111"/>
      <c r="F234" s="112"/>
      <c r="G234" s="113"/>
      <c r="H234" s="53">
        <f t="shared" si="1"/>
        <v>0</v>
      </c>
      <c r="I234" s="115"/>
      <c r="J234" s="115"/>
      <c r="K234" s="60">
        <f t="shared" si="2"/>
        <v>0</v>
      </c>
      <c r="L234" s="117"/>
    </row>
    <row r="235" ht="15.75" customHeight="1">
      <c r="A235" s="9"/>
      <c r="B235" s="164"/>
      <c r="C235" s="110"/>
      <c r="D235" s="156"/>
      <c r="E235" s="111"/>
      <c r="F235" s="112"/>
      <c r="G235" s="113"/>
      <c r="H235" s="53">
        <f t="shared" si="1"/>
        <v>0</v>
      </c>
      <c r="I235" s="115"/>
      <c r="J235" s="115"/>
      <c r="K235" s="60">
        <f t="shared" si="2"/>
        <v>0</v>
      </c>
      <c r="L235" s="117"/>
    </row>
    <row r="236" ht="15.75" customHeight="1">
      <c r="A236" s="9"/>
      <c r="B236" s="164"/>
      <c r="C236" s="110"/>
      <c r="D236" s="156"/>
      <c r="E236" s="111"/>
      <c r="F236" s="112"/>
      <c r="G236" s="113"/>
      <c r="H236" s="53">
        <f t="shared" si="1"/>
        <v>0</v>
      </c>
      <c r="I236" s="115"/>
      <c r="J236" s="115"/>
      <c r="K236" s="60">
        <f t="shared" si="2"/>
        <v>0</v>
      </c>
      <c r="L236" s="117"/>
    </row>
    <row r="237" ht="15.75" customHeight="1">
      <c r="A237" s="9"/>
      <c r="B237" s="164"/>
      <c r="C237" s="110"/>
      <c r="D237" s="156"/>
      <c r="E237" s="111"/>
      <c r="F237" s="112"/>
      <c r="G237" s="113"/>
      <c r="H237" s="53">
        <f t="shared" si="1"/>
        <v>0</v>
      </c>
      <c r="I237" s="115"/>
      <c r="J237" s="115"/>
      <c r="K237" s="60">
        <f t="shared" si="2"/>
        <v>0</v>
      </c>
      <c r="L237" s="117"/>
    </row>
    <row r="238" ht="15.75" customHeight="1">
      <c r="A238" s="9"/>
      <c r="B238" s="164"/>
      <c r="C238" s="110"/>
      <c r="D238" s="156"/>
      <c r="E238" s="111"/>
      <c r="F238" s="112"/>
      <c r="G238" s="113"/>
      <c r="H238" s="53">
        <f t="shared" si="1"/>
        <v>0</v>
      </c>
      <c r="I238" s="115"/>
      <c r="J238" s="115"/>
      <c r="K238" s="60">
        <f t="shared" si="2"/>
        <v>0</v>
      </c>
      <c r="L238" s="117"/>
    </row>
    <row r="239" ht="15.75" customHeight="1">
      <c r="A239" s="9"/>
      <c r="B239" s="164"/>
      <c r="C239" s="110"/>
      <c r="D239" s="156"/>
      <c r="E239" s="111"/>
      <c r="F239" s="112"/>
      <c r="G239" s="113"/>
      <c r="H239" s="53">
        <f t="shared" si="1"/>
        <v>0</v>
      </c>
      <c r="I239" s="115"/>
      <c r="J239" s="115"/>
      <c r="K239" s="60">
        <f t="shared" si="2"/>
        <v>0</v>
      </c>
      <c r="L239" s="117"/>
    </row>
    <row r="240" ht="15.75" customHeight="1">
      <c r="A240" s="9"/>
      <c r="B240" s="164"/>
      <c r="C240" s="110"/>
      <c r="D240" s="156"/>
      <c r="E240" s="111"/>
      <c r="F240" s="112"/>
      <c r="G240" s="113"/>
      <c r="H240" s="53">
        <f t="shared" si="1"/>
        <v>0</v>
      </c>
      <c r="I240" s="115"/>
      <c r="J240" s="115"/>
      <c r="K240" s="60">
        <f t="shared" si="2"/>
        <v>0</v>
      </c>
      <c r="L240" s="117"/>
    </row>
    <row r="241" ht="15.75" customHeight="1">
      <c r="A241" s="9"/>
      <c r="B241" s="164"/>
      <c r="C241" s="110"/>
      <c r="D241" s="156"/>
      <c r="E241" s="111"/>
      <c r="F241" s="112"/>
      <c r="G241" s="113"/>
      <c r="H241" s="53">
        <f t="shared" si="1"/>
        <v>0</v>
      </c>
      <c r="I241" s="115"/>
      <c r="J241" s="115"/>
      <c r="K241" s="60">
        <f t="shared" si="2"/>
        <v>0</v>
      </c>
      <c r="L241" s="117"/>
    </row>
    <row r="242" ht="15.75" customHeight="1">
      <c r="A242" s="9"/>
      <c r="B242" s="164"/>
      <c r="C242" s="110"/>
      <c r="D242" s="156"/>
      <c r="E242" s="111"/>
      <c r="F242" s="112"/>
      <c r="G242" s="113"/>
      <c r="H242" s="53">
        <f t="shared" si="1"/>
        <v>0</v>
      </c>
      <c r="I242" s="115"/>
      <c r="J242" s="115"/>
      <c r="K242" s="60">
        <f t="shared" si="2"/>
        <v>0</v>
      </c>
      <c r="L242" s="117"/>
    </row>
    <row r="243" ht="15.75" customHeight="1">
      <c r="A243" s="9"/>
      <c r="B243" s="164"/>
      <c r="C243" s="110"/>
      <c r="D243" s="156"/>
      <c r="E243" s="111"/>
      <c r="F243" s="112"/>
      <c r="G243" s="113"/>
      <c r="H243" s="53">
        <f t="shared" si="1"/>
        <v>0</v>
      </c>
      <c r="I243" s="115"/>
      <c r="J243" s="115"/>
      <c r="K243" s="60">
        <f t="shared" si="2"/>
        <v>0</v>
      </c>
      <c r="L243" s="117"/>
    </row>
    <row r="244" ht="15.75" customHeight="1">
      <c r="A244" s="9"/>
      <c r="B244" s="164"/>
      <c r="C244" s="110"/>
      <c r="D244" s="156"/>
      <c r="E244" s="111"/>
      <c r="F244" s="112"/>
      <c r="G244" s="113"/>
      <c r="H244" s="53">
        <f t="shared" si="1"/>
        <v>0</v>
      </c>
      <c r="I244" s="115"/>
      <c r="J244" s="115"/>
      <c r="K244" s="60">
        <f t="shared" si="2"/>
        <v>0</v>
      </c>
      <c r="L244" s="117"/>
    </row>
    <row r="245" ht="15.75" customHeight="1">
      <c r="A245" s="9"/>
      <c r="B245" s="164"/>
      <c r="C245" s="110"/>
      <c r="D245" s="156"/>
      <c r="E245" s="111"/>
      <c r="F245" s="112"/>
      <c r="G245" s="113"/>
      <c r="H245" s="53">
        <f t="shared" si="1"/>
        <v>0</v>
      </c>
      <c r="I245" s="115"/>
      <c r="J245" s="115"/>
      <c r="K245" s="60">
        <f t="shared" si="2"/>
        <v>0</v>
      </c>
      <c r="L245" s="117"/>
    </row>
    <row r="246" ht="15.75" customHeight="1">
      <c r="A246" s="9"/>
      <c r="B246" s="164"/>
      <c r="C246" s="110"/>
      <c r="D246" s="156"/>
      <c r="E246" s="111"/>
      <c r="F246" s="112"/>
      <c r="G246" s="113"/>
      <c r="H246" s="53">
        <f t="shared" si="1"/>
        <v>0</v>
      </c>
      <c r="I246" s="115"/>
      <c r="J246" s="115"/>
      <c r="K246" s="60">
        <f t="shared" si="2"/>
        <v>0</v>
      </c>
      <c r="L246" s="117"/>
    </row>
    <row r="247" ht="15.75" customHeight="1">
      <c r="A247" s="9"/>
      <c r="B247" s="164"/>
      <c r="C247" s="110"/>
      <c r="D247" s="156"/>
      <c r="E247" s="111"/>
      <c r="F247" s="112"/>
      <c r="G247" s="113"/>
      <c r="H247" s="53">
        <f t="shared" si="1"/>
        <v>0</v>
      </c>
      <c r="I247" s="115"/>
      <c r="J247" s="115"/>
      <c r="K247" s="60">
        <f t="shared" si="2"/>
        <v>0</v>
      </c>
      <c r="L247" s="117"/>
    </row>
    <row r="248" ht="15.75" customHeight="1">
      <c r="A248" s="9"/>
      <c r="B248" s="164"/>
      <c r="C248" s="110"/>
      <c r="D248" s="156"/>
      <c r="E248" s="111"/>
      <c r="F248" s="112"/>
      <c r="G248" s="113"/>
      <c r="H248" s="53">
        <f t="shared" si="1"/>
        <v>0</v>
      </c>
      <c r="I248" s="115"/>
      <c r="J248" s="115"/>
      <c r="K248" s="60">
        <f t="shared" si="2"/>
        <v>0</v>
      </c>
      <c r="L248" s="117"/>
    </row>
    <row r="249" ht="15.75" customHeight="1">
      <c r="A249" s="9"/>
      <c r="B249" s="164"/>
      <c r="C249" s="110"/>
      <c r="D249" s="156"/>
      <c r="E249" s="111"/>
      <c r="F249" s="112"/>
      <c r="G249" s="113"/>
      <c r="H249" s="53">
        <f t="shared" si="1"/>
        <v>0</v>
      </c>
      <c r="I249" s="115"/>
      <c r="J249" s="115"/>
      <c r="K249" s="60">
        <f t="shared" si="2"/>
        <v>0</v>
      </c>
      <c r="L249" s="117"/>
    </row>
    <row r="250" ht="15.75" customHeight="1">
      <c r="A250" s="9"/>
      <c r="B250" s="164"/>
      <c r="C250" s="110"/>
      <c r="D250" s="156"/>
      <c r="E250" s="111"/>
      <c r="F250" s="112"/>
      <c r="G250" s="113"/>
      <c r="H250" s="53">
        <f t="shared" si="1"/>
        <v>0</v>
      </c>
      <c r="I250" s="115"/>
      <c r="J250" s="115"/>
      <c r="K250" s="60">
        <f t="shared" si="2"/>
        <v>0</v>
      </c>
      <c r="L250" s="117"/>
    </row>
    <row r="251" ht="15.75" customHeight="1">
      <c r="A251" s="9"/>
      <c r="B251" s="164"/>
      <c r="C251" s="110"/>
      <c r="D251" s="156"/>
      <c r="E251" s="111"/>
      <c r="F251" s="112"/>
      <c r="G251" s="113"/>
      <c r="H251" s="53">
        <f t="shared" si="1"/>
        <v>0</v>
      </c>
      <c r="I251" s="115"/>
      <c r="J251" s="115"/>
      <c r="K251" s="60">
        <f t="shared" si="2"/>
        <v>0</v>
      </c>
      <c r="L251" s="117"/>
    </row>
    <row r="252" ht="15.75" customHeight="1">
      <c r="A252" s="9"/>
      <c r="B252" s="164"/>
      <c r="C252" s="110"/>
      <c r="D252" s="156"/>
      <c r="E252" s="111"/>
      <c r="F252" s="112"/>
      <c r="G252" s="113"/>
      <c r="H252" s="53">
        <f t="shared" si="1"/>
        <v>0</v>
      </c>
      <c r="I252" s="115"/>
      <c r="J252" s="115"/>
      <c r="K252" s="60">
        <f t="shared" si="2"/>
        <v>0</v>
      </c>
      <c r="L252" s="117"/>
    </row>
    <row r="253" ht="15.75" customHeight="1">
      <c r="A253" s="9"/>
      <c r="B253" s="164"/>
      <c r="C253" s="110"/>
      <c r="D253" s="156"/>
      <c r="E253" s="111"/>
      <c r="F253" s="112"/>
      <c r="G253" s="113"/>
      <c r="H253" s="53">
        <f t="shared" si="1"/>
        <v>0</v>
      </c>
      <c r="I253" s="115"/>
      <c r="J253" s="115"/>
      <c r="K253" s="60">
        <f t="shared" si="2"/>
        <v>0</v>
      </c>
      <c r="L253" s="117"/>
    </row>
    <row r="254" ht="15.75" customHeight="1">
      <c r="A254" s="9"/>
      <c r="B254" s="164"/>
      <c r="C254" s="110"/>
      <c r="D254" s="156"/>
      <c r="E254" s="111"/>
      <c r="F254" s="112"/>
      <c r="G254" s="113"/>
      <c r="H254" s="53">
        <f t="shared" si="1"/>
        <v>0</v>
      </c>
      <c r="I254" s="115"/>
      <c r="J254" s="115"/>
      <c r="K254" s="60">
        <f t="shared" si="2"/>
        <v>0</v>
      </c>
      <c r="L254" s="117"/>
    </row>
    <row r="255" ht="15.75" customHeight="1">
      <c r="A255" s="9"/>
      <c r="B255" s="164"/>
      <c r="C255" s="110"/>
      <c r="D255" s="156"/>
      <c r="E255" s="111"/>
      <c r="F255" s="112"/>
      <c r="G255" s="113"/>
      <c r="H255" s="53">
        <f t="shared" si="1"/>
        <v>0</v>
      </c>
      <c r="I255" s="115"/>
      <c r="J255" s="115"/>
      <c r="K255" s="60">
        <f t="shared" si="2"/>
        <v>0</v>
      </c>
      <c r="L255" s="117"/>
    </row>
    <row r="256" ht="15.75" customHeight="1">
      <c r="A256" s="9"/>
      <c r="B256" s="164"/>
      <c r="C256" s="110"/>
      <c r="D256" s="156"/>
      <c r="E256" s="111"/>
      <c r="F256" s="112"/>
      <c r="G256" s="113"/>
      <c r="H256" s="53">
        <f t="shared" si="1"/>
        <v>0</v>
      </c>
      <c r="I256" s="115"/>
      <c r="J256" s="115"/>
      <c r="K256" s="60">
        <f t="shared" si="2"/>
        <v>0</v>
      </c>
      <c r="L256" s="117"/>
    </row>
    <row r="257" ht="15.75" customHeight="1">
      <c r="A257" s="9"/>
      <c r="B257" s="164"/>
      <c r="C257" s="110"/>
      <c r="D257" s="156"/>
      <c r="E257" s="111"/>
      <c r="F257" s="112"/>
      <c r="G257" s="113"/>
      <c r="H257" s="53">
        <f t="shared" si="1"/>
        <v>0</v>
      </c>
      <c r="I257" s="115"/>
      <c r="J257" s="115"/>
      <c r="K257" s="60">
        <f t="shared" si="2"/>
        <v>0</v>
      </c>
      <c r="L257" s="117"/>
    </row>
    <row r="258" ht="15.75" customHeight="1">
      <c r="A258" s="9"/>
      <c r="B258" s="164"/>
      <c r="C258" s="110"/>
      <c r="D258" s="156"/>
      <c r="E258" s="111"/>
      <c r="F258" s="112"/>
      <c r="G258" s="113"/>
      <c r="H258" s="53">
        <f t="shared" si="1"/>
        <v>0</v>
      </c>
      <c r="I258" s="115"/>
      <c r="J258" s="115"/>
      <c r="K258" s="60">
        <f t="shared" si="2"/>
        <v>0</v>
      </c>
      <c r="L258" s="117"/>
    </row>
    <row r="259" ht="15.75" customHeight="1">
      <c r="A259" s="9"/>
      <c r="B259" s="164"/>
      <c r="C259" s="110"/>
      <c r="D259" s="156"/>
      <c r="E259" s="111"/>
      <c r="F259" s="112"/>
      <c r="G259" s="113"/>
      <c r="H259" s="53">
        <f t="shared" si="1"/>
        <v>0</v>
      </c>
      <c r="I259" s="115"/>
      <c r="J259" s="115"/>
      <c r="K259" s="60">
        <f t="shared" si="2"/>
        <v>0</v>
      </c>
      <c r="L259" s="117"/>
    </row>
    <row r="260" ht="15.75" customHeight="1">
      <c r="A260" s="9"/>
      <c r="B260" s="164"/>
      <c r="C260" s="110"/>
      <c r="D260" s="156"/>
      <c r="E260" s="111"/>
      <c r="F260" s="112"/>
      <c r="G260" s="113"/>
      <c r="H260" s="53">
        <f t="shared" si="1"/>
        <v>0</v>
      </c>
      <c r="I260" s="115"/>
      <c r="J260" s="115"/>
      <c r="K260" s="60">
        <f t="shared" si="2"/>
        <v>0</v>
      </c>
      <c r="L260" s="117"/>
    </row>
    <row r="261" ht="15.75" customHeight="1">
      <c r="A261" s="9"/>
      <c r="B261" s="164"/>
      <c r="C261" s="110"/>
      <c r="D261" s="156"/>
      <c r="E261" s="111"/>
      <c r="F261" s="112"/>
      <c r="G261" s="113"/>
      <c r="H261" s="53">
        <f t="shared" si="1"/>
        <v>0</v>
      </c>
      <c r="I261" s="115"/>
      <c r="J261" s="115"/>
      <c r="K261" s="60">
        <f t="shared" si="2"/>
        <v>0</v>
      </c>
      <c r="L261" s="117"/>
    </row>
    <row r="262" ht="15.75" customHeight="1">
      <c r="A262" s="9"/>
      <c r="B262" s="164"/>
      <c r="C262" s="110"/>
      <c r="D262" s="156"/>
      <c r="E262" s="111"/>
      <c r="F262" s="112"/>
      <c r="G262" s="113"/>
      <c r="H262" s="53">
        <f t="shared" si="1"/>
        <v>0</v>
      </c>
      <c r="I262" s="115"/>
      <c r="J262" s="115"/>
      <c r="K262" s="60">
        <f t="shared" si="2"/>
        <v>0</v>
      </c>
      <c r="L262" s="117"/>
    </row>
    <row r="263" ht="15.75" customHeight="1">
      <c r="A263" s="9"/>
      <c r="B263" s="164"/>
      <c r="C263" s="110"/>
      <c r="D263" s="156"/>
      <c r="E263" s="111"/>
      <c r="F263" s="112"/>
      <c r="G263" s="113"/>
      <c r="H263" s="53">
        <f t="shared" si="1"/>
        <v>0</v>
      </c>
      <c r="I263" s="115"/>
      <c r="J263" s="115"/>
      <c r="K263" s="60">
        <f t="shared" si="2"/>
        <v>0</v>
      </c>
      <c r="L263" s="117"/>
    </row>
    <row r="264" ht="15.75" customHeight="1">
      <c r="A264" s="9"/>
      <c r="B264" s="164"/>
      <c r="C264" s="110"/>
      <c r="D264" s="156"/>
      <c r="E264" s="111"/>
      <c r="F264" s="112"/>
      <c r="G264" s="113"/>
      <c r="H264" s="53">
        <f t="shared" si="1"/>
        <v>0</v>
      </c>
      <c r="I264" s="115"/>
      <c r="J264" s="115"/>
      <c r="K264" s="60">
        <f t="shared" si="2"/>
        <v>0</v>
      </c>
      <c r="L264" s="117"/>
    </row>
    <row r="265" ht="15.75" customHeight="1">
      <c r="A265" s="9"/>
      <c r="B265" s="164"/>
      <c r="C265" s="110"/>
      <c r="D265" s="156"/>
      <c r="E265" s="111"/>
      <c r="F265" s="112"/>
      <c r="G265" s="113"/>
      <c r="H265" s="53">
        <f t="shared" si="1"/>
        <v>0</v>
      </c>
      <c r="I265" s="115"/>
      <c r="J265" s="115"/>
      <c r="K265" s="60">
        <f t="shared" si="2"/>
        <v>0</v>
      </c>
      <c r="L265" s="117"/>
    </row>
    <row r="266" ht="15.75" customHeight="1">
      <c r="A266" s="9"/>
      <c r="B266" s="164"/>
      <c r="C266" s="110"/>
      <c r="D266" s="156"/>
      <c r="E266" s="111"/>
      <c r="F266" s="112"/>
      <c r="G266" s="113"/>
      <c r="H266" s="53">
        <f t="shared" si="1"/>
        <v>0</v>
      </c>
      <c r="I266" s="115"/>
      <c r="J266" s="115"/>
      <c r="K266" s="60">
        <f t="shared" si="2"/>
        <v>0</v>
      </c>
      <c r="L266" s="117"/>
    </row>
    <row r="267" ht="15.75" customHeight="1">
      <c r="A267" s="9"/>
      <c r="B267" s="164"/>
      <c r="C267" s="110"/>
      <c r="D267" s="156"/>
      <c r="E267" s="111"/>
      <c r="F267" s="112"/>
      <c r="G267" s="113"/>
      <c r="H267" s="53">
        <f t="shared" si="1"/>
        <v>0</v>
      </c>
      <c r="I267" s="115"/>
      <c r="J267" s="115"/>
      <c r="K267" s="60">
        <f t="shared" si="2"/>
        <v>0</v>
      </c>
      <c r="L267" s="117"/>
    </row>
    <row r="268" ht="15.75" customHeight="1">
      <c r="A268" s="9"/>
      <c r="B268" s="164"/>
      <c r="C268" s="110"/>
      <c r="D268" s="156"/>
      <c r="E268" s="111"/>
      <c r="F268" s="112"/>
      <c r="G268" s="113"/>
      <c r="H268" s="53">
        <f t="shared" si="1"/>
        <v>0</v>
      </c>
      <c r="I268" s="115"/>
      <c r="J268" s="115"/>
      <c r="K268" s="60">
        <f t="shared" si="2"/>
        <v>0</v>
      </c>
      <c r="L268" s="117"/>
    </row>
    <row r="269" ht="15.75" customHeight="1">
      <c r="A269" s="9"/>
      <c r="B269" s="164"/>
      <c r="C269" s="110"/>
      <c r="D269" s="156"/>
      <c r="E269" s="111"/>
      <c r="F269" s="112"/>
      <c r="G269" s="113"/>
      <c r="H269" s="53">
        <f t="shared" si="1"/>
        <v>0</v>
      </c>
      <c r="I269" s="115"/>
      <c r="J269" s="115"/>
      <c r="K269" s="60">
        <f t="shared" si="2"/>
        <v>0</v>
      </c>
      <c r="L269" s="117"/>
    </row>
    <row r="270" ht="15.75" customHeight="1">
      <c r="A270" s="9"/>
      <c r="B270" s="164"/>
      <c r="C270" s="110"/>
      <c r="D270" s="156"/>
      <c r="E270" s="111"/>
      <c r="F270" s="112"/>
      <c r="G270" s="113"/>
      <c r="H270" s="53">
        <f t="shared" si="1"/>
        <v>0</v>
      </c>
      <c r="I270" s="115"/>
      <c r="J270" s="115"/>
      <c r="K270" s="60">
        <f t="shared" si="2"/>
        <v>0</v>
      </c>
      <c r="L270" s="117"/>
    </row>
    <row r="271" ht="15.75" customHeight="1">
      <c r="A271" s="9"/>
      <c r="B271" s="164"/>
      <c r="C271" s="110"/>
      <c r="D271" s="156"/>
      <c r="E271" s="111"/>
      <c r="F271" s="112"/>
      <c r="G271" s="113"/>
      <c r="H271" s="53">
        <f t="shared" si="1"/>
        <v>0</v>
      </c>
      <c r="I271" s="115"/>
      <c r="J271" s="115"/>
      <c r="K271" s="60">
        <f t="shared" si="2"/>
        <v>0</v>
      </c>
      <c r="L271" s="117"/>
    </row>
    <row r="272" ht="15.75" customHeight="1">
      <c r="A272" s="9"/>
      <c r="B272" s="164"/>
      <c r="C272" s="110"/>
      <c r="D272" s="156"/>
      <c r="E272" s="111"/>
      <c r="F272" s="112"/>
      <c r="G272" s="113"/>
      <c r="H272" s="53">
        <f t="shared" si="1"/>
        <v>0</v>
      </c>
      <c r="I272" s="115"/>
      <c r="J272" s="115"/>
      <c r="K272" s="60">
        <f t="shared" si="2"/>
        <v>0</v>
      </c>
      <c r="L272" s="117"/>
    </row>
    <row r="273" ht="15.75" customHeight="1">
      <c r="A273" s="9"/>
      <c r="B273" s="164"/>
      <c r="C273" s="110"/>
      <c r="D273" s="156"/>
      <c r="E273" s="111"/>
      <c r="F273" s="112"/>
      <c r="G273" s="113"/>
      <c r="H273" s="53">
        <f t="shared" si="1"/>
        <v>0</v>
      </c>
      <c r="I273" s="115"/>
      <c r="J273" s="115"/>
      <c r="K273" s="60">
        <f t="shared" si="2"/>
        <v>0</v>
      </c>
      <c r="L273" s="117"/>
    </row>
    <row r="274" ht="15.75" customHeight="1">
      <c r="A274" s="9"/>
      <c r="B274" s="164"/>
      <c r="C274" s="110"/>
      <c r="D274" s="156"/>
      <c r="E274" s="111"/>
      <c r="F274" s="112"/>
      <c r="G274" s="113"/>
      <c r="H274" s="53">
        <f t="shared" si="1"/>
        <v>0</v>
      </c>
      <c r="I274" s="115"/>
      <c r="J274" s="115"/>
      <c r="K274" s="60">
        <f t="shared" si="2"/>
        <v>0</v>
      </c>
      <c r="L274" s="117"/>
    </row>
    <row r="275" ht="15.75" customHeight="1">
      <c r="A275" s="9"/>
      <c r="B275" s="164"/>
      <c r="C275" s="110"/>
      <c r="D275" s="156"/>
      <c r="E275" s="111"/>
      <c r="F275" s="112"/>
      <c r="G275" s="113"/>
      <c r="H275" s="53">
        <f t="shared" si="1"/>
        <v>0</v>
      </c>
      <c r="I275" s="115"/>
      <c r="J275" s="115"/>
      <c r="K275" s="60">
        <f t="shared" si="2"/>
        <v>0</v>
      </c>
      <c r="L275" s="117"/>
    </row>
    <row r="276" ht="15.75" customHeight="1">
      <c r="A276" s="9"/>
      <c r="B276" s="164"/>
      <c r="C276" s="110"/>
      <c r="D276" s="156"/>
      <c r="E276" s="111"/>
      <c r="F276" s="112"/>
      <c r="G276" s="113"/>
      <c r="H276" s="53">
        <f t="shared" si="1"/>
        <v>0</v>
      </c>
      <c r="I276" s="115"/>
      <c r="J276" s="115"/>
      <c r="K276" s="60">
        <f t="shared" si="2"/>
        <v>0</v>
      </c>
      <c r="L276" s="117"/>
    </row>
    <row r="277" ht="15.75" customHeight="1">
      <c r="A277" s="9"/>
      <c r="B277" s="164"/>
      <c r="C277" s="110"/>
      <c r="D277" s="156"/>
      <c r="E277" s="111"/>
      <c r="F277" s="112"/>
      <c r="G277" s="113"/>
      <c r="H277" s="53">
        <f t="shared" si="1"/>
        <v>0</v>
      </c>
      <c r="I277" s="115"/>
      <c r="J277" s="115"/>
      <c r="K277" s="60">
        <f t="shared" si="2"/>
        <v>0</v>
      </c>
      <c r="L277" s="117"/>
    </row>
    <row r="278" ht="15.75" customHeight="1">
      <c r="A278" s="9"/>
      <c r="B278" s="164"/>
      <c r="C278" s="110"/>
      <c r="D278" s="156"/>
      <c r="E278" s="111"/>
      <c r="F278" s="112"/>
      <c r="G278" s="113"/>
      <c r="H278" s="53">
        <f t="shared" si="1"/>
        <v>0</v>
      </c>
      <c r="I278" s="115"/>
      <c r="J278" s="115"/>
      <c r="K278" s="60">
        <f t="shared" si="2"/>
        <v>0</v>
      </c>
      <c r="L278" s="117"/>
    </row>
    <row r="279" ht="15.75" customHeight="1">
      <c r="A279" s="9"/>
      <c r="B279" s="164"/>
      <c r="C279" s="110"/>
      <c r="D279" s="156"/>
      <c r="E279" s="111"/>
      <c r="F279" s="112"/>
      <c r="G279" s="113"/>
      <c r="H279" s="53">
        <f t="shared" si="1"/>
        <v>0</v>
      </c>
      <c r="I279" s="115"/>
      <c r="J279" s="115"/>
      <c r="K279" s="60">
        <f t="shared" si="2"/>
        <v>0</v>
      </c>
      <c r="L279" s="117"/>
    </row>
    <row r="280" ht="15.75" customHeight="1">
      <c r="A280" s="9"/>
      <c r="B280" s="164"/>
      <c r="C280" s="110"/>
      <c r="D280" s="156"/>
      <c r="E280" s="111"/>
      <c r="F280" s="112"/>
      <c r="G280" s="113"/>
      <c r="H280" s="53">
        <f t="shared" si="1"/>
        <v>0</v>
      </c>
      <c r="I280" s="115"/>
      <c r="J280" s="115"/>
      <c r="K280" s="60">
        <f t="shared" si="2"/>
        <v>0</v>
      </c>
      <c r="L280" s="117"/>
    </row>
    <row r="281" ht="15.75" customHeight="1">
      <c r="A281" s="9"/>
      <c r="B281" s="164"/>
      <c r="C281" s="110"/>
      <c r="D281" s="156"/>
      <c r="E281" s="111"/>
      <c r="F281" s="112"/>
      <c r="G281" s="113"/>
      <c r="H281" s="53">
        <f t="shared" si="1"/>
        <v>0</v>
      </c>
      <c r="I281" s="115"/>
      <c r="J281" s="115"/>
      <c r="K281" s="60">
        <f t="shared" si="2"/>
        <v>0</v>
      </c>
      <c r="L281" s="117"/>
    </row>
    <row r="282" ht="15.75" customHeight="1">
      <c r="A282" s="9"/>
      <c r="B282" s="164"/>
      <c r="C282" s="110"/>
      <c r="D282" s="156"/>
      <c r="E282" s="111"/>
      <c r="F282" s="112"/>
      <c r="G282" s="113"/>
      <c r="H282" s="53">
        <f t="shared" si="1"/>
        <v>0</v>
      </c>
      <c r="I282" s="115"/>
      <c r="J282" s="115"/>
      <c r="K282" s="60">
        <f t="shared" si="2"/>
        <v>0</v>
      </c>
      <c r="L282" s="117"/>
    </row>
    <row r="283" ht="15.75" customHeight="1">
      <c r="A283" s="9"/>
      <c r="B283" s="164"/>
      <c r="C283" s="110"/>
      <c r="D283" s="156"/>
      <c r="E283" s="111"/>
      <c r="F283" s="112"/>
      <c r="G283" s="113"/>
      <c r="H283" s="53">
        <f t="shared" si="1"/>
        <v>0</v>
      </c>
      <c r="I283" s="115"/>
      <c r="J283" s="115"/>
      <c r="K283" s="60">
        <f t="shared" si="2"/>
        <v>0</v>
      </c>
      <c r="L283" s="117"/>
    </row>
    <row r="284" ht="15.75" customHeight="1">
      <c r="A284" s="9"/>
      <c r="B284" s="164"/>
      <c r="C284" s="110"/>
      <c r="D284" s="156"/>
      <c r="E284" s="111"/>
      <c r="F284" s="112"/>
      <c r="G284" s="113"/>
      <c r="H284" s="53">
        <f t="shared" si="1"/>
        <v>0</v>
      </c>
      <c r="I284" s="115"/>
      <c r="J284" s="115"/>
      <c r="K284" s="60">
        <f t="shared" si="2"/>
        <v>0</v>
      </c>
      <c r="L284" s="117"/>
    </row>
    <row r="285" ht="15.75" customHeight="1">
      <c r="A285" s="9"/>
      <c r="B285" s="164"/>
      <c r="C285" s="110"/>
      <c r="D285" s="156"/>
      <c r="E285" s="111"/>
      <c r="F285" s="112"/>
      <c r="G285" s="113"/>
      <c r="H285" s="53">
        <f t="shared" si="1"/>
        <v>0</v>
      </c>
      <c r="I285" s="115"/>
      <c r="J285" s="115"/>
      <c r="K285" s="60">
        <f t="shared" si="2"/>
        <v>0</v>
      </c>
      <c r="L285" s="117"/>
    </row>
    <row r="286" ht="15.75" customHeight="1">
      <c r="A286" s="9"/>
      <c r="B286" s="164"/>
      <c r="C286" s="110"/>
      <c r="D286" s="156"/>
      <c r="E286" s="111"/>
      <c r="F286" s="112"/>
      <c r="G286" s="113"/>
      <c r="H286" s="53">
        <f t="shared" si="1"/>
        <v>0</v>
      </c>
      <c r="I286" s="115"/>
      <c r="J286" s="115"/>
      <c r="K286" s="60">
        <f t="shared" si="2"/>
        <v>0</v>
      </c>
      <c r="L286" s="117"/>
    </row>
    <row r="287" ht="15.75" customHeight="1">
      <c r="A287" s="9"/>
      <c r="B287" s="164"/>
      <c r="C287" s="110"/>
      <c r="D287" s="156"/>
      <c r="E287" s="111"/>
      <c r="F287" s="112"/>
      <c r="G287" s="113"/>
      <c r="H287" s="53">
        <f t="shared" si="1"/>
        <v>0</v>
      </c>
      <c r="I287" s="115"/>
      <c r="J287" s="115"/>
      <c r="K287" s="60">
        <f t="shared" si="2"/>
        <v>0</v>
      </c>
      <c r="L287" s="117"/>
    </row>
    <row r="288" ht="15.75" customHeight="1">
      <c r="A288" s="9"/>
      <c r="B288" s="164"/>
      <c r="C288" s="110"/>
      <c r="D288" s="156"/>
      <c r="E288" s="111"/>
      <c r="F288" s="112"/>
      <c r="G288" s="113"/>
      <c r="H288" s="53">
        <f t="shared" si="1"/>
        <v>0</v>
      </c>
      <c r="I288" s="115"/>
      <c r="J288" s="115"/>
      <c r="K288" s="60">
        <f t="shared" si="2"/>
        <v>0</v>
      </c>
      <c r="L288" s="117"/>
    </row>
    <row r="289" ht="15.75" customHeight="1">
      <c r="A289" s="9"/>
      <c r="B289" s="164"/>
      <c r="C289" s="110"/>
      <c r="D289" s="156"/>
      <c r="E289" s="111"/>
      <c r="F289" s="112"/>
      <c r="G289" s="113"/>
      <c r="H289" s="53">
        <f t="shared" si="1"/>
        <v>0</v>
      </c>
      <c r="I289" s="115"/>
      <c r="J289" s="115"/>
      <c r="K289" s="60">
        <f t="shared" si="2"/>
        <v>0</v>
      </c>
      <c r="L289" s="117"/>
    </row>
    <row r="290" ht="15.75" customHeight="1">
      <c r="A290" s="9"/>
      <c r="B290" s="164"/>
      <c r="C290" s="110"/>
      <c r="D290" s="156"/>
      <c r="E290" s="111"/>
      <c r="F290" s="112"/>
      <c r="G290" s="113"/>
      <c r="H290" s="53">
        <f t="shared" si="1"/>
        <v>0</v>
      </c>
      <c r="I290" s="115"/>
      <c r="J290" s="115"/>
      <c r="K290" s="60">
        <f t="shared" si="2"/>
        <v>0</v>
      </c>
      <c r="L290" s="117"/>
    </row>
    <row r="291" ht="15.75" customHeight="1">
      <c r="A291" s="9"/>
      <c r="B291" s="164"/>
      <c r="C291" s="110"/>
      <c r="D291" s="156"/>
      <c r="E291" s="111"/>
      <c r="F291" s="112"/>
      <c r="G291" s="113"/>
      <c r="H291" s="53">
        <f t="shared" si="1"/>
        <v>0</v>
      </c>
      <c r="I291" s="115"/>
      <c r="J291" s="115"/>
      <c r="K291" s="60">
        <f t="shared" si="2"/>
        <v>0</v>
      </c>
      <c r="L291" s="117"/>
    </row>
    <row r="292" ht="15.75" customHeight="1">
      <c r="A292" s="9"/>
      <c r="B292" s="164"/>
      <c r="C292" s="110"/>
      <c r="D292" s="156"/>
      <c r="E292" s="111"/>
      <c r="F292" s="112"/>
      <c r="G292" s="113"/>
      <c r="H292" s="53">
        <f t="shared" si="1"/>
        <v>0</v>
      </c>
      <c r="I292" s="115"/>
      <c r="J292" s="115"/>
      <c r="K292" s="60">
        <f t="shared" si="2"/>
        <v>0</v>
      </c>
      <c r="L292" s="117"/>
    </row>
    <row r="293" ht="15.75" customHeight="1">
      <c r="A293" s="9"/>
      <c r="B293" s="164"/>
      <c r="C293" s="110"/>
      <c r="D293" s="156"/>
      <c r="E293" s="111"/>
      <c r="F293" s="112"/>
      <c r="G293" s="113"/>
      <c r="H293" s="53">
        <f t="shared" si="1"/>
        <v>0</v>
      </c>
      <c r="I293" s="115"/>
      <c r="J293" s="115"/>
      <c r="K293" s="60">
        <f t="shared" si="2"/>
        <v>0</v>
      </c>
      <c r="L293" s="117"/>
    </row>
    <row r="294" ht="15.75" customHeight="1">
      <c r="A294" s="9"/>
      <c r="B294" s="164"/>
      <c r="C294" s="110"/>
      <c r="D294" s="156"/>
      <c r="E294" s="111"/>
      <c r="F294" s="112"/>
      <c r="G294" s="113"/>
      <c r="H294" s="53">
        <f t="shared" si="1"/>
        <v>0</v>
      </c>
      <c r="I294" s="115"/>
      <c r="J294" s="115"/>
      <c r="K294" s="60">
        <f t="shared" si="2"/>
        <v>0</v>
      </c>
      <c r="L294" s="117"/>
    </row>
    <row r="295" ht="15.75" customHeight="1">
      <c r="A295" s="9"/>
      <c r="B295" s="164"/>
      <c r="C295" s="110"/>
      <c r="D295" s="156"/>
      <c r="E295" s="111"/>
      <c r="F295" s="112"/>
      <c r="G295" s="113"/>
      <c r="H295" s="53">
        <f t="shared" si="1"/>
        <v>0</v>
      </c>
      <c r="I295" s="115"/>
      <c r="J295" s="115"/>
      <c r="K295" s="60">
        <f t="shared" si="2"/>
        <v>0</v>
      </c>
      <c r="L295" s="117"/>
    </row>
    <row r="296" ht="15.75" customHeight="1">
      <c r="A296" s="9"/>
      <c r="B296" s="164"/>
      <c r="C296" s="110"/>
      <c r="D296" s="156"/>
      <c r="E296" s="111"/>
      <c r="F296" s="112"/>
      <c r="G296" s="113"/>
      <c r="H296" s="53">
        <f t="shared" si="1"/>
        <v>0</v>
      </c>
      <c r="I296" s="115"/>
      <c r="J296" s="115"/>
      <c r="K296" s="60">
        <f t="shared" si="2"/>
        <v>0</v>
      </c>
      <c r="L296" s="117"/>
    </row>
    <row r="297" ht="15.75" customHeight="1">
      <c r="A297" s="9"/>
      <c r="B297" s="164"/>
      <c r="C297" s="110"/>
      <c r="D297" s="156"/>
      <c r="E297" s="111"/>
      <c r="F297" s="112"/>
      <c r="G297" s="113"/>
      <c r="H297" s="53">
        <f t="shared" si="1"/>
        <v>0</v>
      </c>
      <c r="I297" s="115"/>
      <c r="J297" s="115"/>
      <c r="K297" s="60">
        <f t="shared" si="2"/>
        <v>0</v>
      </c>
      <c r="L297" s="117"/>
    </row>
    <row r="298" ht="15.75" customHeight="1">
      <c r="A298" s="9"/>
      <c r="B298" s="164"/>
      <c r="C298" s="110"/>
      <c r="D298" s="156"/>
      <c r="E298" s="111"/>
      <c r="F298" s="112"/>
      <c r="G298" s="113"/>
      <c r="H298" s="53">
        <f t="shared" si="1"/>
        <v>0</v>
      </c>
      <c r="I298" s="115"/>
      <c r="J298" s="115"/>
      <c r="K298" s="60">
        <f t="shared" si="2"/>
        <v>0</v>
      </c>
      <c r="L298" s="117"/>
    </row>
    <row r="299" ht="15.75" customHeight="1">
      <c r="A299" s="9"/>
      <c r="B299" s="164"/>
      <c r="C299" s="110"/>
      <c r="D299" s="156"/>
      <c r="E299" s="111"/>
      <c r="F299" s="112"/>
      <c r="G299" s="113"/>
      <c r="H299" s="53">
        <f t="shared" si="1"/>
        <v>0</v>
      </c>
      <c r="I299" s="115"/>
      <c r="J299" s="115"/>
      <c r="K299" s="60">
        <f t="shared" si="2"/>
        <v>0</v>
      </c>
      <c r="L299" s="117"/>
    </row>
    <row r="300" ht="15.75" customHeight="1">
      <c r="A300" s="9"/>
      <c r="B300" s="164"/>
      <c r="C300" s="110"/>
      <c r="D300" s="156"/>
      <c r="E300" s="111"/>
      <c r="F300" s="112"/>
      <c r="G300" s="113"/>
      <c r="H300" s="53">
        <f t="shared" si="1"/>
        <v>0</v>
      </c>
      <c r="I300" s="115"/>
      <c r="J300" s="115"/>
      <c r="K300" s="60">
        <f t="shared" si="2"/>
        <v>0</v>
      </c>
      <c r="L300" s="117"/>
    </row>
    <row r="301" ht="15.75" customHeight="1">
      <c r="A301" s="9"/>
      <c r="B301" s="164"/>
      <c r="C301" s="110"/>
      <c r="D301" s="156"/>
      <c r="E301" s="111"/>
      <c r="F301" s="112"/>
      <c r="G301" s="113"/>
      <c r="H301" s="53">
        <f t="shared" si="1"/>
        <v>0</v>
      </c>
      <c r="I301" s="115"/>
      <c r="J301" s="115"/>
      <c r="K301" s="60">
        <f t="shared" si="2"/>
        <v>0</v>
      </c>
      <c r="L301" s="117"/>
    </row>
    <row r="302" ht="15.75" customHeight="1">
      <c r="A302" s="9"/>
      <c r="B302" s="164"/>
      <c r="C302" s="110"/>
      <c r="D302" s="156"/>
      <c r="E302" s="111"/>
      <c r="F302" s="112"/>
      <c r="G302" s="113"/>
      <c r="H302" s="53">
        <f t="shared" si="1"/>
        <v>0</v>
      </c>
      <c r="I302" s="115"/>
      <c r="J302" s="115"/>
      <c r="K302" s="60">
        <f t="shared" si="2"/>
        <v>0</v>
      </c>
      <c r="L302" s="117"/>
    </row>
    <row r="303" ht="15.75" customHeight="1">
      <c r="A303" s="9"/>
      <c r="B303" s="164"/>
      <c r="C303" s="110"/>
      <c r="D303" s="156"/>
      <c r="E303" s="111"/>
      <c r="F303" s="112"/>
      <c r="G303" s="113"/>
      <c r="H303" s="53">
        <f t="shared" si="1"/>
        <v>0</v>
      </c>
      <c r="I303" s="115"/>
      <c r="J303" s="115"/>
      <c r="K303" s="60">
        <f t="shared" si="2"/>
        <v>0</v>
      </c>
      <c r="L303" s="117"/>
    </row>
    <row r="304" ht="15.75" customHeight="1">
      <c r="A304" s="9"/>
      <c r="B304" s="164"/>
      <c r="C304" s="110"/>
      <c r="D304" s="156"/>
      <c r="E304" s="111"/>
      <c r="F304" s="112"/>
      <c r="G304" s="113"/>
      <c r="H304" s="53">
        <f t="shared" si="1"/>
        <v>0</v>
      </c>
      <c r="I304" s="115"/>
      <c r="J304" s="115"/>
      <c r="K304" s="60">
        <f t="shared" si="2"/>
        <v>0</v>
      </c>
      <c r="L304" s="117"/>
    </row>
    <row r="305" ht="15.75" customHeight="1">
      <c r="A305" s="9"/>
      <c r="B305" s="164"/>
      <c r="C305" s="110"/>
      <c r="D305" s="156"/>
      <c r="E305" s="111"/>
      <c r="F305" s="112"/>
      <c r="G305" s="113"/>
      <c r="H305" s="53">
        <f t="shared" si="1"/>
        <v>0</v>
      </c>
      <c r="I305" s="115"/>
      <c r="J305" s="115"/>
      <c r="K305" s="60">
        <f t="shared" si="2"/>
        <v>0</v>
      </c>
      <c r="L305" s="117"/>
    </row>
    <row r="306" ht="15.75" customHeight="1">
      <c r="A306" s="9"/>
      <c r="B306" s="164"/>
      <c r="C306" s="110"/>
      <c r="D306" s="156"/>
      <c r="E306" s="111"/>
      <c r="F306" s="112"/>
      <c r="G306" s="113"/>
      <c r="H306" s="53">
        <f t="shared" si="1"/>
        <v>0</v>
      </c>
      <c r="I306" s="115"/>
      <c r="J306" s="115"/>
      <c r="K306" s="60">
        <f t="shared" si="2"/>
        <v>0</v>
      </c>
      <c r="L306" s="117"/>
    </row>
    <row r="307" ht="15.75" customHeight="1">
      <c r="A307" s="9"/>
      <c r="B307" s="164"/>
      <c r="C307" s="110"/>
      <c r="D307" s="156"/>
      <c r="E307" s="111"/>
      <c r="F307" s="112"/>
      <c r="G307" s="113"/>
      <c r="H307" s="53">
        <f t="shared" si="1"/>
        <v>0</v>
      </c>
      <c r="I307" s="115"/>
      <c r="J307" s="115"/>
      <c r="K307" s="60">
        <f t="shared" si="2"/>
        <v>0</v>
      </c>
      <c r="L307" s="117"/>
    </row>
    <row r="308" ht="15.75" customHeight="1">
      <c r="A308" s="9"/>
      <c r="B308" s="164"/>
      <c r="C308" s="110"/>
      <c r="D308" s="156"/>
      <c r="E308" s="111"/>
      <c r="F308" s="112"/>
      <c r="G308" s="113"/>
      <c r="H308" s="53">
        <f t="shared" si="1"/>
        <v>0</v>
      </c>
      <c r="I308" s="115"/>
      <c r="J308" s="115"/>
      <c r="K308" s="60">
        <f t="shared" si="2"/>
        <v>0</v>
      </c>
      <c r="L308" s="117"/>
    </row>
    <row r="309" ht="15.75" customHeight="1">
      <c r="A309" s="9"/>
      <c r="B309" s="164"/>
      <c r="C309" s="110"/>
      <c r="D309" s="156"/>
      <c r="E309" s="111"/>
      <c r="F309" s="112"/>
      <c r="G309" s="113"/>
      <c r="H309" s="53">
        <f t="shared" si="1"/>
        <v>0</v>
      </c>
      <c r="I309" s="115"/>
      <c r="J309" s="115"/>
      <c r="K309" s="60">
        <f t="shared" si="2"/>
        <v>0</v>
      </c>
      <c r="L309" s="117"/>
    </row>
    <row r="310" ht="15.75" customHeight="1">
      <c r="A310" s="9"/>
      <c r="B310" s="164"/>
      <c r="C310" s="110"/>
      <c r="D310" s="156"/>
      <c r="E310" s="111"/>
      <c r="F310" s="112"/>
      <c r="G310" s="113"/>
      <c r="H310" s="53">
        <f t="shared" si="1"/>
        <v>0</v>
      </c>
      <c r="I310" s="115"/>
      <c r="J310" s="115"/>
      <c r="K310" s="60">
        <f t="shared" si="2"/>
        <v>0</v>
      </c>
      <c r="L310" s="117"/>
    </row>
    <row r="311" ht="15.75" customHeight="1">
      <c r="A311" s="9"/>
      <c r="B311" s="164"/>
      <c r="C311" s="110"/>
      <c r="D311" s="156"/>
      <c r="E311" s="111"/>
      <c r="F311" s="112"/>
      <c r="G311" s="113"/>
      <c r="H311" s="53">
        <f t="shared" si="1"/>
        <v>0</v>
      </c>
      <c r="I311" s="115"/>
      <c r="J311" s="115"/>
      <c r="K311" s="60">
        <f t="shared" si="2"/>
        <v>0</v>
      </c>
      <c r="L311" s="117"/>
    </row>
    <row r="312" ht="15.75" customHeight="1">
      <c r="A312" s="9"/>
      <c r="B312" s="164"/>
      <c r="C312" s="110"/>
      <c r="D312" s="156"/>
      <c r="E312" s="111"/>
      <c r="F312" s="112"/>
      <c r="G312" s="113"/>
      <c r="H312" s="53">
        <f t="shared" si="1"/>
        <v>0</v>
      </c>
      <c r="I312" s="115"/>
      <c r="J312" s="115"/>
      <c r="K312" s="60">
        <f t="shared" si="2"/>
        <v>0</v>
      </c>
      <c r="L312" s="117"/>
    </row>
    <row r="313" ht="15.75" customHeight="1">
      <c r="A313" s="9"/>
      <c r="B313" s="164"/>
      <c r="C313" s="110"/>
      <c r="D313" s="156"/>
      <c r="E313" s="111"/>
      <c r="F313" s="112"/>
      <c r="G313" s="113"/>
      <c r="H313" s="53">
        <f t="shared" si="1"/>
        <v>0</v>
      </c>
      <c r="I313" s="115"/>
      <c r="J313" s="115"/>
      <c r="K313" s="60">
        <f t="shared" si="2"/>
        <v>0</v>
      </c>
      <c r="L313" s="117"/>
    </row>
    <row r="314" ht="15.75" customHeight="1">
      <c r="A314" s="9"/>
      <c r="B314" s="164"/>
      <c r="C314" s="110"/>
      <c r="D314" s="156"/>
      <c r="E314" s="111"/>
      <c r="F314" s="112"/>
      <c r="G314" s="113"/>
      <c r="H314" s="53">
        <f t="shared" si="1"/>
        <v>0</v>
      </c>
      <c r="I314" s="115"/>
      <c r="J314" s="115"/>
      <c r="K314" s="60">
        <f t="shared" si="2"/>
        <v>0</v>
      </c>
      <c r="L314" s="117"/>
    </row>
    <row r="315" ht="15.75" customHeight="1">
      <c r="A315" s="9"/>
      <c r="B315" s="164"/>
      <c r="C315" s="110"/>
      <c r="D315" s="156"/>
      <c r="E315" s="111"/>
      <c r="F315" s="112"/>
      <c r="G315" s="113"/>
      <c r="H315" s="53">
        <f t="shared" si="1"/>
        <v>0</v>
      </c>
      <c r="I315" s="115"/>
      <c r="J315" s="115"/>
      <c r="K315" s="60">
        <f t="shared" si="2"/>
        <v>0</v>
      </c>
      <c r="L315" s="117"/>
    </row>
    <row r="316" ht="15.75" customHeight="1">
      <c r="A316" s="9"/>
      <c r="B316" s="164"/>
      <c r="C316" s="110"/>
      <c r="D316" s="156"/>
      <c r="E316" s="111"/>
      <c r="F316" s="112"/>
      <c r="G316" s="113"/>
      <c r="H316" s="53">
        <f t="shared" si="1"/>
        <v>0</v>
      </c>
      <c r="I316" s="115"/>
      <c r="J316" s="115"/>
      <c r="K316" s="60">
        <f t="shared" si="2"/>
        <v>0</v>
      </c>
      <c r="L316" s="117"/>
    </row>
    <row r="317" ht="15.75" customHeight="1">
      <c r="A317" s="9"/>
      <c r="B317" s="164"/>
      <c r="C317" s="110"/>
      <c r="D317" s="156"/>
      <c r="E317" s="111"/>
      <c r="F317" s="112"/>
      <c r="G317" s="113"/>
      <c r="H317" s="53">
        <f t="shared" si="1"/>
        <v>0</v>
      </c>
      <c r="I317" s="115"/>
      <c r="J317" s="115"/>
      <c r="K317" s="60">
        <f t="shared" si="2"/>
        <v>0</v>
      </c>
      <c r="L317" s="117"/>
    </row>
    <row r="318" ht="15.75" customHeight="1">
      <c r="A318" s="9"/>
      <c r="B318" s="164"/>
      <c r="C318" s="110"/>
      <c r="D318" s="156"/>
      <c r="E318" s="111"/>
      <c r="F318" s="112"/>
      <c r="G318" s="113"/>
      <c r="H318" s="53">
        <f t="shared" si="1"/>
        <v>0</v>
      </c>
      <c r="I318" s="115"/>
      <c r="J318" s="115"/>
      <c r="K318" s="60">
        <f t="shared" si="2"/>
        <v>0</v>
      </c>
      <c r="L318" s="117"/>
    </row>
    <row r="319" ht="15.75" customHeight="1">
      <c r="A319" s="9"/>
      <c r="B319" s="164"/>
      <c r="C319" s="110"/>
      <c r="D319" s="156"/>
      <c r="E319" s="111"/>
      <c r="F319" s="112"/>
      <c r="G319" s="113"/>
      <c r="H319" s="53">
        <f t="shared" si="1"/>
        <v>0</v>
      </c>
      <c r="I319" s="115"/>
      <c r="J319" s="115"/>
      <c r="K319" s="60">
        <f t="shared" si="2"/>
        <v>0</v>
      </c>
      <c r="L319" s="117"/>
    </row>
    <row r="320" ht="15.75" customHeight="1">
      <c r="A320" s="9"/>
      <c r="B320" s="164"/>
      <c r="C320" s="110"/>
      <c r="D320" s="156"/>
      <c r="E320" s="111"/>
      <c r="F320" s="112"/>
      <c r="G320" s="113"/>
      <c r="H320" s="53">
        <f t="shared" si="1"/>
        <v>0</v>
      </c>
      <c r="I320" s="115"/>
      <c r="J320" s="115"/>
      <c r="K320" s="60">
        <f t="shared" si="2"/>
        <v>0</v>
      </c>
      <c r="L320" s="117"/>
    </row>
    <row r="321" ht="15.75" customHeight="1">
      <c r="A321" s="9"/>
      <c r="B321" s="164"/>
      <c r="C321" s="110"/>
      <c r="D321" s="156"/>
      <c r="E321" s="111"/>
      <c r="F321" s="112"/>
      <c r="G321" s="113"/>
      <c r="H321" s="53">
        <f t="shared" si="1"/>
        <v>0</v>
      </c>
      <c r="I321" s="115"/>
      <c r="J321" s="115"/>
      <c r="K321" s="60">
        <f t="shared" si="2"/>
        <v>0</v>
      </c>
      <c r="L321" s="117"/>
    </row>
    <row r="322" ht="15.75" customHeight="1">
      <c r="A322" s="9"/>
      <c r="B322" s="164"/>
      <c r="C322" s="110"/>
      <c r="D322" s="156"/>
      <c r="E322" s="111"/>
      <c r="F322" s="112"/>
      <c r="G322" s="113"/>
      <c r="H322" s="53">
        <f t="shared" si="1"/>
        <v>0</v>
      </c>
      <c r="I322" s="115"/>
      <c r="J322" s="115"/>
      <c r="K322" s="60">
        <f t="shared" si="2"/>
        <v>0</v>
      </c>
      <c r="L322" s="117"/>
    </row>
    <row r="323" ht="15.75" customHeight="1">
      <c r="A323" s="9"/>
      <c r="B323" s="164"/>
      <c r="C323" s="110"/>
      <c r="D323" s="156"/>
      <c r="E323" s="111"/>
      <c r="F323" s="112"/>
      <c r="G323" s="113"/>
      <c r="H323" s="53">
        <f t="shared" si="1"/>
        <v>0</v>
      </c>
      <c r="I323" s="115"/>
      <c r="J323" s="115"/>
      <c r="K323" s="60">
        <f t="shared" si="2"/>
        <v>0</v>
      </c>
      <c r="L323" s="117"/>
    </row>
    <row r="324" ht="15.75" customHeight="1">
      <c r="A324" s="9"/>
      <c r="B324" s="164"/>
      <c r="C324" s="110"/>
      <c r="D324" s="156"/>
      <c r="E324" s="111"/>
      <c r="F324" s="112"/>
      <c r="G324" s="113"/>
      <c r="H324" s="53">
        <f t="shared" si="1"/>
        <v>0</v>
      </c>
      <c r="I324" s="115"/>
      <c r="J324" s="115"/>
      <c r="K324" s="60">
        <f t="shared" si="2"/>
        <v>0</v>
      </c>
      <c r="L324" s="117"/>
    </row>
    <row r="325" ht="15.75" customHeight="1">
      <c r="A325" s="9"/>
      <c r="B325" s="164"/>
      <c r="C325" s="110"/>
      <c r="D325" s="156"/>
      <c r="E325" s="111"/>
      <c r="F325" s="112"/>
      <c r="G325" s="113"/>
      <c r="H325" s="53">
        <f t="shared" si="1"/>
        <v>0</v>
      </c>
      <c r="I325" s="115"/>
      <c r="J325" s="115"/>
      <c r="K325" s="60">
        <f t="shared" si="2"/>
        <v>0</v>
      </c>
      <c r="L325" s="117"/>
    </row>
    <row r="326" ht="15.75" customHeight="1">
      <c r="A326" s="9"/>
      <c r="B326" s="164"/>
      <c r="C326" s="110"/>
      <c r="D326" s="156"/>
      <c r="E326" s="111"/>
      <c r="F326" s="112"/>
      <c r="G326" s="113"/>
      <c r="H326" s="53">
        <f t="shared" si="1"/>
        <v>0</v>
      </c>
      <c r="I326" s="115"/>
      <c r="J326" s="115"/>
      <c r="K326" s="60">
        <f t="shared" si="2"/>
        <v>0</v>
      </c>
      <c r="L326" s="117"/>
    </row>
    <row r="327" ht="15.75" customHeight="1">
      <c r="A327" s="9"/>
      <c r="B327" s="164"/>
      <c r="C327" s="110"/>
      <c r="D327" s="156"/>
      <c r="E327" s="111"/>
      <c r="F327" s="112"/>
      <c r="G327" s="113"/>
      <c r="H327" s="53">
        <f t="shared" si="1"/>
        <v>0</v>
      </c>
      <c r="I327" s="115"/>
      <c r="J327" s="115"/>
      <c r="K327" s="60">
        <f t="shared" si="2"/>
        <v>0</v>
      </c>
      <c r="L327" s="117"/>
    </row>
    <row r="328" ht="15.75" customHeight="1">
      <c r="A328" s="9"/>
      <c r="B328" s="164"/>
      <c r="C328" s="110"/>
      <c r="D328" s="156"/>
      <c r="E328" s="111"/>
      <c r="F328" s="112"/>
      <c r="G328" s="113"/>
      <c r="H328" s="53">
        <f t="shared" si="1"/>
        <v>0</v>
      </c>
      <c r="I328" s="115"/>
      <c r="J328" s="115"/>
      <c r="K328" s="60">
        <f t="shared" si="2"/>
        <v>0</v>
      </c>
      <c r="L328" s="117"/>
    </row>
    <row r="329" ht="15.75" customHeight="1">
      <c r="A329" s="9"/>
      <c r="B329" s="164"/>
      <c r="C329" s="110"/>
      <c r="D329" s="156"/>
      <c r="E329" s="111"/>
      <c r="F329" s="112"/>
      <c r="G329" s="113"/>
      <c r="H329" s="53">
        <f t="shared" si="1"/>
        <v>0</v>
      </c>
      <c r="I329" s="115"/>
      <c r="J329" s="115"/>
      <c r="K329" s="60">
        <f t="shared" si="2"/>
        <v>0</v>
      </c>
      <c r="L329" s="117"/>
    </row>
    <row r="330" ht="15.75" customHeight="1">
      <c r="A330" s="9"/>
      <c r="B330" s="164"/>
      <c r="C330" s="110"/>
      <c r="D330" s="156"/>
      <c r="E330" s="111"/>
      <c r="F330" s="112"/>
      <c r="G330" s="113"/>
      <c r="H330" s="53">
        <f t="shared" si="1"/>
        <v>0</v>
      </c>
      <c r="I330" s="115"/>
      <c r="J330" s="115"/>
      <c r="K330" s="60">
        <f t="shared" si="2"/>
        <v>0</v>
      </c>
      <c r="L330" s="117"/>
    </row>
    <row r="331" ht="15.75" customHeight="1">
      <c r="A331" s="9"/>
      <c r="B331" s="164"/>
      <c r="C331" s="110"/>
      <c r="D331" s="156"/>
      <c r="E331" s="111"/>
      <c r="F331" s="112"/>
      <c r="G331" s="113"/>
      <c r="H331" s="53">
        <f t="shared" si="1"/>
        <v>0</v>
      </c>
      <c r="I331" s="115"/>
      <c r="J331" s="115"/>
      <c r="K331" s="60">
        <f t="shared" si="2"/>
        <v>0</v>
      </c>
      <c r="L331" s="117"/>
    </row>
    <row r="332" ht="15.75" customHeight="1">
      <c r="A332" s="9"/>
      <c r="B332" s="164"/>
      <c r="C332" s="110"/>
      <c r="D332" s="156"/>
      <c r="E332" s="111"/>
      <c r="F332" s="112"/>
      <c r="G332" s="113"/>
      <c r="H332" s="53">
        <f t="shared" si="1"/>
        <v>0</v>
      </c>
      <c r="I332" s="115"/>
      <c r="J332" s="115"/>
      <c r="K332" s="60">
        <f t="shared" si="2"/>
        <v>0</v>
      </c>
      <c r="L332" s="117"/>
    </row>
    <row r="333" ht="15.75" customHeight="1">
      <c r="A333" s="9"/>
      <c r="B333" s="164"/>
      <c r="C333" s="110"/>
      <c r="D333" s="156"/>
      <c r="E333" s="111"/>
      <c r="F333" s="112"/>
      <c r="G333" s="113"/>
      <c r="H333" s="53">
        <f t="shared" si="1"/>
        <v>0</v>
      </c>
      <c r="I333" s="115"/>
      <c r="J333" s="115"/>
      <c r="K333" s="60">
        <f t="shared" si="2"/>
        <v>0</v>
      </c>
      <c r="L333" s="117"/>
    </row>
    <row r="334" ht="15.75" customHeight="1">
      <c r="A334" s="9"/>
      <c r="B334" s="164"/>
      <c r="C334" s="110"/>
      <c r="D334" s="156"/>
      <c r="E334" s="111"/>
      <c r="F334" s="112"/>
      <c r="G334" s="113"/>
      <c r="H334" s="53">
        <f t="shared" si="1"/>
        <v>0</v>
      </c>
      <c r="I334" s="115"/>
      <c r="J334" s="115"/>
      <c r="K334" s="60">
        <f t="shared" si="2"/>
        <v>0</v>
      </c>
      <c r="L334" s="117"/>
    </row>
    <row r="335" ht="15.75" customHeight="1">
      <c r="A335" s="9"/>
      <c r="B335" s="164"/>
      <c r="C335" s="110"/>
      <c r="D335" s="156"/>
      <c r="E335" s="111"/>
      <c r="F335" s="112"/>
      <c r="G335" s="113"/>
      <c r="H335" s="53">
        <f t="shared" si="1"/>
        <v>0</v>
      </c>
      <c r="I335" s="115"/>
      <c r="J335" s="115"/>
      <c r="K335" s="60">
        <f t="shared" si="2"/>
        <v>0</v>
      </c>
      <c r="L335" s="117"/>
    </row>
    <row r="336" ht="15.75" customHeight="1">
      <c r="A336" s="9"/>
      <c r="B336" s="164"/>
      <c r="C336" s="110"/>
      <c r="D336" s="156"/>
      <c r="E336" s="111"/>
      <c r="F336" s="112"/>
      <c r="G336" s="113"/>
      <c r="H336" s="53">
        <f t="shared" si="1"/>
        <v>0</v>
      </c>
      <c r="I336" s="115"/>
      <c r="J336" s="115"/>
      <c r="K336" s="60">
        <f t="shared" si="2"/>
        <v>0</v>
      </c>
      <c r="L336" s="117"/>
    </row>
    <row r="337" ht="15.75" customHeight="1">
      <c r="A337" s="9"/>
      <c r="B337" s="164"/>
      <c r="C337" s="110"/>
      <c r="D337" s="156"/>
      <c r="E337" s="111"/>
      <c r="F337" s="112"/>
      <c r="G337" s="113"/>
      <c r="H337" s="53">
        <f t="shared" si="1"/>
        <v>0</v>
      </c>
      <c r="I337" s="115"/>
      <c r="J337" s="115"/>
      <c r="K337" s="60">
        <f t="shared" si="2"/>
        <v>0</v>
      </c>
      <c r="L337" s="117"/>
    </row>
    <row r="338" ht="15.75" customHeight="1">
      <c r="A338" s="9"/>
      <c r="B338" s="164"/>
      <c r="C338" s="110"/>
      <c r="D338" s="156"/>
      <c r="E338" s="111"/>
      <c r="F338" s="112"/>
      <c r="G338" s="113"/>
      <c r="H338" s="53">
        <f t="shared" si="1"/>
        <v>0</v>
      </c>
      <c r="I338" s="115"/>
      <c r="J338" s="115"/>
      <c r="K338" s="60">
        <f t="shared" si="2"/>
        <v>0</v>
      </c>
      <c r="L338" s="117"/>
    </row>
    <row r="339" ht="15.75" customHeight="1">
      <c r="A339" s="9"/>
      <c r="B339" s="164"/>
      <c r="C339" s="110"/>
      <c r="D339" s="156"/>
      <c r="E339" s="111"/>
      <c r="F339" s="112"/>
      <c r="G339" s="113"/>
      <c r="H339" s="53">
        <f t="shared" si="1"/>
        <v>0</v>
      </c>
      <c r="I339" s="115"/>
      <c r="J339" s="115"/>
      <c r="K339" s="60">
        <f t="shared" si="2"/>
        <v>0</v>
      </c>
      <c r="L339" s="117"/>
    </row>
    <row r="340" ht="15.75" customHeight="1">
      <c r="A340" s="9"/>
      <c r="B340" s="164"/>
      <c r="C340" s="110"/>
      <c r="D340" s="156"/>
      <c r="E340" s="111"/>
      <c r="F340" s="112"/>
      <c r="G340" s="113"/>
      <c r="H340" s="53">
        <f t="shared" si="1"/>
        <v>0</v>
      </c>
      <c r="I340" s="115"/>
      <c r="J340" s="115"/>
      <c r="K340" s="60">
        <f t="shared" si="2"/>
        <v>0</v>
      </c>
      <c r="L340" s="117"/>
    </row>
    <row r="341" ht="15.75" customHeight="1">
      <c r="A341" s="9"/>
      <c r="B341" s="164"/>
      <c r="C341" s="110"/>
      <c r="D341" s="156"/>
      <c r="E341" s="111"/>
      <c r="F341" s="112"/>
      <c r="G341" s="113"/>
      <c r="H341" s="53">
        <f t="shared" si="1"/>
        <v>0</v>
      </c>
      <c r="I341" s="115"/>
      <c r="J341" s="115"/>
      <c r="K341" s="60">
        <f t="shared" si="2"/>
        <v>0</v>
      </c>
      <c r="L341" s="117"/>
    </row>
    <row r="342" ht="15.75" customHeight="1">
      <c r="A342" s="9"/>
      <c r="B342" s="164"/>
      <c r="C342" s="110"/>
      <c r="D342" s="156"/>
      <c r="E342" s="111"/>
      <c r="F342" s="112"/>
      <c r="G342" s="113"/>
      <c r="H342" s="53">
        <f t="shared" si="1"/>
        <v>0</v>
      </c>
      <c r="I342" s="115"/>
      <c r="J342" s="115"/>
      <c r="K342" s="60">
        <f t="shared" si="2"/>
        <v>0</v>
      </c>
      <c r="L342" s="117"/>
    </row>
    <row r="343" ht="15.75" customHeight="1">
      <c r="A343" s="9"/>
      <c r="B343" s="164"/>
      <c r="C343" s="110"/>
      <c r="D343" s="156"/>
      <c r="E343" s="111"/>
      <c r="F343" s="112"/>
      <c r="G343" s="113"/>
      <c r="H343" s="53">
        <f t="shared" si="1"/>
        <v>0</v>
      </c>
      <c r="I343" s="115"/>
      <c r="J343" s="115"/>
      <c r="K343" s="60">
        <f t="shared" si="2"/>
        <v>0</v>
      </c>
      <c r="L343" s="117"/>
    </row>
    <row r="344" ht="15.75" customHeight="1">
      <c r="A344" s="9"/>
      <c r="B344" s="164"/>
      <c r="C344" s="110"/>
      <c r="D344" s="156"/>
      <c r="E344" s="111"/>
      <c r="F344" s="112"/>
      <c r="G344" s="113"/>
      <c r="H344" s="53">
        <f t="shared" si="1"/>
        <v>0</v>
      </c>
      <c r="I344" s="115"/>
      <c r="J344" s="115"/>
      <c r="K344" s="60">
        <f t="shared" si="2"/>
        <v>0</v>
      </c>
      <c r="L344" s="117"/>
    </row>
    <row r="345" ht="15.75" customHeight="1">
      <c r="A345" s="9"/>
      <c r="B345" s="164"/>
      <c r="C345" s="110"/>
      <c r="D345" s="156"/>
      <c r="E345" s="111"/>
      <c r="F345" s="112"/>
      <c r="G345" s="113"/>
      <c r="H345" s="53">
        <f t="shared" si="1"/>
        <v>0</v>
      </c>
      <c r="I345" s="115"/>
      <c r="J345" s="115"/>
      <c r="K345" s="60">
        <f t="shared" si="2"/>
        <v>0</v>
      </c>
      <c r="L345" s="117"/>
    </row>
    <row r="346" ht="15.75" customHeight="1">
      <c r="A346" s="9"/>
      <c r="B346" s="164"/>
      <c r="C346" s="110"/>
      <c r="D346" s="156"/>
      <c r="E346" s="111"/>
      <c r="F346" s="112"/>
      <c r="G346" s="113"/>
      <c r="H346" s="53">
        <f t="shared" si="1"/>
        <v>0</v>
      </c>
      <c r="I346" s="115"/>
      <c r="J346" s="115"/>
      <c r="K346" s="60">
        <f t="shared" si="2"/>
        <v>0</v>
      </c>
      <c r="L346" s="117"/>
    </row>
    <row r="347" ht="15.75" customHeight="1">
      <c r="A347" s="9"/>
      <c r="B347" s="164"/>
      <c r="C347" s="110"/>
      <c r="D347" s="156"/>
      <c r="E347" s="111"/>
      <c r="F347" s="112"/>
      <c r="G347" s="113"/>
      <c r="H347" s="53">
        <f t="shared" si="1"/>
        <v>0</v>
      </c>
      <c r="I347" s="115"/>
      <c r="J347" s="115"/>
      <c r="K347" s="60">
        <f t="shared" si="2"/>
        <v>0</v>
      </c>
      <c r="L347" s="117"/>
    </row>
    <row r="348" ht="15.75" customHeight="1">
      <c r="A348" s="9"/>
      <c r="B348" s="164"/>
      <c r="C348" s="110"/>
      <c r="D348" s="156"/>
      <c r="E348" s="111"/>
      <c r="F348" s="112"/>
      <c r="G348" s="113"/>
      <c r="H348" s="53">
        <f t="shared" si="1"/>
        <v>0</v>
      </c>
      <c r="I348" s="115"/>
      <c r="J348" s="115"/>
      <c r="K348" s="60">
        <f t="shared" si="2"/>
        <v>0</v>
      </c>
      <c r="L348" s="117"/>
    </row>
    <row r="349" ht="15.75" customHeight="1">
      <c r="A349" s="9"/>
      <c r="B349" s="164"/>
      <c r="C349" s="110"/>
      <c r="D349" s="156"/>
      <c r="E349" s="111"/>
      <c r="F349" s="112"/>
      <c r="G349" s="113"/>
      <c r="H349" s="53">
        <f t="shared" si="1"/>
        <v>0</v>
      </c>
      <c r="I349" s="115"/>
      <c r="J349" s="115"/>
      <c r="K349" s="60">
        <f t="shared" si="2"/>
        <v>0</v>
      </c>
      <c r="L349" s="117"/>
    </row>
    <row r="350" ht="15.75" customHeight="1">
      <c r="A350" s="9"/>
      <c r="B350" s="164"/>
      <c r="C350" s="110"/>
      <c r="D350" s="156"/>
      <c r="E350" s="111"/>
      <c r="F350" s="112"/>
      <c r="G350" s="113"/>
      <c r="H350" s="53">
        <f t="shared" si="1"/>
        <v>0</v>
      </c>
      <c r="I350" s="115"/>
      <c r="J350" s="115"/>
      <c r="K350" s="60">
        <f t="shared" si="2"/>
        <v>0</v>
      </c>
      <c r="L350" s="117"/>
    </row>
    <row r="351" ht="15.75" customHeight="1">
      <c r="A351" s="9"/>
      <c r="B351" s="164"/>
      <c r="C351" s="110"/>
      <c r="D351" s="156"/>
      <c r="E351" s="111"/>
      <c r="F351" s="112"/>
      <c r="G351" s="113"/>
      <c r="H351" s="53">
        <f t="shared" si="1"/>
        <v>0</v>
      </c>
      <c r="I351" s="115"/>
      <c r="J351" s="115"/>
      <c r="K351" s="60">
        <f t="shared" si="2"/>
        <v>0</v>
      </c>
      <c r="L351" s="117"/>
    </row>
    <row r="352" ht="15.75" customHeight="1">
      <c r="A352" s="9"/>
      <c r="B352" s="164"/>
      <c r="C352" s="110"/>
      <c r="D352" s="156"/>
      <c r="E352" s="111"/>
      <c r="F352" s="112"/>
      <c r="G352" s="113"/>
      <c r="H352" s="53">
        <f t="shared" si="1"/>
        <v>0</v>
      </c>
      <c r="I352" s="115"/>
      <c r="J352" s="115"/>
      <c r="K352" s="60">
        <f t="shared" si="2"/>
        <v>0</v>
      </c>
      <c r="L352" s="117"/>
    </row>
    <row r="353" ht="15.75" customHeight="1">
      <c r="A353" s="9"/>
      <c r="B353" s="164"/>
      <c r="C353" s="110"/>
      <c r="D353" s="156"/>
      <c r="E353" s="111"/>
      <c r="F353" s="112"/>
      <c r="G353" s="113"/>
      <c r="H353" s="53">
        <f t="shared" si="1"/>
        <v>0</v>
      </c>
      <c r="I353" s="115"/>
      <c r="J353" s="115"/>
      <c r="K353" s="60">
        <f t="shared" si="2"/>
        <v>0</v>
      </c>
      <c r="L353" s="117"/>
    </row>
    <row r="354" ht="15.75" customHeight="1">
      <c r="A354" s="9"/>
      <c r="B354" s="164"/>
      <c r="C354" s="110"/>
      <c r="D354" s="156"/>
      <c r="E354" s="111"/>
      <c r="F354" s="112"/>
      <c r="G354" s="113"/>
      <c r="H354" s="53">
        <f t="shared" si="1"/>
        <v>0</v>
      </c>
      <c r="I354" s="115"/>
      <c r="J354" s="115"/>
      <c r="K354" s="60">
        <f t="shared" si="2"/>
        <v>0</v>
      </c>
      <c r="L354" s="117"/>
    </row>
    <row r="355" ht="15.75" customHeight="1">
      <c r="A355" s="9"/>
      <c r="B355" s="164"/>
      <c r="C355" s="110"/>
      <c r="D355" s="156"/>
      <c r="E355" s="111"/>
      <c r="F355" s="112"/>
      <c r="G355" s="113"/>
      <c r="H355" s="53">
        <f t="shared" si="1"/>
        <v>0</v>
      </c>
      <c r="I355" s="115"/>
      <c r="J355" s="115"/>
      <c r="K355" s="60">
        <f t="shared" si="2"/>
        <v>0</v>
      </c>
      <c r="L355" s="117"/>
    </row>
    <row r="356" ht="15.75" customHeight="1">
      <c r="A356" s="9"/>
      <c r="B356" s="164"/>
      <c r="C356" s="110"/>
      <c r="D356" s="156"/>
      <c r="E356" s="111"/>
      <c r="F356" s="112"/>
      <c r="G356" s="113"/>
      <c r="H356" s="53">
        <f t="shared" si="1"/>
        <v>0</v>
      </c>
      <c r="I356" s="115"/>
      <c r="J356" s="115"/>
      <c r="K356" s="60">
        <f t="shared" si="2"/>
        <v>0</v>
      </c>
      <c r="L356" s="117"/>
    </row>
    <row r="357" ht="15.75" customHeight="1">
      <c r="A357" s="9"/>
      <c r="B357" s="164"/>
      <c r="C357" s="110"/>
      <c r="D357" s="156"/>
      <c r="E357" s="111"/>
      <c r="F357" s="112"/>
      <c r="G357" s="113"/>
      <c r="H357" s="53">
        <f t="shared" si="1"/>
        <v>0</v>
      </c>
      <c r="I357" s="115"/>
      <c r="J357" s="115"/>
      <c r="K357" s="60">
        <f t="shared" si="2"/>
        <v>0</v>
      </c>
      <c r="L357" s="117"/>
    </row>
    <row r="358" ht="15.75" customHeight="1">
      <c r="A358" s="9"/>
      <c r="B358" s="164"/>
      <c r="C358" s="110"/>
      <c r="D358" s="156"/>
      <c r="E358" s="111"/>
      <c r="F358" s="112"/>
      <c r="G358" s="113"/>
      <c r="H358" s="53">
        <f t="shared" si="1"/>
        <v>0</v>
      </c>
      <c r="I358" s="115"/>
      <c r="J358" s="115"/>
      <c r="K358" s="60">
        <f t="shared" si="2"/>
        <v>0</v>
      </c>
      <c r="L358" s="117"/>
    </row>
    <row r="359" ht="15.75" customHeight="1">
      <c r="A359" s="9"/>
      <c r="B359" s="164"/>
      <c r="C359" s="110"/>
      <c r="D359" s="156"/>
      <c r="E359" s="111"/>
      <c r="F359" s="112"/>
      <c r="G359" s="113"/>
      <c r="H359" s="53">
        <f t="shared" si="1"/>
        <v>0</v>
      </c>
      <c r="I359" s="115"/>
      <c r="J359" s="115"/>
      <c r="K359" s="60">
        <f t="shared" si="2"/>
        <v>0</v>
      </c>
      <c r="L359" s="117"/>
    </row>
    <row r="360" ht="15.75" customHeight="1">
      <c r="A360" s="9"/>
      <c r="B360" s="164"/>
      <c r="C360" s="110"/>
      <c r="D360" s="156"/>
      <c r="E360" s="111"/>
      <c r="F360" s="112"/>
      <c r="G360" s="113"/>
      <c r="H360" s="53">
        <f t="shared" si="1"/>
        <v>0</v>
      </c>
      <c r="I360" s="115"/>
      <c r="J360" s="115"/>
      <c r="K360" s="60">
        <f t="shared" si="2"/>
        <v>0</v>
      </c>
      <c r="L360" s="117"/>
    </row>
    <row r="361" ht="15.75" customHeight="1">
      <c r="A361" s="9"/>
      <c r="B361" s="164"/>
      <c r="C361" s="110"/>
      <c r="D361" s="156"/>
      <c r="E361" s="111"/>
      <c r="F361" s="112"/>
      <c r="G361" s="113"/>
      <c r="H361" s="53">
        <f t="shared" si="1"/>
        <v>0</v>
      </c>
      <c r="I361" s="115"/>
      <c r="J361" s="115"/>
      <c r="K361" s="60">
        <f t="shared" si="2"/>
        <v>0</v>
      </c>
      <c r="L361" s="117"/>
    </row>
    <row r="362" ht="15.75" customHeight="1">
      <c r="A362" s="9"/>
      <c r="B362" s="164"/>
      <c r="C362" s="110"/>
      <c r="D362" s="156"/>
      <c r="E362" s="111"/>
      <c r="F362" s="112"/>
      <c r="G362" s="113"/>
      <c r="H362" s="53">
        <f t="shared" si="1"/>
        <v>0</v>
      </c>
      <c r="I362" s="115"/>
      <c r="J362" s="115"/>
      <c r="K362" s="60">
        <f t="shared" si="2"/>
        <v>0</v>
      </c>
      <c r="L362" s="117"/>
    </row>
    <row r="363" ht="15.75" customHeight="1">
      <c r="A363" s="9"/>
      <c r="B363" s="164"/>
      <c r="C363" s="110"/>
      <c r="D363" s="156"/>
      <c r="E363" s="111"/>
      <c r="F363" s="112"/>
      <c r="G363" s="113"/>
      <c r="H363" s="53">
        <f t="shared" si="1"/>
        <v>0</v>
      </c>
      <c r="I363" s="115"/>
      <c r="J363" s="115"/>
      <c r="K363" s="60">
        <f t="shared" si="2"/>
        <v>0</v>
      </c>
      <c r="L363" s="117"/>
    </row>
    <row r="364" ht="15.75" customHeight="1">
      <c r="A364" s="9"/>
      <c r="B364" s="164"/>
      <c r="C364" s="110"/>
      <c r="D364" s="156"/>
      <c r="E364" s="111"/>
      <c r="F364" s="112"/>
      <c r="G364" s="113"/>
      <c r="H364" s="53">
        <f t="shared" si="1"/>
        <v>0</v>
      </c>
      <c r="I364" s="115"/>
      <c r="J364" s="115"/>
      <c r="K364" s="60">
        <f t="shared" si="2"/>
        <v>0</v>
      </c>
      <c r="L364" s="117"/>
    </row>
    <row r="365" ht="15.75" customHeight="1">
      <c r="A365" s="9"/>
      <c r="B365" s="164"/>
      <c r="C365" s="110"/>
      <c r="D365" s="156"/>
      <c r="E365" s="111"/>
      <c r="F365" s="112"/>
      <c r="G365" s="113"/>
      <c r="H365" s="53">
        <f t="shared" si="1"/>
        <v>0</v>
      </c>
      <c r="I365" s="115"/>
      <c r="J365" s="115"/>
      <c r="K365" s="60">
        <f t="shared" si="2"/>
        <v>0</v>
      </c>
      <c r="L365" s="117"/>
    </row>
    <row r="366" ht="15.75" customHeight="1">
      <c r="A366" s="9"/>
      <c r="B366" s="164"/>
      <c r="C366" s="110"/>
      <c r="D366" s="156"/>
      <c r="E366" s="111"/>
      <c r="F366" s="112"/>
      <c r="G366" s="113"/>
      <c r="H366" s="53">
        <f t="shared" si="1"/>
        <v>0</v>
      </c>
      <c r="I366" s="115"/>
      <c r="J366" s="115"/>
      <c r="K366" s="60">
        <f t="shared" si="2"/>
        <v>0</v>
      </c>
      <c r="L366" s="117"/>
    </row>
    <row r="367" ht="15.75" customHeight="1">
      <c r="A367" s="9"/>
      <c r="B367" s="164"/>
      <c r="C367" s="110"/>
      <c r="D367" s="156"/>
      <c r="E367" s="111"/>
      <c r="F367" s="112"/>
      <c r="G367" s="113"/>
      <c r="H367" s="53">
        <f t="shared" si="1"/>
        <v>0</v>
      </c>
      <c r="I367" s="115"/>
      <c r="J367" s="115"/>
      <c r="K367" s="60">
        <f t="shared" si="2"/>
        <v>0</v>
      </c>
      <c r="L367" s="117"/>
    </row>
    <row r="368" ht="15.75" customHeight="1">
      <c r="A368" s="9"/>
      <c r="B368" s="164"/>
      <c r="C368" s="110"/>
      <c r="D368" s="156"/>
      <c r="E368" s="111"/>
      <c r="F368" s="112"/>
      <c r="G368" s="113"/>
      <c r="H368" s="53">
        <f t="shared" si="1"/>
        <v>0</v>
      </c>
      <c r="I368" s="115"/>
      <c r="J368" s="115"/>
      <c r="K368" s="60">
        <f t="shared" si="2"/>
        <v>0</v>
      </c>
      <c r="L368" s="117"/>
    </row>
    <row r="369" ht="15.75" customHeight="1">
      <c r="A369" s="9"/>
      <c r="B369" s="164"/>
      <c r="C369" s="110"/>
      <c r="D369" s="156"/>
      <c r="E369" s="111"/>
      <c r="F369" s="112"/>
      <c r="G369" s="113"/>
      <c r="H369" s="53">
        <f t="shared" si="1"/>
        <v>0</v>
      </c>
      <c r="I369" s="115"/>
      <c r="J369" s="115"/>
      <c r="K369" s="60">
        <f t="shared" si="2"/>
        <v>0</v>
      </c>
      <c r="L369" s="117"/>
    </row>
    <row r="370" ht="15.75" customHeight="1">
      <c r="A370" s="9"/>
      <c r="B370" s="164"/>
      <c r="C370" s="110"/>
      <c r="D370" s="156"/>
      <c r="E370" s="111"/>
      <c r="F370" s="112"/>
      <c r="G370" s="113"/>
      <c r="H370" s="53">
        <f t="shared" si="1"/>
        <v>0</v>
      </c>
      <c r="I370" s="115"/>
      <c r="J370" s="115"/>
      <c r="K370" s="60">
        <f t="shared" si="2"/>
        <v>0</v>
      </c>
      <c r="L370" s="117"/>
    </row>
    <row r="371" ht="15.75" customHeight="1">
      <c r="A371" s="9"/>
      <c r="B371" s="164"/>
      <c r="C371" s="110"/>
      <c r="D371" s="156"/>
      <c r="E371" s="111"/>
      <c r="F371" s="112"/>
      <c r="G371" s="113"/>
      <c r="H371" s="53">
        <f t="shared" si="1"/>
        <v>0</v>
      </c>
      <c r="I371" s="115"/>
      <c r="J371" s="115"/>
      <c r="K371" s="60">
        <f t="shared" si="2"/>
        <v>0</v>
      </c>
      <c r="L371" s="117"/>
    </row>
    <row r="372" ht="15.75" customHeight="1">
      <c r="A372" s="9"/>
      <c r="B372" s="164"/>
      <c r="C372" s="110"/>
      <c r="D372" s="156"/>
      <c r="E372" s="111"/>
      <c r="F372" s="112"/>
      <c r="G372" s="113"/>
      <c r="H372" s="53">
        <f t="shared" si="1"/>
        <v>0</v>
      </c>
      <c r="I372" s="115"/>
      <c r="J372" s="115"/>
      <c r="K372" s="60">
        <f t="shared" si="2"/>
        <v>0</v>
      </c>
      <c r="L372" s="117"/>
    </row>
    <row r="373" ht="15.75" customHeight="1">
      <c r="A373" s="9"/>
      <c r="B373" s="164"/>
      <c r="C373" s="110"/>
      <c r="D373" s="156"/>
      <c r="E373" s="111"/>
      <c r="F373" s="112"/>
      <c r="G373" s="113"/>
      <c r="H373" s="53">
        <f t="shared" si="1"/>
        <v>0</v>
      </c>
      <c r="I373" s="115"/>
      <c r="J373" s="115"/>
      <c r="K373" s="60">
        <f t="shared" si="2"/>
        <v>0</v>
      </c>
      <c r="L373" s="117"/>
    </row>
    <row r="374" ht="15.75" customHeight="1">
      <c r="A374" s="9"/>
      <c r="B374" s="164"/>
      <c r="C374" s="110"/>
      <c r="D374" s="156"/>
      <c r="E374" s="111"/>
      <c r="F374" s="112"/>
      <c r="G374" s="113"/>
      <c r="H374" s="53">
        <f t="shared" si="1"/>
        <v>0</v>
      </c>
      <c r="I374" s="115"/>
      <c r="J374" s="115"/>
      <c r="K374" s="60">
        <f t="shared" si="2"/>
        <v>0</v>
      </c>
      <c r="L374" s="117"/>
    </row>
    <row r="375" ht="15.75" customHeight="1">
      <c r="A375" s="9"/>
      <c r="B375" s="164"/>
      <c r="C375" s="110"/>
      <c r="D375" s="156"/>
      <c r="E375" s="111"/>
      <c r="F375" s="112"/>
      <c r="G375" s="113"/>
      <c r="H375" s="53">
        <f t="shared" si="1"/>
        <v>0</v>
      </c>
      <c r="I375" s="115"/>
      <c r="J375" s="115"/>
      <c r="K375" s="60">
        <f t="shared" si="2"/>
        <v>0</v>
      </c>
      <c r="L375" s="117"/>
    </row>
    <row r="376" ht="15.75" customHeight="1">
      <c r="A376" s="9"/>
      <c r="B376" s="164"/>
      <c r="C376" s="110"/>
      <c r="D376" s="156"/>
      <c r="E376" s="111"/>
      <c r="F376" s="112"/>
      <c r="G376" s="113"/>
      <c r="H376" s="53">
        <f t="shared" si="1"/>
        <v>0</v>
      </c>
      <c r="I376" s="115"/>
      <c r="J376" s="115"/>
      <c r="K376" s="60">
        <f t="shared" si="2"/>
        <v>0</v>
      </c>
      <c r="L376" s="117"/>
    </row>
    <row r="377" ht="15.75" customHeight="1">
      <c r="A377" s="9"/>
      <c r="B377" s="164"/>
      <c r="C377" s="110"/>
      <c r="D377" s="156"/>
      <c r="E377" s="111"/>
      <c r="F377" s="112"/>
      <c r="G377" s="113"/>
      <c r="H377" s="53">
        <f t="shared" si="1"/>
        <v>0</v>
      </c>
      <c r="I377" s="115"/>
      <c r="J377" s="115"/>
      <c r="K377" s="60">
        <f t="shared" si="2"/>
        <v>0</v>
      </c>
      <c r="L377" s="117"/>
    </row>
    <row r="378" ht="15.75" customHeight="1">
      <c r="A378" s="9"/>
      <c r="B378" s="164"/>
      <c r="C378" s="110"/>
      <c r="D378" s="156"/>
      <c r="E378" s="111"/>
      <c r="F378" s="112"/>
      <c r="G378" s="113"/>
      <c r="H378" s="53">
        <f t="shared" si="1"/>
        <v>0</v>
      </c>
      <c r="I378" s="115"/>
      <c r="J378" s="115"/>
      <c r="K378" s="60">
        <f t="shared" si="2"/>
        <v>0</v>
      </c>
      <c r="L378" s="117"/>
    </row>
    <row r="379" ht="15.75" customHeight="1">
      <c r="A379" s="9"/>
      <c r="B379" s="164"/>
      <c r="C379" s="110"/>
      <c r="D379" s="156"/>
      <c r="E379" s="111"/>
      <c r="F379" s="112"/>
      <c r="G379" s="113"/>
      <c r="H379" s="53">
        <f t="shared" si="1"/>
        <v>0</v>
      </c>
      <c r="I379" s="115"/>
      <c r="J379" s="115"/>
      <c r="K379" s="60">
        <f t="shared" si="2"/>
        <v>0</v>
      </c>
      <c r="L379" s="117"/>
    </row>
    <row r="380" ht="15.75" customHeight="1">
      <c r="A380" s="9"/>
      <c r="B380" s="164"/>
      <c r="C380" s="110"/>
      <c r="D380" s="156"/>
      <c r="E380" s="111"/>
      <c r="F380" s="112"/>
      <c r="G380" s="113"/>
      <c r="H380" s="53">
        <f t="shared" si="1"/>
        <v>0</v>
      </c>
      <c r="I380" s="115"/>
      <c r="J380" s="115"/>
      <c r="K380" s="60">
        <f t="shared" si="2"/>
        <v>0</v>
      </c>
      <c r="L380" s="117"/>
    </row>
    <row r="381" ht="15.75" customHeight="1">
      <c r="A381" s="9"/>
      <c r="B381" s="164"/>
      <c r="C381" s="110"/>
      <c r="D381" s="156"/>
      <c r="E381" s="111"/>
      <c r="F381" s="112"/>
      <c r="G381" s="113"/>
      <c r="H381" s="53">
        <f t="shared" si="1"/>
        <v>0</v>
      </c>
      <c r="I381" s="115"/>
      <c r="J381" s="115"/>
      <c r="K381" s="60">
        <f t="shared" si="2"/>
        <v>0</v>
      </c>
      <c r="L381" s="117"/>
    </row>
    <row r="382" ht="15.75" customHeight="1">
      <c r="A382" s="9"/>
      <c r="B382" s="164"/>
      <c r="C382" s="110"/>
      <c r="D382" s="156"/>
      <c r="E382" s="111"/>
      <c r="F382" s="112"/>
      <c r="G382" s="113"/>
      <c r="H382" s="53">
        <f t="shared" si="1"/>
        <v>0</v>
      </c>
      <c r="I382" s="115"/>
      <c r="J382" s="115"/>
      <c r="K382" s="60">
        <f t="shared" si="2"/>
        <v>0</v>
      </c>
      <c r="L382" s="117"/>
    </row>
    <row r="383" ht="15.75" customHeight="1">
      <c r="A383" s="9"/>
      <c r="B383" s="164"/>
      <c r="C383" s="110"/>
      <c r="D383" s="156"/>
      <c r="E383" s="111"/>
      <c r="F383" s="112"/>
      <c r="G383" s="113"/>
      <c r="H383" s="53">
        <f t="shared" si="1"/>
        <v>0</v>
      </c>
      <c r="I383" s="115"/>
      <c r="J383" s="115"/>
      <c r="K383" s="60">
        <f t="shared" si="2"/>
        <v>0</v>
      </c>
      <c r="L383" s="117"/>
    </row>
    <row r="384" ht="15.75" customHeight="1">
      <c r="A384" s="9"/>
      <c r="B384" s="164"/>
      <c r="C384" s="110"/>
      <c r="D384" s="156"/>
      <c r="E384" s="111"/>
      <c r="F384" s="112"/>
      <c r="G384" s="113"/>
      <c r="H384" s="53">
        <f t="shared" si="1"/>
        <v>0</v>
      </c>
      <c r="I384" s="115"/>
      <c r="J384" s="115"/>
      <c r="K384" s="60">
        <f t="shared" si="2"/>
        <v>0</v>
      </c>
      <c r="L384" s="117"/>
    </row>
    <row r="385" ht="15.75" customHeight="1">
      <c r="A385" s="9"/>
      <c r="B385" s="164"/>
      <c r="C385" s="110"/>
      <c r="D385" s="156"/>
      <c r="E385" s="111"/>
      <c r="F385" s="112"/>
      <c r="G385" s="113"/>
      <c r="H385" s="53">
        <f t="shared" si="1"/>
        <v>0</v>
      </c>
      <c r="I385" s="115"/>
      <c r="J385" s="115"/>
      <c r="K385" s="60">
        <f t="shared" si="2"/>
        <v>0</v>
      </c>
      <c r="L385" s="117"/>
    </row>
    <row r="386" ht="15.75" customHeight="1">
      <c r="A386" s="9"/>
      <c r="B386" s="164"/>
      <c r="C386" s="110"/>
      <c r="D386" s="156"/>
      <c r="E386" s="111"/>
      <c r="F386" s="112"/>
      <c r="G386" s="113"/>
      <c r="H386" s="53">
        <f t="shared" si="1"/>
        <v>0</v>
      </c>
      <c r="I386" s="115"/>
      <c r="J386" s="115"/>
      <c r="K386" s="60">
        <f t="shared" si="2"/>
        <v>0</v>
      </c>
      <c r="L386" s="117"/>
    </row>
    <row r="387" ht="15.75" customHeight="1">
      <c r="A387" s="9"/>
      <c r="B387" s="164"/>
      <c r="C387" s="110"/>
      <c r="D387" s="156"/>
      <c r="E387" s="111"/>
      <c r="F387" s="112"/>
      <c r="G387" s="113"/>
      <c r="H387" s="53">
        <f t="shared" si="1"/>
        <v>0</v>
      </c>
      <c r="I387" s="115"/>
      <c r="J387" s="115"/>
      <c r="K387" s="60">
        <f t="shared" si="2"/>
        <v>0</v>
      </c>
      <c r="L387" s="117"/>
    </row>
    <row r="388" ht="15.75" customHeight="1">
      <c r="A388" s="9"/>
      <c r="B388" s="164"/>
      <c r="C388" s="110"/>
      <c r="D388" s="156"/>
      <c r="E388" s="111"/>
      <c r="F388" s="112"/>
      <c r="G388" s="113"/>
      <c r="H388" s="53">
        <f t="shared" si="1"/>
        <v>0</v>
      </c>
      <c r="I388" s="115"/>
      <c r="J388" s="115"/>
      <c r="K388" s="60">
        <f t="shared" si="2"/>
        <v>0</v>
      </c>
      <c r="L388" s="117"/>
    </row>
    <row r="389" ht="15.75" customHeight="1">
      <c r="A389" s="9"/>
      <c r="B389" s="164"/>
      <c r="C389" s="110"/>
      <c r="D389" s="156"/>
      <c r="E389" s="111"/>
      <c r="F389" s="112"/>
      <c r="G389" s="113"/>
      <c r="H389" s="53">
        <f t="shared" si="1"/>
        <v>0</v>
      </c>
      <c r="I389" s="115"/>
      <c r="J389" s="115"/>
      <c r="K389" s="60">
        <f t="shared" si="2"/>
        <v>0</v>
      </c>
      <c r="L389" s="117"/>
    </row>
    <row r="390" ht="15.75" customHeight="1">
      <c r="A390" s="9"/>
      <c r="B390" s="164"/>
      <c r="C390" s="110"/>
      <c r="D390" s="156"/>
      <c r="E390" s="111"/>
      <c r="F390" s="112"/>
      <c r="G390" s="113"/>
      <c r="H390" s="53">
        <f t="shared" si="1"/>
        <v>0</v>
      </c>
      <c r="I390" s="115"/>
      <c r="J390" s="115"/>
      <c r="K390" s="60">
        <f t="shared" si="2"/>
        <v>0</v>
      </c>
      <c r="L390" s="117"/>
    </row>
    <row r="391" ht="15.75" customHeight="1">
      <c r="A391" s="9"/>
      <c r="B391" s="164"/>
      <c r="C391" s="110"/>
      <c r="D391" s="156"/>
      <c r="E391" s="111"/>
      <c r="F391" s="112"/>
      <c r="G391" s="113"/>
      <c r="H391" s="53">
        <f t="shared" si="1"/>
        <v>0</v>
      </c>
      <c r="I391" s="115"/>
      <c r="J391" s="115"/>
      <c r="K391" s="60">
        <f t="shared" si="2"/>
        <v>0</v>
      </c>
      <c r="L391" s="117"/>
    </row>
    <row r="392" ht="15.75" customHeight="1">
      <c r="A392" s="9"/>
      <c r="B392" s="164"/>
      <c r="C392" s="110"/>
      <c r="D392" s="156"/>
      <c r="E392" s="111"/>
      <c r="F392" s="112"/>
      <c r="G392" s="113"/>
      <c r="H392" s="53">
        <f t="shared" si="1"/>
        <v>0</v>
      </c>
      <c r="I392" s="115"/>
      <c r="J392" s="115"/>
      <c r="K392" s="60">
        <f t="shared" si="2"/>
        <v>0</v>
      </c>
      <c r="L392" s="117"/>
    </row>
    <row r="393" ht="15.75" customHeight="1">
      <c r="A393" s="9"/>
      <c r="B393" s="164"/>
      <c r="C393" s="110"/>
      <c r="D393" s="156"/>
      <c r="E393" s="111"/>
      <c r="F393" s="112"/>
      <c r="G393" s="113"/>
      <c r="H393" s="53">
        <f t="shared" si="1"/>
        <v>0</v>
      </c>
      <c r="I393" s="115"/>
      <c r="J393" s="115"/>
      <c r="K393" s="60">
        <f t="shared" si="2"/>
        <v>0</v>
      </c>
      <c r="L393" s="117"/>
    </row>
    <row r="394" ht="15.75" customHeight="1">
      <c r="A394" s="9"/>
      <c r="B394" s="164"/>
      <c r="C394" s="110"/>
      <c r="D394" s="156"/>
      <c r="E394" s="111"/>
      <c r="F394" s="112"/>
      <c r="G394" s="113"/>
      <c r="H394" s="53">
        <f t="shared" si="1"/>
        <v>0</v>
      </c>
      <c r="I394" s="115"/>
      <c r="J394" s="115"/>
      <c r="K394" s="60">
        <f t="shared" si="2"/>
        <v>0</v>
      </c>
      <c r="L394" s="117"/>
    </row>
    <row r="395" ht="15.75" customHeight="1">
      <c r="A395" s="9"/>
      <c r="B395" s="164"/>
      <c r="C395" s="110"/>
      <c r="D395" s="156"/>
      <c r="E395" s="111"/>
      <c r="F395" s="112"/>
      <c r="G395" s="113"/>
      <c r="H395" s="53">
        <f t="shared" si="1"/>
        <v>0</v>
      </c>
      <c r="I395" s="115"/>
      <c r="J395" s="115"/>
      <c r="K395" s="60">
        <f t="shared" si="2"/>
        <v>0</v>
      </c>
      <c r="L395" s="117"/>
    </row>
    <row r="396" ht="15.75" customHeight="1">
      <c r="A396" s="9"/>
      <c r="B396" s="164"/>
      <c r="C396" s="110"/>
      <c r="D396" s="156"/>
      <c r="E396" s="111"/>
      <c r="F396" s="112"/>
      <c r="G396" s="113"/>
      <c r="H396" s="53">
        <f t="shared" si="1"/>
        <v>0</v>
      </c>
      <c r="I396" s="115"/>
      <c r="J396" s="115"/>
      <c r="K396" s="60">
        <f t="shared" si="2"/>
        <v>0</v>
      </c>
      <c r="L396" s="117"/>
    </row>
    <row r="397" ht="15.75" customHeight="1">
      <c r="A397" s="9"/>
      <c r="B397" s="164"/>
      <c r="C397" s="110"/>
      <c r="D397" s="156"/>
      <c r="E397" s="111"/>
      <c r="F397" s="112"/>
      <c r="G397" s="113"/>
      <c r="H397" s="53">
        <f t="shared" si="1"/>
        <v>0</v>
      </c>
      <c r="I397" s="115"/>
      <c r="J397" s="115"/>
      <c r="K397" s="60">
        <f t="shared" si="2"/>
        <v>0</v>
      </c>
      <c r="L397" s="117"/>
    </row>
    <row r="398" ht="15.75" customHeight="1">
      <c r="A398" s="9"/>
      <c r="B398" s="164"/>
      <c r="C398" s="110"/>
      <c r="D398" s="156"/>
      <c r="E398" s="111"/>
      <c r="F398" s="112"/>
      <c r="G398" s="113"/>
      <c r="H398" s="53">
        <f t="shared" si="1"/>
        <v>0</v>
      </c>
      <c r="I398" s="115"/>
      <c r="J398" s="115"/>
      <c r="K398" s="60">
        <f t="shared" si="2"/>
        <v>0</v>
      </c>
      <c r="L398" s="117"/>
    </row>
    <row r="399" ht="15.75" customHeight="1">
      <c r="A399" s="9"/>
      <c r="B399" s="164"/>
      <c r="C399" s="110"/>
      <c r="D399" s="156"/>
      <c r="E399" s="111"/>
      <c r="F399" s="112"/>
      <c r="G399" s="113"/>
      <c r="H399" s="53">
        <f t="shared" si="1"/>
        <v>0</v>
      </c>
      <c r="I399" s="115"/>
      <c r="J399" s="115"/>
      <c r="K399" s="60">
        <f t="shared" si="2"/>
        <v>0</v>
      </c>
      <c r="L399" s="117"/>
    </row>
    <row r="400" ht="15.75" customHeight="1">
      <c r="A400" s="9"/>
      <c r="B400" s="164"/>
      <c r="C400" s="110"/>
      <c r="D400" s="156"/>
      <c r="E400" s="111"/>
      <c r="F400" s="112"/>
      <c r="G400" s="113"/>
      <c r="H400" s="53">
        <f t="shared" si="1"/>
        <v>0</v>
      </c>
      <c r="I400" s="115"/>
      <c r="J400" s="115"/>
      <c r="K400" s="60">
        <f t="shared" si="2"/>
        <v>0</v>
      </c>
      <c r="L400" s="117"/>
    </row>
    <row r="401" ht="15.75" customHeight="1">
      <c r="A401" s="9"/>
      <c r="B401" s="164"/>
      <c r="C401" s="110"/>
      <c r="D401" s="156"/>
      <c r="E401" s="111"/>
      <c r="F401" s="112"/>
      <c r="G401" s="113"/>
      <c r="H401" s="53">
        <f t="shared" si="1"/>
        <v>0</v>
      </c>
      <c r="I401" s="115"/>
      <c r="J401" s="115"/>
      <c r="K401" s="60">
        <f t="shared" si="2"/>
        <v>0</v>
      </c>
      <c r="L401" s="117"/>
    </row>
    <row r="402" ht="15.75" customHeight="1">
      <c r="A402" s="9"/>
      <c r="B402" s="164"/>
      <c r="C402" s="110"/>
      <c r="D402" s="156"/>
      <c r="E402" s="111"/>
      <c r="F402" s="112"/>
      <c r="G402" s="113"/>
      <c r="H402" s="53">
        <f t="shared" si="1"/>
        <v>0</v>
      </c>
      <c r="I402" s="115"/>
      <c r="J402" s="115"/>
      <c r="K402" s="60">
        <f t="shared" si="2"/>
        <v>0</v>
      </c>
      <c r="L402" s="117"/>
    </row>
    <row r="403" ht="15.75" customHeight="1">
      <c r="A403" s="9"/>
      <c r="B403" s="164"/>
      <c r="C403" s="110"/>
      <c r="D403" s="156"/>
      <c r="E403" s="111"/>
      <c r="F403" s="112"/>
      <c r="G403" s="113"/>
      <c r="H403" s="53">
        <f t="shared" si="1"/>
        <v>0</v>
      </c>
      <c r="I403" s="115"/>
      <c r="J403" s="115"/>
      <c r="K403" s="60">
        <f t="shared" si="2"/>
        <v>0</v>
      </c>
      <c r="L403" s="117"/>
    </row>
    <row r="404" ht="15.75" customHeight="1">
      <c r="A404" s="9"/>
      <c r="B404" s="164"/>
      <c r="C404" s="110"/>
      <c r="D404" s="156"/>
      <c r="E404" s="111"/>
      <c r="F404" s="112"/>
      <c r="G404" s="113"/>
      <c r="H404" s="53">
        <f t="shared" si="1"/>
        <v>0</v>
      </c>
      <c r="I404" s="115"/>
      <c r="J404" s="115"/>
      <c r="K404" s="60">
        <f t="shared" si="2"/>
        <v>0</v>
      </c>
      <c r="L404" s="117"/>
    </row>
    <row r="405" ht="15.75" customHeight="1">
      <c r="A405" s="9"/>
      <c r="B405" s="164"/>
      <c r="C405" s="110"/>
      <c r="D405" s="156"/>
      <c r="E405" s="111"/>
      <c r="F405" s="112"/>
      <c r="G405" s="113"/>
      <c r="H405" s="53">
        <f t="shared" si="1"/>
        <v>0</v>
      </c>
      <c r="I405" s="115"/>
      <c r="J405" s="115"/>
      <c r="K405" s="60">
        <f t="shared" si="2"/>
        <v>0</v>
      </c>
      <c r="L405" s="117"/>
    </row>
    <row r="406" ht="15.75" customHeight="1">
      <c r="A406" s="9"/>
      <c r="B406" s="164"/>
      <c r="C406" s="110"/>
      <c r="D406" s="156"/>
      <c r="E406" s="111"/>
      <c r="F406" s="112"/>
      <c r="G406" s="113"/>
      <c r="H406" s="53">
        <f t="shared" si="1"/>
        <v>0</v>
      </c>
      <c r="I406" s="115"/>
      <c r="J406" s="115"/>
      <c r="K406" s="60">
        <f t="shared" si="2"/>
        <v>0</v>
      </c>
      <c r="L406" s="117"/>
    </row>
    <row r="407" ht="15.75" customHeight="1">
      <c r="A407" s="9"/>
      <c r="B407" s="164"/>
      <c r="C407" s="110"/>
      <c r="D407" s="156"/>
      <c r="E407" s="111"/>
      <c r="F407" s="112"/>
      <c r="G407" s="113"/>
      <c r="H407" s="53">
        <f t="shared" si="1"/>
        <v>0</v>
      </c>
      <c r="I407" s="115"/>
      <c r="J407" s="115"/>
      <c r="K407" s="60">
        <f t="shared" si="2"/>
        <v>0</v>
      </c>
      <c r="L407" s="117"/>
    </row>
    <row r="408" ht="15.75" customHeight="1">
      <c r="A408" s="9"/>
      <c r="B408" s="164"/>
      <c r="C408" s="110"/>
      <c r="D408" s="156"/>
      <c r="E408" s="111"/>
      <c r="F408" s="112"/>
      <c r="G408" s="113"/>
      <c r="H408" s="53">
        <f t="shared" si="1"/>
        <v>0</v>
      </c>
      <c r="I408" s="115"/>
      <c r="J408" s="115"/>
      <c r="K408" s="60">
        <f t="shared" si="2"/>
        <v>0</v>
      </c>
      <c r="L408" s="117"/>
    </row>
    <row r="409" ht="15.75" customHeight="1">
      <c r="A409" s="9"/>
      <c r="B409" s="164"/>
      <c r="C409" s="110"/>
      <c r="D409" s="156"/>
      <c r="E409" s="111"/>
      <c r="F409" s="112"/>
      <c r="G409" s="113"/>
      <c r="H409" s="53">
        <f t="shared" si="1"/>
        <v>0</v>
      </c>
      <c r="I409" s="115"/>
      <c r="J409" s="115"/>
      <c r="K409" s="60">
        <f t="shared" si="2"/>
        <v>0</v>
      </c>
      <c r="L409" s="117"/>
    </row>
    <row r="410" ht="15.75" customHeight="1">
      <c r="A410" s="9"/>
      <c r="B410" s="164"/>
      <c r="C410" s="110"/>
      <c r="D410" s="156"/>
      <c r="E410" s="111"/>
      <c r="F410" s="112"/>
      <c r="G410" s="113"/>
      <c r="H410" s="53">
        <f t="shared" si="1"/>
        <v>0</v>
      </c>
      <c r="I410" s="115"/>
      <c r="J410" s="115"/>
      <c r="K410" s="60">
        <f t="shared" si="2"/>
        <v>0</v>
      </c>
      <c r="L410" s="117"/>
    </row>
    <row r="411" ht="15.75" customHeight="1">
      <c r="A411" s="9"/>
      <c r="B411" s="164"/>
      <c r="C411" s="110"/>
      <c r="D411" s="156"/>
      <c r="E411" s="111"/>
      <c r="F411" s="112"/>
      <c r="G411" s="113"/>
      <c r="H411" s="53">
        <f t="shared" si="1"/>
        <v>0</v>
      </c>
      <c r="I411" s="115"/>
      <c r="J411" s="115"/>
      <c r="K411" s="60">
        <f t="shared" si="2"/>
        <v>0</v>
      </c>
      <c r="L411" s="117"/>
    </row>
    <row r="412" ht="15.75" customHeight="1">
      <c r="A412" s="9"/>
      <c r="B412" s="164"/>
      <c r="C412" s="110"/>
      <c r="D412" s="156"/>
      <c r="E412" s="111"/>
      <c r="F412" s="112"/>
      <c r="G412" s="113"/>
      <c r="H412" s="53">
        <f t="shared" si="1"/>
        <v>0</v>
      </c>
      <c r="I412" s="115"/>
      <c r="J412" s="115"/>
      <c r="K412" s="60">
        <f t="shared" si="2"/>
        <v>0</v>
      </c>
      <c r="L412" s="117"/>
    </row>
    <row r="413" ht="15.75" customHeight="1">
      <c r="A413" s="9"/>
      <c r="B413" s="164"/>
      <c r="C413" s="110"/>
      <c r="D413" s="156"/>
      <c r="E413" s="111"/>
      <c r="F413" s="112"/>
      <c r="G413" s="113"/>
      <c r="H413" s="53">
        <f t="shared" si="1"/>
        <v>0</v>
      </c>
      <c r="I413" s="115"/>
      <c r="J413" s="115"/>
      <c r="K413" s="60">
        <f t="shared" si="2"/>
        <v>0</v>
      </c>
      <c r="L413" s="117"/>
    </row>
    <row r="414" ht="15.75" customHeight="1">
      <c r="A414" s="9"/>
      <c r="B414" s="164"/>
      <c r="C414" s="110"/>
      <c r="D414" s="156"/>
      <c r="E414" s="111"/>
      <c r="F414" s="112"/>
      <c r="G414" s="113"/>
      <c r="H414" s="53">
        <f t="shared" si="1"/>
        <v>0</v>
      </c>
      <c r="I414" s="115"/>
      <c r="J414" s="115"/>
      <c r="K414" s="60">
        <f t="shared" si="2"/>
        <v>0</v>
      </c>
      <c r="L414" s="117"/>
    </row>
    <row r="415" ht="15.75" customHeight="1">
      <c r="A415" s="9"/>
      <c r="B415" s="164"/>
      <c r="C415" s="110"/>
      <c r="D415" s="156"/>
      <c r="E415" s="111"/>
      <c r="F415" s="112"/>
      <c r="G415" s="113"/>
      <c r="H415" s="53">
        <f t="shared" si="1"/>
        <v>0</v>
      </c>
      <c r="I415" s="115"/>
      <c r="J415" s="115"/>
      <c r="K415" s="60">
        <f t="shared" si="2"/>
        <v>0</v>
      </c>
      <c r="L415" s="117"/>
    </row>
    <row r="416" ht="15.75" customHeight="1">
      <c r="A416" s="9"/>
      <c r="B416" s="164"/>
      <c r="C416" s="110"/>
      <c r="D416" s="156"/>
      <c r="E416" s="111"/>
      <c r="F416" s="112"/>
      <c r="G416" s="113"/>
      <c r="H416" s="53">
        <f t="shared" si="1"/>
        <v>0</v>
      </c>
      <c r="I416" s="115"/>
      <c r="J416" s="115"/>
      <c r="K416" s="60">
        <f t="shared" si="2"/>
        <v>0</v>
      </c>
      <c r="L416" s="117"/>
    </row>
    <row r="417" ht="15.75" customHeight="1">
      <c r="A417" s="9"/>
      <c r="B417" s="164"/>
      <c r="C417" s="110"/>
      <c r="D417" s="156"/>
      <c r="E417" s="111"/>
      <c r="F417" s="112"/>
      <c r="G417" s="113"/>
      <c r="H417" s="53">
        <f t="shared" si="1"/>
        <v>0</v>
      </c>
      <c r="I417" s="115"/>
      <c r="J417" s="115"/>
      <c r="K417" s="60">
        <f t="shared" si="2"/>
        <v>0</v>
      </c>
      <c r="L417" s="117"/>
    </row>
    <row r="418" ht="15.75" customHeight="1">
      <c r="A418" s="9"/>
      <c r="B418" s="164"/>
      <c r="C418" s="110"/>
      <c r="D418" s="156"/>
      <c r="E418" s="111"/>
      <c r="F418" s="112"/>
      <c r="G418" s="113"/>
      <c r="H418" s="53">
        <f t="shared" si="1"/>
        <v>0</v>
      </c>
      <c r="I418" s="115"/>
      <c r="J418" s="115"/>
      <c r="K418" s="60">
        <f t="shared" si="2"/>
        <v>0</v>
      </c>
      <c r="L418" s="117"/>
    </row>
    <row r="419" ht="15.75" customHeight="1">
      <c r="A419" s="9"/>
      <c r="B419" s="164"/>
      <c r="C419" s="110"/>
      <c r="D419" s="156"/>
      <c r="E419" s="111"/>
      <c r="F419" s="112"/>
      <c r="G419" s="113"/>
      <c r="H419" s="53">
        <f t="shared" si="1"/>
        <v>0</v>
      </c>
      <c r="I419" s="115"/>
      <c r="J419" s="115"/>
      <c r="K419" s="60">
        <f t="shared" si="2"/>
        <v>0</v>
      </c>
      <c r="L419" s="117"/>
    </row>
    <row r="420" ht="15.75" customHeight="1">
      <c r="A420" s="9"/>
      <c r="B420" s="164"/>
      <c r="C420" s="110"/>
      <c r="D420" s="156"/>
      <c r="E420" s="111"/>
      <c r="F420" s="112"/>
      <c r="G420" s="113"/>
      <c r="H420" s="53">
        <f t="shared" si="1"/>
        <v>0</v>
      </c>
      <c r="I420" s="115"/>
      <c r="J420" s="115"/>
      <c r="K420" s="60">
        <f t="shared" si="2"/>
        <v>0</v>
      </c>
      <c r="L420" s="117"/>
    </row>
    <row r="421" ht="15.75" customHeight="1">
      <c r="A421" s="9"/>
      <c r="B421" s="164"/>
      <c r="C421" s="110"/>
      <c r="D421" s="156"/>
      <c r="E421" s="111"/>
      <c r="F421" s="112"/>
      <c r="G421" s="113"/>
      <c r="H421" s="53">
        <f t="shared" si="1"/>
        <v>0</v>
      </c>
      <c r="I421" s="115"/>
      <c r="J421" s="115"/>
      <c r="K421" s="60">
        <f t="shared" si="2"/>
        <v>0</v>
      </c>
      <c r="L421" s="117"/>
    </row>
    <row r="422" ht="15.75" customHeight="1">
      <c r="A422" s="9"/>
      <c r="B422" s="164"/>
      <c r="C422" s="110"/>
      <c r="D422" s="156"/>
      <c r="E422" s="111"/>
      <c r="F422" s="112"/>
      <c r="G422" s="113"/>
      <c r="H422" s="53">
        <f t="shared" si="1"/>
        <v>0</v>
      </c>
      <c r="I422" s="115"/>
      <c r="J422" s="115"/>
      <c r="K422" s="60">
        <f t="shared" si="2"/>
        <v>0</v>
      </c>
      <c r="L422" s="117"/>
    </row>
    <row r="423" ht="15.75" customHeight="1">
      <c r="A423" s="9"/>
      <c r="B423" s="164"/>
      <c r="C423" s="110"/>
      <c r="D423" s="156"/>
      <c r="E423" s="111"/>
      <c r="F423" s="112"/>
      <c r="G423" s="113"/>
      <c r="H423" s="53">
        <f t="shared" si="1"/>
        <v>0</v>
      </c>
      <c r="I423" s="115"/>
      <c r="J423" s="115"/>
      <c r="K423" s="60">
        <f t="shared" si="2"/>
        <v>0</v>
      </c>
      <c r="L423" s="117"/>
    </row>
    <row r="424" ht="15.75" customHeight="1">
      <c r="A424" s="9"/>
      <c r="B424" s="164"/>
      <c r="C424" s="110"/>
      <c r="D424" s="156"/>
      <c r="E424" s="111"/>
      <c r="F424" s="112"/>
      <c r="G424" s="113"/>
      <c r="H424" s="53">
        <f t="shared" si="1"/>
        <v>0</v>
      </c>
      <c r="I424" s="115"/>
      <c r="J424" s="115"/>
      <c r="K424" s="60">
        <f t="shared" si="2"/>
        <v>0</v>
      </c>
      <c r="L424" s="117"/>
    </row>
    <row r="425" ht="15.75" customHeight="1">
      <c r="A425" s="9"/>
      <c r="B425" s="164"/>
      <c r="C425" s="110"/>
      <c r="D425" s="156"/>
      <c r="E425" s="111"/>
      <c r="F425" s="112"/>
      <c r="G425" s="113"/>
      <c r="H425" s="53">
        <f t="shared" si="1"/>
        <v>0</v>
      </c>
      <c r="I425" s="115"/>
      <c r="J425" s="115"/>
      <c r="K425" s="60">
        <f t="shared" si="2"/>
        <v>0</v>
      </c>
      <c r="L425" s="117"/>
    </row>
    <row r="426" ht="15.75" customHeight="1">
      <c r="A426" s="9"/>
      <c r="B426" s="164"/>
      <c r="C426" s="110"/>
      <c r="D426" s="156"/>
      <c r="E426" s="111"/>
      <c r="F426" s="112"/>
      <c r="G426" s="113"/>
      <c r="H426" s="53">
        <f t="shared" si="1"/>
        <v>0</v>
      </c>
      <c r="I426" s="115"/>
      <c r="J426" s="115"/>
      <c r="K426" s="60">
        <f t="shared" si="2"/>
        <v>0</v>
      </c>
      <c r="L426" s="117"/>
    </row>
    <row r="427" ht="15.75" customHeight="1">
      <c r="A427" s="9"/>
      <c r="B427" s="164"/>
      <c r="C427" s="110"/>
      <c r="D427" s="156"/>
      <c r="E427" s="111"/>
      <c r="F427" s="112"/>
      <c r="G427" s="113"/>
      <c r="H427" s="53">
        <f t="shared" si="1"/>
        <v>0</v>
      </c>
      <c r="I427" s="115"/>
      <c r="J427" s="115"/>
      <c r="K427" s="60">
        <f t="shared" si="2"/>
        <v>0</v>
      </c>
      <c r="L427" s="117"/>
    </row>
    <row r="428" ht="15.75" customHeight="1">
      <c r="A428" s="9"/>
      <c r="B428" s="164"/>
      <c r="C428" s="110"/>
      <c r="D428" s="156"/>
      <c r="E428" s="111"/>
      <c r="F428" s="112"/>
      <c r="G428" s="113"/>
      <c r="H428" s="53">
        <f t="shared" si="1"/>
        <v>0</v>
      </c>
      <c r="I428" s="115"/>
      <c r="J428" s="115"/>
      <c r="K428" s="60">
        <f t="shared" si="2"/>
        <v>0</v>
      </c>
      <c r="L428" s="117"/>
    </row>
    <row r="429" ht="15.75" customHeight="1">
      <c r="A429" s="9"/>
      <c r="B429" s="164"/>
      <c r="C429" s="110"/>
      <c r="D429" s="156"/>
      <c r="E429" s="111"/>
      <c r="F429" s="112"/>
      <c r="G429" s="113"/>
      <c r="H429" s="53">
        <f t="shared" si="1"/>
        <v>0</v>
      </c>
      <c r="I429" s="115"/>
      <c r="J429" s="115"/>
      <c r="K429" s="60">
        <f t="shared" si="2"/>
        <v>0</v>
      </c>
      <c r="L429" s="117"/>
    </row>
    <row r="430" ht="15.75" customHeight="1">
      <c r="A430" s="9"/>
      <c r="B430" s="164"/>
      <c r="C430" s="110"/>
      <c r="D430" s="156"/>
      <c r="E430" s="111"/>
      <c r="F430" s="112"/>
      <c r="G430" s="113"/>
      <c r="H430" s="53">
        <f t="shared" si="1"/>
        <v>0</v>
      </c>
      <c r="I430" s="115"/>
      <c r="J430" s="115"/>
      <c r="K430" s="60">
        <f t="shared" si="2"/>
        <v>0</v>
      </c>
      <c r="L430" s="117"/>
    </row>
    <row r="431" ht="15.75" customHeight="1">
      <c r="A431" s="9"/>
      <c r="B431" s="164"/>
      <c r="C431" s="110"/>
      <c r="D431" s="156"/>
      <c r="E431" s="111"/>
      <c r="F431" s="112"/>
      <c r="G431" s="113"/>
      <c r="H431" s="53">
        <f t="shared" si="1"/>
        <v>0</v>
      </c>
      <c r="I431" s="115"/>
      <c r="J431" s="115"/>
      <c r="K431" s="60">
        <f t="shared" si="2"/>
        <v>0</v>
      </c>
      <c r="L431" s="117"/>
    </row>
    <row r="432" ht="15.75" customHeight="1">
      <c r="A432" s="9"/>
      <c r="B432" s="164"/>
      <c r="C432" s="110"/>
      <c r="D432" s="156"/>
      <c r="E432" s="111"/>
      <c r="F432" s="112"/>
      <c r="G432" s="113"/>
      <c r="H432" s="53">
        <f t="shared" si="1"/>
        <v>0</v>
      </c>
      <c r="I432" s="115"/>
      <c r="J432" s="115"/>
      <c r="K432" s="60">
        <f t="shared" si="2"/>
        <v>0</v>
      </c>
      <c r="L432" s="117"/>
    </row>
    <row r="433" ht="15.75" customHeight="1">
      <c r="A433" s="9"/>
      <c r="B433" s="164"/>
      <c r="C433" s="110"/>
      <c r="D433" s="156"/>
      <c r="E433" s="111"/>
      <c r="F433" s="112"/>
      <c r="G433" s="113"/>
      <c r="H433" s="53">
        <f t="shared" si="1"/>
        <v>0</v>
      </c>
      <c r="I433" s="115"/>
      <c r="J433" s="115"/>
      <c r="K433" s="60">
        <f t="shared" si="2"/>
        <v>0</v>
      </c>
      <c r="L433" s="117"/>
    </row>
    <row r="434" ht="15.75" customHeight="1">
      <c r="A434" s="9"/>
      <c r="B434" s="164"/>
      <c r="C434" s="110"/>
      <c r="D434" s="156"/>
      <c r="E434" s="111"/>
      <c r="F434" s="112"/>
      <c r="G434" s="113"/>
      <c r="H434" s="53">
        <f t="shared" si="1"/>
        <v>0</v>
      </c>
      <c r="I434" s="115"/>
      <c r="J434" s="115"/>
      <c r="K434" s="60">
        <f t="shared" si="2"/>
        <v>0</v>
      </c>
      <c r="L434" s="117"/>
    </row>
    <row r="435" ht="15.75" customHeight="1">
      <c r="A435" s="9"/>
      <c r="B435" s="164"/>
      <c r="C435" s="110"/>
      <c r="D435" s="156"/>
      <c r="E435" s="111"/>
      <c r="F435" s="112"/>
      <c r="G435" s="113"/>
      <c r="H435" s="53">
        <f t="shared" si="1"/>
        <v>0</v>
      </c>
      <c r="I435" s="115"/>
      <c r="J435" s="115"/>
      <c r="K435" s="60">
        <f t="shared" si="2"/>
        <v>0</v>
      </c>
      <c r="L435" s="117"/>
    </row>
    <row r="436" ht="15.75" customHeight="1">
      <c r="A436" s="9"/>
      <c r="B436" s="164"/>
      <c r="C436" s="110"/>
      <c r="D436" s="156"/>
      <c r="E436" s="111"/>
      <c r="F436" s="112"/>
      <c r="G436" s="113"/>
      <c r="H436" s="53">
        <f t="shared" si="1"/>
        <v>0</v>
      </c>
      <c r="I436" s="115"/>
      <c r="J436" s="115"/>
      <c r="K436" s="60">
        <f t="shared" si="2"/>
        <v>0</v>
      </c>
      <c r="L436" s="117"/>
    </row>
    <row r="437" ht="15.75" customHeight="1">
      <c r="A437" s="9"/>
      <c r="B437" s="164"/>
      <c r="C437" s="110"/>
      <c r="D437" s="156"/>
      <c r="E437" s="111"/>
      <c r="F437" s="112"/>
      <c r="G437" s="113"/>
      <c r="H437" s="53">
        <f t="shared" si="1"/>
        <v>0</v>
      </c>
      <c r="I437" s="115"/>
      <c r="J437" s="115"/>
      <c r="K437" s="60">
        <f t="shared" si="2"/>
        <v>0</v>
      </c>
      <c r="L437" s="117"/>
    </row>
    <row r="438" ht="15.75" customHeight="1">
      <c r="A438" s="9"/>
      <c r="B438" s="164"/>
      <c r="C438" s="110"/>
      <c r="D438" s="156"/>
      <c r="E438" s="111"/>
      <c r="F438" s="112"/>
      <c r="G438" s="113"/>
      <c r="H438" s="53">
        <f t="shared" si="1"/>
        <v>0</v>
      </c>
      <c r="I438" s="115"/>
      <c r="J438" s="115"/>
      <c r="K438" s="60">
        <f t="shared" si="2"/>
        <v>0</v>
      </c>
      <c r="L438" s="117"/>
    </row>
    <row r="439" ht="15.75" customHeight="1">
      <c r="A439" s="9"/>
      <c r="B439" s="164"/>
      <c r="C439" s="110"/>
      <c r="D439" s="156"/>
      <c r="E439" s="111"/>
      <c r="F439" s="112"/>
      <c r="G439" s="113"/>
      <c r="H439" s="53">
        <f t="shared" si="1"/>
        <v>0</v>
      </c>
      <c r="I439" s="115"/>
      <c r="J439" s="115"/>
      <c r="K439" s="60">
        <f t="shared" si="2"/>
        <v>0</v>
      </c>
      <c r="L439" s="117"/>
    </row>
    <row r="440" ht="15.75" customHeight="1">
      <c r="A440" s="9"/>
      <c r="B440" s="164"/>
      <c r="C440" s="110"/>
      <c r="D440" s="156"/>
      <c r="E440" s="111"/>
      <c r="F440" s="112"/>
      <c r="G440" s="113"/>
      <c r="H440" s="53">
        <f t="shared" si="1"/>
        <v>0</v>
      </c>
      <c r="I440" s="115"/>
      <c r="J440" s="115"/>
      <c r="K440" s="60">
        <f t="shared" si="2"/>
        <v>0</v>
      </c>
      <c r="L440" s="117"/>
    </row>
    <row r="441" ht="15.75" customHeight="1">
      <c r="A441" s="9"/>
      <c r="B441" s="164"/>
      <c r="C441" s="110"/>
      <c r="D441" s="156"/>
      <c r="E441" s="111"/>
      <c r="F441" s="112"/>
      <c r="G441" s="113"/>
      <c r="H441" s="53">
        <f t="shared" si="1"/>
        <v>0</v>
      </c>
      <c r="I441" s="115"/>
      <c r="J441" s="115"/>
      <c r="K441" s="60">
        <f t="shared" si="2"/>
        <v>0</v>
      </c>
      <c r="L441" s="117"/>
    </row>
    <row r="442" ht="15.75" customHeight="1">
      <c r="A442" s="9"/>
      <c r="B442" s="164"/>
      <c r="C442" s="110"/>
      <c r="D442" s="156"/>
      <c r="E442" s="111"/>
      <c r="F442" s="112"/>
      <c r="G442" s="113"/>
      <c r="H442" s="53">
        <f t="shared" si="1"/>
        <v>0</v>
      </c>
      <c r="I442" s="115"/>
      <c r="J442" s="115"/>
      <c r="K442" s="60">
        <f t="shared" si="2"/>
        <v>0</v>
      </c>
      <c r="L442" s="117"/>
    </row>
    <row r="443" ht="15.75" customHeight="1">
      <c r="A443" s="9"/>
      <c r="B443" s="164"/>
      <c r="C443" s="110"/>
      <c r="D443" s="156"/>
      <c r="E443" s="111"/>
      <c r="F443" s="112"/>
      <c r="G443" s="113"/>
      <c r="H443" s="53">
        <f t="shared" si="1"/>
        <v>0</v>
      </c>
      <c r="I443" s="115"/>
      <c r="J443" s="115"/>
      <c r="K443" s="60">
        <f t="shared" si="2"/>
        <v>0</v>
      </c>
      <c r="L443" s="117"/>
    </row>
    <row r="444" ht="15.75" customHeight="1">
      <c r="A444" s="9"/>
      <c r="B444" s="164"/>
      <c r="C444" s="110"/>
      <c r="D444" s="156"/>
      <c r="E444" s="111"/>
      <c r="F444" s="112"/>
      <c r="G444" s="113"/>
      <c r="H444" s="53">
        <f t="shared" si="1"/>
        <v>0</v>
      </c>
      <c r="I444" s="115"/>
      <c r="J444" s="115"/>
      <c r="K444" s="60">
        <f t="shared" si="2"/>
        <v>0</v>
      </c>
      <c r="L444" s="117"/>
    </row>
    <row r="445" ht="15.75" customHeight="1">
      <c r="A445" s="9"/>
      <c r="B445" s="164"/>
      <c r="C445" s="110"/>
      <c r="D445" s="156"/>
      <c r="E445" s="111"/>
      <c r="F445" s="112"/>
      <c r="G445" s="113"/>
      <c r="H445" s="53">
        <f t="shared" si="1"/>
        <v>0</v>
      </c>
      <c r="I445" s="115"/>
      <c r="J445" s="115"/>
      <c r="K445" s="60">
        <f t="shared" si="2"/>
        <v>0</v>
      </c>
      <c r="L445" s="117"/>
    </row>
    <row r="446" ht="15.75" customHeight="1">
      <c r="A446" s="9"/>
      <c r="B446" s="164"/>
      <c r="C446" s="110"/>
      <c r="D446" s="156"/>
      <c r="E446" s="111"/>
      <c r="F446" s="112"/>
      <c r="G446" s="113"/>
      <c r="H446" s="53">
        <f t="shared" si="1"/>
        <v>0</v>
      </c>
      <c r="I446" s="115"/>
      <c r="J446" s="115"/>
      <c r="K446" s="60">
        <f t="shared" si="2"/>
        <v>0</v>
      </c>
      <c r="L446" s="117"/>
    </row>
    <row r="447" ht="15.75" customHeight="1">
      <c r="A447" s="9"/>
      <c r="B447" s="164"/>
      <c r="C447" s="110"/>
      <c r="D447" s="156"/>
      <c r="E447" s="111"/>
      <c r="F447" s="112"/>
      <c r="G447" s="113"/>
      <c r="H447" s="53">
        <f t="shared" si="1"/>
        <v>0</v>
      </c>
      <c r="I447" s="115"/>
      <c r="J447" s="115"/>
      <c r="K447" s="60">
        <f t="shared" si="2"/>
        <v>0</v>
      </c>
      <c r="L447" s="117"/>
    </row>
    <row r="448" ht="15.75" customHeight="1">
      <c r="A448" s="9"/>
      <c r="B448" s="164"/>
      <c r="C448" s="110"/>
      <c r="D448" s="156"/>
      <c r="E448" s="111"/>
      <c r="F448" s="112"/>
      <c r="G448" s="113"/>
      <c r="H448" s="53">
        <f t="shared" si="1"/>
        <v>0</v>
      </c>
      <c r="I448" s="115"/>
      <c r="J448" s="115"/>
      <c r="K448" s="60">
        <f t="shared" si="2"/>
        <v>0</v>
      </c>
      <c r="L448" s="117"/>
    </row>
    <row r="449" ht="15.75" customHeight="1">
      <c r="A449" s="9"/>
      <c r="B449" s="164"/>
      <c r="C449" s="110"/>
      <c r="D449" s="156"/>
      <c r="E449" s="111"/>
      <c r="F449" s="112"/>
      <c r="G449" s="113"/>
      <c r="H449" s="53">
        <f t="shared" si="1"/>
        <v>0</v>
      </c>
      <c r="I449" s="115"/>
      <c r="J449" s="115"/>
      <c r="K449" s="60">
        <f t="shared" si="2"/>
        <v>0</v>
      </c>
      <c r="L449" s="117"/>
    </row>
    <row r="450" ht="15.75" customHeight="1">
      <c r="A450" s="9"/>
      <c r="B450" s="164"/>
      <c r="C450" s="110"/>
      <c r="D450" s="156"/>
      <c r="E450" s="111"/>
      <c r="F450" s="112"/>
      <c r="G450" s="113"/>
      <c r="H450" s="53">
        <f t="shared" si="1"/>
        <v>0</v>
      </c>
      <c r="I450" s="115"/>
      <c r="J450" s="115"/>
      <c r="K450" s="60">
        <f t="shared" si="2"/>
        <v>0</v>
      </c>
      <c r="L450" s="117"/>
    </row>
    <row r="451" ht="15.75" customHeight="1">
      <c r="A451" s="9"/>
      <c r="B451" s="164"/>
      <c r="C451" s="110"/>
      <c r="D451" s="156"/>
      <c r="E451" s="111"/>
      <c r="F451" s="112"/>
      <c r="G451" s="113"/>
      <c r="H451" s="53">
        <f t="shared" si="1"/>
        <v>0</v>
      </c>
      <c r="I451" s="115"/>
      <c r="J451" s="115"/>
      <c r="K451" s="60">
        <f t="shared" si="2"/>
        <v>0</v>
      </c>
      <c r="L451" s="117"/>
    </row>
    <row r="452" ht="15.75" customHeight="1">
      <c r="A452" s="9"/>
      <c r="B452" s="164"/>
      <c r="C452" s="110"/>
      <c r="D452" s="156"/>
      <c r="E452" s="111"/>
      <c r="F452" s="112"/>
      <c r="G452" s="113"/>
      <c r="H452" s="53">
        <f t="shared" si="1"/>
        <v>0</v>
      </c>
      <c r="I452" s="115"/>
      <c r="J452" s="115"/>
      <c r="K452" s="60">
        <f t="shared" si="2"/>
        <v>0</v>
      </c>
      <c r="L452" s="117"/>
    </row>
    <row r="453" ht="15.75" customHeight="1">
      <c r="A453" s="9"/>
      <c r="B453" s="164"/>
      <c r="C453" s="110"/>
      <c r="D453" s="156"/>
      <c r="E453" s="111"/>
      <c r="F453" s="112"/>
      <c r="G453" s="113"/>
      <c r="H453" s="53">
        <f t="shared" si="1"/>
        <v>0</v>
      </c>
      <c r="I453" s="115"/>
      <c r="J453" s="115"/>
      <c r="K453" s="60">
        <f t="shared" si="2"/>
        <v>0</v>
      </c>
      <c r="L453" s="117"/>
    </row>
    <row r="454" ht="15.75" customHeight="1">
      <c r="A454" s="9"/>
      <c r="B454" s="164"/>
      <c r="C454" s="110"/>
      <c r="D454" s="156"/>
      <c r="E454" s="111"/>
      <c r="F454" s="112"/>
      <c r="G454" s="113"/>
      <c r="H454" s="53">
        <f t="shared" si="1"/>
        <v>0</v>
      </c>
      <c r="I454" s="115"/>
      <c r="J454" s="115"/>
      <c r="K454" s="60">
        <f t="shared" si="2"/>
        <v>0</v>
      </c>
      <c r="L454" s="117"/>
    </row>
    <row r="455" ht="15.75" customHeight="1">
      <c r="A455" s="9"/>
      <c r="B455" s="164"/>
      <c r="C455" s="110"/>
      <c r="D455" s="156"/>
      <c r="E455" s="111"/>
      <c r="F455" s="112"/>
      <c r="G455" s="113"/>
      <c r="H455" s="53">
        <f t="shared" si="1"/>
        <v>0</v>
      </c>
      <c r="I455" s="115"/>
      <c r="J455" s="115"/>
      <c r="K455" s="60">
        <f t="shared" si="2"/>
        <v>0</v>
      </c>
      <c r="L455" s="117"/>
    </row>
    <row r="456" ht="15.75" customHeight="1">
      <c r="A456" s="9"/>
      <c r="B456" s="164"/>
      <c r="C456" s="110"/>
      <c r="D456" s="156"/>
      <c r="E456" s="111"/>
      <c r="F456" s="112"/>
      <c r="G456" s="113"/>
      <c r="H456" s="53">
        <f t="shared" si="1"/>
        <v>0</v>
      </c>
      <c r="I456" s="115"/>
      <c r="J456" s="115"/>
      <c r="K456" s="60">
        <f t="shared" si="2"/>
        <v>0</v>
      </c>
      <c r="L456" s="117"/>
    </row>
    <row r="457" ht="15.75" customHeight="1">
      <c r="A457" s="9"/>
      <c r="B457" s="164"/>
      <c r="C457" s="110"/>
      <c r="D457" s="156"/>
      <c r="E457" s="111"/>
      <c r="F457" s="112"/>
      <c r="G457" s="113"/>
      <c r="H457" s="53">
        <f t="shared" si="1"/>
        <v>0</v>
      </c>
      <c r="I457" s="115"/>
      <c r="J457" s="115"/>
      <c r="K457" s="60">
        <f t="shared" si="2"/>
        <v>0</v>
      </c>
      <c r="L457" s="117"/>
    </row>
    <row r="458" ht="15.75" customHeight="1">
      <c r="A458" s="9"/>
      <c r="B458" s="164"/>
      <c r="C458" s="110"/>
      <c r="D458" s="156"/>
      <c r="E458" s="111"/>
      <c r="F458" s="112"/>
      <c r="G458" s="113"/>
      <c r="H458" s="53">
        <f t="shared" si="1"/>
        <v>0</v>
      </c>
      <c r="I458" s="115"/>
      <c r="J458" s="115"/>
      <c r="K458" s="60">
        <f t="shared" si="2"/>
        <v>0</v>
      </c>
      <c r="L458" s="117"/>
    </row>
    <row r="459" ht="15.75" customHeight="1">
      <c r="A459" s="9"/>
      <c r="B459" s="164"/>
      <c r="C459" s="110"/>
      <c r="D459" s="156"/>
      <c r="E459" s="111"/>
      <c r="F459" s="112"/>
      <c r="G459" s="113"/>
      <c r="H459" s="53">
        <f t="shared" si="1"/>
        <v>0</v>
      </c>
      <c r="I459" s="115"/>
      <c r="J459" s="115"/>
      <c r="K459" s="60">
        <f t="shared" si="2"/>
        <v>0</v>
      </c>
      <c r="L459" s="117"/>
    </row>
    <row r="460" ht="15.75" customHeight="1">
      <c r="A460" s="9"/>
      <c r="B460" s="164"/>
      <c r="C460" s="110"/>
      <c r="D460" s="156"/>
      <c r="E460" s="111"/>
      <c r="F460" s="112"/>
      <c r="G460" s="113"/>
      <c r="H460" s="53">
        <f t="shared" si="1"/>
        <v>0</v>
      </c>
      <c r="I460" s="115"/>
      <c r="J460" s="115"/>
      <c r="K460" s="60">
        <f t="shared" si="2"/>
        <v>0</v>
      </c>
      <c r="L460" s="117"/>
    </row>
    <row r="461" ht="15.75" customHeight="1">
      <c r="A461" s="9"/>
      <c r="B461" s="164"/>
      <c r="C461" s="110"/>
      <c r="D461" s="156"/>
      <c r="E461" s="111"/>
      <c r="F461" s="112"/>
      <c r="G461" s="113"/>
      <c r="H461" s="53">
        <f t="shared" si="1"/>
        <v>0</v>
      </c>
      <c r="I461" s="115"/>
      <c r="J461" s="115"/>
      <c r="K461" s="60">
        <f t="shared" si="2"/>
        <v>0</v>
      </c>
      <c r="L461" s="117"/>
    </row>
    <row r="462" ht="15.75" customHeight="1">
      <c r="A462" s="9"/>
      <c r="B462" s="164"/>
      <c r="C462" s="110"/>
      <c r="D462" s="156"/>
      <c r="E462" s="111"/>
      <c r="F462" s="112"/>
      <c r="G462" s="113"/>
      <c r="H462" s="53">
        <f t="shared" si="1"/>
        <v>0</v>
      </c>
      <c r="I462" s="115"/>
      <c r="J462" s="115"/>
      <c r="K462" s="60">
        <f t="shared" si="2"/>
        <v>0</v>
      </c>
      <c r="L462" s="117"/>
    </row>
    <row r="463" ht="15.75" customHeight="1">
      <c r="A463" s="9"/>
      <c r="B463" s="164"/>
      <c r="C463" s="110"/>
      <c r="D463" s="156"/>
      <c r="E463" s="111"/>
      <c r="F463" s="112"/>
      <c r="G463" s="113"/>
      <c r="H463" s="53">
        <f t="shared" si="1"/>
        <v>0</v>
      </c>
      <c r="I463" s="115"/>
      <c r="J463" s="115"/>
      <c r="K463" s="60">
        <f t="shared" si="2"/>
        <v>0</v>
      </c>
      <c r="L463" s="117"/>
    </row>
    <row r="464" ht="15.75" customHeight="1">
      <c r="A464" s="9"/>
      <c r="B464" s="164"/>
      <c r="C464" s="110"/>
      <c r="D464" s="156"/>
      <c r="E464" s="111"/>
      <c r="F464" s="112"/>
      <c r="G464" s="113"/>
      <c r="H464" s="53">
        <f t="shared" si="1"/>
        <v>0</v>
      </c>
      <c r="I464" s="115"/>
      <c r="J464" s="115"/>
      <c r="K464" s="60">
        <f t="shared" si="2"/>
        <v>0</v>
      </c>
      <c r="L464" s="117"/>
    </row>
    <row r="465" ht="15.75" customHeight="1">
      <c r="A465" s="9"/>
      <c r="B465" s="164"/>
      <c r="C465" s="110"/>
      <c r="D465" s="156"/>
      <c r="E465" s="111"/>
      <c r="F465" s="112"/>
      <c r="G465" s="113"/>
      <c r="H465" s="53">
        <f t="shared" si="1"/>
        <v>0</v>
      </c>
      <c r="I465" s="115"/>
      <c r="J465" s="115"/>
      <c r="K465" s="60">
        <f t="shared" si="2"/>
        <v>0</v>
      </c>
      <c r="L465" s="117"/>
    </row>
    <row r="466" ht="15.75" customHeight="1">
      <c r="A466" s="9"/>
      <c r="B466" s="164"/>
      <c r="C466" s="110"/>
      <c r="D466" s="156"/>
      <c r="E466" s="111"/>
      <c r="F466" s="112"/>
      <c r="G466" s="113"/>
      <c r="H466" s="53">
        <f t="shared" si="1"/>
        <v>0</v>
      </c>
      <c r="I466" s="115"/>
      <c r="J466" s="115"/>
      <c r="K466" s="60">
        <f t="shared" si="2"/>
        <v>0</v>
      </c>
      <c r="L466" s="117"/>
    </row>
    <row r="467" ht="15.75" customHeight="1">
      <c r="A467" s="9"/>
      <c r="B467" s="164"/>
      <c r="C467" s="110"/>
      <c r="D467" s="156"/>
      <c r="E467" s="111"/>
      <c r="F467" s="112"/>
      <c r="G467" s="113"/>
      <c r="H467" s="53">
        <f t="shared" si="1"/>
        <v>0</v>
      </c>
      <c r="I467" s="115"/>
      <c r="J467" s="115"/>
      <c r="K467" s="60">
        <f t="shared" si="2"/>
        <v>0</v>
      </c>
      <c r="L467" s="117"/>
    </row>
    <row r="468" ht="15.75" customHeight="1">
      <c r="A468" s="9"/>
      <c r="B468" s="164"/>
      <c r="C468" s="110"/>
      <c r="D468" s="156"/>
      <c r="E468" s="111"/>
      <c r="F468" s="112"/>
      <c r="G468" s="113"/>
      <c r="H468" s="53">
        <f t="shared" si="1"/>
        <v>0</v>
      </c>
      <c r="I468" s="115"/>
      <c r="J468" s="115"/>
      <c r="K468" s="60">
        <f t="shared" si="2"/>
        <v>0</v>
      </c>
      <c r="L468" s="117"/>
    </row>
    <row r="469" ht="15.75" customHeight="1">
      <c r="A469" s="9"/>
      <c r="B469" s="164"/>
      <c r="C469" s="110"/>
      <c r="D469" s="156"/>
      <c r="E469" s="111"/>
      <c r="F469" s="112"/>
      <c r="G469" s="113"/>
      <c r="H469" s="53">
        <f t="shared" si="1"/>
        <v>0</v>
      </c>
      <c r="I469" s="115"/>
      <c r="J469" s="115"/>
      <c r="K469" s="60">
        <f t="shared" si="2"/>
        <v>0</v>
      </c>
      <c r="L469" s="117"/>
    </row>
    <row r="470" ht="15.75" customHeight="1">
      <c r="A470" s="9"/>
      <c r="B470" s="164"/>
      <c r="C470" s="110"/>
      <c r="D470" s="156"/>
      <c r="E470" s="111"/>
      <c r="F470" s="112"/>
      <c r="G470" s="113"/>
      <c r="H470" s="53">
        <f t="shared" si="1"/>
        <v>0</v>
      </c>
      <c r="I470" s="115"/>
      <c r="J470" s="115"/>
      <c r="K470" s="60">
        <f t="shared" si="2"/>
        <v>0</v>
      </c>
      <c r="L470" s="117"/>
    </row>
    <row r="471" ht="15.75" customHeight="1">
      <c r="A471" s="9"/>
      <c r="B471" s="164"/>
      <c r="C471" s="110"/>
      <c r="D471" s="156"/>
      <c r="E471" s="111"/>
      <c r="F471" s="112"/>
      <c r="G471" s="113"/>
      <c r="H471" s="53">
        <f t="shared" si="1"/>
        <v>0</v>
      </c>
      <c r="I471" s="115"/>
      <c r="J471" s="115"/>
      <c r="K471" s="60">
        <f t="shared" si="2"/>
        <v>0</v>
      </c>
      <c r="L471" s="117"/>
    </row>
    <row r="472" ht="15.75" customHeight="1">
      <c r="A472" s="9"/>
      <c r="B472" s="164"/>
      <c r="C472" s="110"/>
      <c r="D472" s="156"/>
      <c r="E472" s="111"/>
      <c r="F472" s="112"/>
      <c r="G472" s="113"/>
      <c r="H472" s="53">
        <f t="shared" si="1"/>
        <v>0</v>
      </c>
      <c r="I472" s="115"/>
      <c r="J472" s="115"/>
      <c r="K472" s="60">
        <f t="shared" si="2"/>
        <v>0</v>
      </c>
      <c r="L472" s="117"/>
    </row>
    <row r="473" ht="15.75" customHeight="1">
      <c r="A473" s="9"/>
      <c r="B473" s="164"/>
      <c r="C473" s="110"/>
      <c r="D473" s="156"/>
      <c r="E473" s="111"/>
      <c r="F473" s="112"/>
      <c r="G473" s="113"/>
      <c r="H473" s="53">
        <f t="shared" si="1"/>
        <v>0</v>
      </c>
      <c r="I473" s="115"/>
      <c r="J473" s="115"/>
      <c r="K473" s="60">
        <f t="shared" si="2"/>
        <v>0</v>
      </c>
      <c r="L473" s="117"/>
    </row>
    <row r="474" ht="15.75" customHeight="1">
      <c r="A474" s="9"/>
      <c r="B474" s="164"/>
      <c r="C474" s="110"/>
      <c r="D474" s="156"/>
      <c r="E474" s="111"/>
      <c r="F474" s="112"/>
      <c r="G474" s="113"/>
      <c r="H474" s="53">
        <f t="shared" si="1"/>
        <v>0</v>
      </c>
      <c r="I474" s="115"/>
      <c r="J474" s="115"/>
      <c r="K474" s="60">
        <f t="shared" si="2"/>
        <v>0</v>
      </c>
      <c r="L474" s="117"/>
    </row>
    <row r="475" ht="15.75" customHeight="1">
      <c r="A475" s="9"/>
      <c r="B475" s="164"/>
      <c r="C475" s="110"/>
      <c r="D475" s="156"/>
      <c r="E475" s="111"/>
      <c r="F475" s="112"/>
      <c r="G475" s="113"/>
      <c r="H475" s="53">
        <f t="shared" si="1"/>
        <v>0</v>
      </c>
      <c r="I475" s="115"/>
      <c r="J475" s="115"/>
      <c r="K475" s="60">
        <f t="shared" si="2"/>
        <v>0</v>
      </c>
      <c r="L475" s="117"/>
    </row>
    <row r="476" ht="15.75" customHeight="1">
      <c r="A476" s="9"/>
      <c r="B476" s="164"/>
      <c r="C476" s="110"/>
      <c r="D476" s="156"/>
      <c r="E476" s="111"/>
      <c r="F476" s="112"/>
      <c r="G476" s="113"/>
      <c r="H476" s="53">
        <f t="shared" si="1"/>
        <v>0</v>
      </c>
      <c r="I476" s="115"/>
      <c r="J476" s="115"/>
      <c r="K476" s="60">
        <f t="shared" si="2"/>
        <v>0</v>
      </c>
      <c r="L476" s="117"/>
    </row>
    <row r="477" ht="15.75" customHeight="1">
      <c r="A477" s="9"/>
      <c r="B477" s="164"/>
      <c r="C477" s="110"/>
      <c r="D477" s="156"/>
      <c r="E477" s="111"/>
      <c r="F477" s="112"/>
      <c r="G477" s="113"/>
      <c r="H477" s="53">
        <f t="shared" si="1"/>
        <v>0</v>
      </c>
      <c r="I477" s="115"/>
      <c r="J477" s="115"/>
      <c r="K477" s="60">
        <f t="shared" si="2"/>
        <v>0</v>
      </c>
      <c r="L477" s="117"/>
    </row>
    <row r="478" ht="15.75" customHeight="1">
      <c r="A478" s="9"/>
      <c r="B478" s="164"/>
      <c r="C478" s="110"/>
      <c r="D478" s="156"/>
      <c r="E478" s="111"/>
      <c r="F478" s="112"/>
      <c r="G478" s="113"/>
      <c r="H478" s="53">
        <f t="shared" si="1"/>
        <v>0</v>
      </c>
      <c r="I478" s="115"/>
      <c r="J478" s="115"/>
      <c r="K478" s="60">
        <f t="shared" si="2"/>
        <v>0</v>
      </c>
      <c r="L478" s="117"/>
    </row>
    <row r="479" ht="15.75" customHeight="1">
      <c r="A479" s="9"/>
      <c r="B479" s="164"/>
      <c r="C479" s="110"/>
      <c r="D479" s="156"/>
      <c r="E479" s="111"/>
      <c r="F479" s="112"/>
      <c r="G479" s="113"/>
      <c r="H479" s="53">
        <f t="shared" si="1"/>
        <v>0</v>
      </c>
      <c r="I479" s="115"/>
      <c r="J479" s="115"/>
      <c r="K479" s="60">
        <f t="shared" si="2"/>
        <v>0</v>
      </c>
      <c r="L479" s="117"/>
    </row>
    <row r="480" ht="15.75" customHeight="1">
      <c r="A480" s="9"/>
      <c r="B480" s="164"/>
      <c r="C480" s="110"/>
      <c r="D480" s="156"/>
      <c r="E480" s="111"/>
      <c r="F480" s="112"/>
      <c r="G480" s="113"/>
      <c r="H480" s="53">
        <f t="shared" si="1"/>
        <v>0</v>
      </c>
      <c r="I480" s="115"/>
      <c r="J480" s="115"/>
      <c r="K480" s="60">
        <f t="shared" si="2"/>
        <v>0</v>
      </c>
      <c r="L480" s="117"/>
    </row>
    <row r="481" ht="15.75" customHeight="1">
      <c r="A481" s="9"/>
      <c r="B481" s="164"/>
      <c r="C481" s="110"/>
      <c r="D481" s="156"/>
      <c r="E481" s="111"/>
      <c r="F481" s="112"/>
      <c r="G481" s="113"/>
      <c r="H481" s="53">
        <f t="shared" si="1"/>
        <v>0</v>
      </c>
      <c r="I481" s="115"/>
      <c r="J481" s="115"/>
      <c r="K481" s="60">
        <f t="shared" si="2"/>
        <v>0</v>
      </c>
      <c r="L481" s="117"/>
    </row>
    <row r="482" ht="15.75" customHeight="1">
      <c r="A482" s="9"/>
      <c r="B482" s="164"/>
      <c r="C482" s="110"/>
      <c r="D482" s="156"/>
      <c r="E482" s="111"/>
      <c r="F482" s="112"/>
      <c r="G482" s="113"/>
      <c r="H482" s="53">
        <f t="shared" si="1"/>
        <v>0</v>
      </c>
      <c r="I482" s="115"/>
      <c r="J482" s="115"/>
      <c r="K482" s="60">
        <f t="shared" si="2"/>
        <v>0</v>
      </c>
      <c r="L482" s="117"/>
    </row>
    <row r="483" ht="15.75" customHeight="1">
      <c r="A483" s="9"/>
      <c r="B483" s="164"/>
      <c r="C483" s="110"/>
      <c r="D483" s="156"/>
      <c r="E483" s="111"/>
      <c r="F483" s="112"/>
      <c r="G483" s="113"/>
      <c r="H483" s="53">
        <f t="shared" si="1"/>
        <v>0</v>
      </c>
      <c r="I483" s="115"/>
      <c r="J483" s="115"/>
      <c r="K483" s="60">
        <f t="shared" si="2"/>
        <v>0</v>
      </c>
      <c r="L483" s="117"/>
    </row>
    <row r="484" ht="15.75" customHeight="1">
      <c r="A484" s="9"/>
      <c r="B484" s="164"/>
      <c r="C484" s="110"/>
      <c r="D484" s="156"/>
      <c r="E484" s="111"/>
      <c r="F484" s="112"/>
      <c r="G484" s="113"/>
      <c r="H484" s="53">
        <f t="shared" si="1"/>
        <v>0</v>
      </c>
      <c r="I484" s="115"/>
      <c r="J484" s="115"/>
      <c r="K484" s="60">
        <f t="shared" si="2"/>
        <v>0</v>
      </c>
      <c r="L484" s="117"/>
    </row>
    <row r="485" ht="15.75" customHeight="1">
      <c r="A485" s="9"/>
      <c r="B485" s="164"/>
      <c r="C485" s="110"/>
      <c r="D485" s="156"/>
      <c r="E485" s="111"/>
      <c r="F485" s="112"/>
      <c r="G485" s="113"/>
      <c r="H485" s="53">
        <f t="shared" si="1"/>
        <v>0</v>
      </c>
      <c r="I485" s="115"/>
      <c r="J485" s="115"/>
      <c r="K485" s="60">
        <f t="shared" si="2"/>
        <v>0</v>
      </c>
      <c r="L485" s="117"/>
    </row>
    <row r="486" ht="15.75" customHeight="1">
      <c r="A486" s="9"/>
      <c r="B486" s="164"/>
      <c r="C486" s="110"/>
      <c r="D486" s="156"/>
      <c r="E486" s="111"/>
      <c r="F486" s="112"/>
      <c r="G486" s="113"/>
      <c r="H486" s="53">
        <f t="shared" si="1"/>
        <v>0</v>
      </c>
      <c r="I486" s="115"/>
      <c r="J486" s="115"/>
      <c r="K486" s="60">
        <f t="shared" si="2"/>
        <v>0</v>
      </c>
      <c r="L486" s="117"/>
    </row>
    <row r="487" ht="15.75" customHeight="1">
      <c r="A487" s="9"/>
      <c r="B487" s="164"/>
      <c r="C487" s="110"/>
      <c r="D487" s="156"/>
      <c r="E487" s="111"/>
      <c r="F487" s="112"/>
      <c r="G487" s="113"/>
      <c r="H487" s="53">
        <f t="shared" si="1"/>
        <v>0</v>
      </c>
      <c r="I487" s="115"/>
      <c r="J487" s="115"/>
      <c r="K487" s="60">
        <f t="shared" si="2"/>
        <v>0</v>
      </c>
      <c r="L487" s="117"/>
    </row>
    <row r="488" ht="15.75" customHeight="1">
      <c r="A488" s="9"/>
      <c r="B488" s="164"/>
      <c r="C488" s="110"/>
      <c r="D488" s="156"/>
      <c r="E488" s="111"/>
      <c r="F488" s="112"/>
      <c r="G488" s="113"/>
      <c r="H488" s="53">
        <f t="shared" si="1"/>
        <v>0</v>
      </c>
      <c r="I488" s="115"/>
      <c r="J488" s="115"/>
      <c r="K488" s="60">
        <f t="shared" si="2"/>
        <v>0</v>
      </c>
      <c r="L488" s="117"/>
    </row>
    <row r="489" ht="15.75" customHeight="1">
      <c r="A489" s="9"/>
      <c r="B489" s="164"/>
      <c r="C489" s="110"/>
      <c r="D489" s="156"/>
      <c r="E489" s="111"/>
      <c r="F489" s="112"/>
      <c r="G489" s="113"/>
      <c r="H489" s="53">
        <f t="shared" si="1"/>
        <v>0</v>
      </c>
      <c r="I489" s="115"/>
      <c r="J489" s="115"/>
      <c r="K489" s="60">
        <f t="shared" si="2"/>
        <v>0</v>
      </c>
      <c r="L489" s="117"/>
    </row>
    <row r="490" ht="15.75" customHeight="1">
      <c r="A490" s="9"/>
      <c r="B490" s="164"/>
      <c r="C490" s="110"/>
      <c r="D490" s="156"/>
      <c r="E490" s="111"/>
      <c r="F490" s="112"/>
      <c r="G490" s="113"/>
      <c r="H490" s="53">
        <f t="shared" si="1"/>
        <v>0</v>
      </c>
      <c r="I490" s="115"/>
      <c r="J490" s="115"/>
      <c r="K490" s="60">
        <f t="shared" si="2"/>
        <v>0</v>
      </c>
      <c r="L490" s="117"/>
    </row>
    <row r="491" ht="15.75" customHeight="1">
      <c r="A491" s="9"/>
      <c r="B491" s="164"/>
      <c r="C491" s="110"/>
      <c r="D491" s="156"/>
      <c r="E491" s="111"/>
      <c r="F491" s="112"/>
      <c r="G491" s="113"/>
      <c r="H491" s="53">
        <f t="shared" si="1"/>
        <v>0</v>
      </c>
      <c r="I491" s="115"/>
      <c r="J491" s="115"/>
      <c r="K491" s="60">
        <f t="shared" si="2"/>
        <v>0</v>
      </c>
      <c r="L491" s="117"/>
    </row>
    <row r="492" ht="15.75" customHeight="1">
      <c r="A492" s="9"/>
      <c r="B492" s="164"/>
      <c r="C492" s="110"/>
      <c r="D492" s="156"/>
      <c r="E492" s="111"/>
      <c r="F492" s="112"/>
      <c r="G492" s="113"/>
      <c r="H492" s="53">
        <f t="shared" si="1"/>
        <v>0</v>
      </c>
      <c r="I492" s="115"/>
      <c r="J492" s="115"/>
      <c r="K492" s="60">
        <f t="shared" si="2"/>
        <v>0</v>
      </c>
      <c r="L492" s="117"/>
    </row>
    <row r="493" ht="15.75" customHeight="1">
      <c r="A493" s="9"/>
      <c r="B493" s="164"/>
      <c r="C493" s="110"/>
      <c r="D493" s="156"/>
      <c r="E493" s="111"/>
      <c r="F493" s="112"/>
      <c r="G493" s="113"/>
      <c r="H493" s="53">
        <f t="shared" si="1"/>
        <v>0</v>
      </c>
      <c r="I493" s="115"/>
      <c r="J493" s="115"/>
      <c r="K493" s="60">
        <f t="shared" si="2"/>
        <v>0</v>
      </c>
      <c r="L493" s="117"/>
    </row>
    <row r="494" ht="15.75" customHeight="1">
      <c r="A494" s="9"/>
      <c r="B494" s="164"/>
      <c r="C494" s="110"/>
      <c r="D494" s="156"/>
      <c r="E494" s="111"/>
      <c r="F494" s="112"/>
      <c r="G494" s="113"/>
      <c r="H494" s="53">
        <f t="shared" si="1"/>
        <v>0</v>
      </c>
      <c r="I494" s="115"/>
      <c r="J494" s="115"/>
      <c r="K494" s="60">
        <f t="shared" si="2"/>
        <v>0</v>
      </c>
      <c r="L494" s="117"/>
    </row>
    <row r="495" ht="15.75" customHeight="1">
      <c r="A495" s="9"/>
      <c r="B495" s="164"/>
      <c r="C495" s="110"/>
      <c r="D495" s="156"/>
      <c r="E495" s="111"/>
      <c r="F495" s="112"/>
      <c r="G495" s="113"/>
      <c r="H495" s="53">
        <f t="shared" si="1"/>
        <v>0</v>
      </c>
      <c r="I495" s="115"/>
      <c r="J495" s="115"/>
      <c r="K495" s="60">
        <f t="shared" si="2"/>
        <v>0</v>
      </c>
      <c r="L495" s="117"/>
    </row>
    <row r="496" ht="15.75" customHeight="1">
      <c r="A496" s="9"/>
      <c r="B496" s="164"/>
      <c r="C496" s="110"/>
      <c r="D496" s="156"/>
      <c r="E496" s="111"/>
      <c r="F496" s="112"/>
      <c r="G496" s="113"/>
      <c r="H496" s="53">
        <f t="shared" si="1"/>
        <v>0</v>
      </c>
      <c r="I496" s="115"/>
      <c r="J496" s="115"/>
      <c r="K496" s="60">
        <f t="shared" si="2"/>
        <v>0</v>
      </c>
      <c r="L496" s="117"/>
    </row>
    <row r="497" ht="15.75" customHeight="1">
      <c r="A497" s="9"/>
      <c r="B497" s="164"/>
      <c r="C497" s="110"/>
      <c r="D497" s="156"/>
      <c r="E497" s="111"/>
      <c r="F497" s="112"/>
      <c r="G497" s="113"/>
      <c r="H497" s="53">
        <f t="shared" si="1"/>
        <v>0</v>
      </c>
      <c r="I497" s="115"/>
      <c r="J497" s="115"/>
      <c r="K497" s="60">
        <f t="shared" si="2"/>
        <v>0</v>
      </c>
      <c r="L497" s="117"/>
    </row>
    <row r="498" ht="15.75" customHeight="1">
      <c r="A498" s="9"/>
      <c r="B498" s="164"/>
      <c r="C498" s="110"/>
      <c r="D498" s="156"/>
      <c r="E498" s="111"/>
      <c r="F498" s="112"/>
      <c r="G498" s="113"/>
      <c r="H498" s="53">
        <f t="shared" si="1"/>
        <v>0</v>
      </c>
      <c r="I498" s="115"/>
      <c r="J498" s="115"/>
      <c r="K498" s="60">
        <f t="shared" si="2"/>
        <v>0</v>
      </c>
      <c r="L498" s="117"/>
    </row>
    <row r="499" ht="15.75" customHeight="1">
      <c r="A499" s="9"/>
      <c r="B499" s="164"/>
      <c r="C499" s="110"/>
      <c r="D499" s="156"/>
      <c r="E499" s="111"/>
      <c r="F499" s="112"/>
      <c r="G499" s="113"/>
      <c r="H499" s="53">
        <f t="shared" si="1"/>
        <v>0</v>
      </c>
      <c r="I499" s="115"/>
      <c r="J499" s="115"/>
      <c r="K499" s="60">
        <f t="shared" si="2"/>
        <v>0</v>
      </c>
      <c r="L499" s="117"/>
    </row>
    <row r="500" ht="15.75" customHeight="1">
      <c r="A500" s="9"/>
      <c r="B500" s="164"/>
      <c r="C500" s="110"/>
      <c r="D500" s="156"/>
      <c r="E500" s="111"/>
      <c r="F500" s="112"/>
      <c r="G500" s="113"/>
      <c r="H500" s="53">
        <f t="shared" si="1"/>
        <v>0</v>
      </c>
      <c r="I500" s="115"/>
      <c r="J500" s="115"/>
      <c r="K500" s="60">
        <f t="shared" si="2"/>
        <v>0</v>
      </c>
      <c r="L500" s="117"/>
    </row>
    <row r="501" ht="15.75" customHeight="1">
      <c r="A501" s="9"/>
      <c r="B501" s="164"/>
      <c r="C501" s="110"/>
      <c r="D501" s="156"/>
      <c r="E501" s="111"/>
      <c r="F501" s="112"/>
      <c r="G501" s="113"/>
      <c r="H501" s="53">
        <f t="shared" si="1"/>
        <v>0</v>
      </c>
      <c r="I501" s="115"/>
      <c r="J501" s="115"/>
      <c r="K501" s="60">
        <f t="shared" si="2"/>
        <v>0</v>
      </c>
      <c r="L501" s="117"/>
    </row>
    <row r="502" ht="15.75" customHeight="1">
      <c r="A502" s="9"/>
      <c r="B502" s="164"/>
      <c r="C502" s="110"/>
      <c r="D502" s="156"/>
      <c r="E502" s="111"/>
      <c r="F502" s="112"/>
      <c r="G502" s="113"/>
      <c r="H502" s="53">
        <f t="shared" si="1"/>
        <v>0</v>
      </c>
      <c r="I502" s="115"/>
      <c r="J502" s="115"/>
      <c r="K502" s="60">
        <f t="shared" si="2"/>
        <v>0</v>
      </c>
      <c r="L502" s="117"/>
    </row>
    <row r="503" ht="15.75" customHeight="1">
      <c r="A503" s="9"/>
      <c r="B503" s="164"/>
      <c r="C503" s="110"/>
      <c r="D503" s="156"/>
      <c r="E503" s="111"/>
      <c r="F503" s="112"/>
      <c r="G503" s="113"/>
      <c r="H503" s="53">
        <f t="shared" si="1"/>
        <v>0</v>
      </c>
      <c r="I503" s="115"/>
      <c r="J503" s="115"/>
      <c r="K503" s="60">
        <f t="shared" si="2"/>
        <v>0</v>
      </c>
      <c r="L503" s="117"/>
    </row>
    <row r="504" ht="15.75" customHeight="1">
      <c r="A504" s="9"/>
      <c r="B504" s="164"/>
      <c r="C504" s="110"/>
      <c r="D504" s="156"/>
      <c r="E504" s="111"/>
      <c r="F504" s="112"/>
      <c r="G504" s="113"/>
      <c r="H504" s="53">
        <f t="shared" si="1"/>
        <v>0</v>
      </c>
      <c r="I504" s="115"/>
      <c r="J504" s="115"/>
      <c r="K504" s="60">
        <f t="shared" si="2"/>
        <v>0</v>
      </c>
      <c r="L504" s="117"/>
    </row>
    <row r="505" ht="15.75" customHeight="1">
      <c r="A505" s="9"/>
      <c r="B505" s="164"/>
      <c r="C505" s="110"/>
      <c r="D505" s="156"/>
      <c r="E505" s="111"/>
      <c r="F505" s="112"/>
      <c r="G505" s="113"/>
      <c r="H505" s="53">
        <f t="shared" si="1"/>
        <v>0</v>
      </c>
      <c r="I505" s="115"/>
      <c r="J505" s="115"/>
      <c r="K505" s="60">
        <f t="shared" si="2"/>
        <v>0</v>
      </c>
      <c r="L505" s="117"/>
    </row>
    <row r="506" ht="15.75" customHeight="1">
      <c r="A506" s="9"/>
      <c r="B506" s="164"/>
      <c r="C506" s="110"/>
      <c r="D506" s="156"/>
      <c r="E506" s="111"/>
      <c r="F506" s="112"/>
      <c r="G506" s="113"/>
      <c r="H506" s="53">
        <f t="shared" si="1"/>
        <v>0</v>
      </c>
      <c r="I506" s="115"/>
      <c r="J506" s="115"/>
      <c r="K506" s="60">
        <f t="shared" si="2"/>
        <v>0</v>
      </c>
      <c r="L506" s="117"/>
    </row>
    <row r="507" ht="15.75" customHeight="1">
      <c r="A507" s="9"/>
      <c r="B507" s="164"/>
      <c r="C507" s="110"/>
      <c r="D507" s="156"/>
      <c r="E507" s="111"/>
      <c r="F507" s="112"/>
      <c r="G507" s="113"/>
      <c r="H507" s="53">
        <f t="shared" si="1"/>
        <v>0</v>
      </c>
      <c r="I507" s="115"/>
      <c r="J507" s="115"/>
      <c r="K507" s="60">
        <f t="shared" si="2"/>
        <v>0</v>
      </c>
      <c r="L507" s="117"/>
    </row>
    <row r="508" ht="15.75" customHeight="1">
      <c r="A508" s="9"/>
      <c r="B508" s="164"/>
      <c r="C508" s="110"/>
      <c r="D508" s="156"/>
      <c r="E508" s="111"/>
      <c r="F508" s="112"/>
      <c r="G508" s="113"/>
      <c r="H508" s="53">
        <f t="shared" si="1"/>
        <v>0</v>
      </c>
      <c r="I508" s="115"/>
      <c r="J508" s="115"/>
      <c r="K508" s="60">
        <f t="shared" si="2"/>
        <v>0</v>
      </c>
      <c r="L508" s="117"/>
    </row>
    <row r="509" ht="15.75" customHeight="1">
      <c r="A509" s="9"/>
      <c r="B509" s="164"/>
      <c r="C509" s="110"/>
      <c r="D509" s="156"/>
      <c r="E509" s="111"/>
      <c r="F509" s="112"/>
      <c r="G509" s="113"/>
      <c r="H509" s="53">
        <f t="shared" si="1"/>
        <v>0</v>
      </c>
      <c r="I509" s="115"/>
      <c r="J509" s="115"/>
      <c r="K509" s="60">
        <f t="shared" si="2"/>
        <v>0</v>
      </c>
      <c r="L509" s="117"/>
    </row>
    <row r="510" ht="15.75" customHeight="1">
      <c r="A510" s="9"/>
      <c r="B510" s="164"/>
      <c r="C510" s="110"/>
      <c r="D510" s="156"/>
      <c r="E510" s="111"/>
      <c r="F510" s="112"/>
      <c r="G510" s="113"/>
      <c r="H510" s="53">
        <f t="shared" si="1"/>
        <v>0</v>
      </c>
      <c r="I510" s="115"/>
      <c r="J510" s="115"/>
      <c r="K510" s="60">
        <f t="shared" si="2"/>
        <v>0</v>
      </c>
      <c r="L510" s="117"/>
    </row>
    <row r="511" ht="15.75" customHeight="1">
      <c r="A511" s="9"/>
      <c r="B511" s="164"/>
      <c r="C511" s="110"/>
      <c r="D511" s="156"/>
      <c r="E511" s="111"/>
      <c r="F511" s="112"/>
      <c r="G511" s="113"/>
      <c r="H511" s="53">
        <f t="shared" si="1"/>
        <v>0</v>
      </c>
      <c r="I511" s="115"/>
      <c r="J511" s="115"/>
      <c r="K511" s="60">
        <f t="shared" si="2"/>
        <v>0</v>
      </c>
      <c r="L511" s="117"/>
    </row>
    <row r="512" ht="15.75" customHeight="1">
      <c r="A512" s="9"/>
      <c r="B512" s="164"/>
      <c r="C512" s="110"/>
      <c r="D512" s="156"/>
      <c r="E512" s="111"/>
      <c r="F512" s="112"/>
      <c r="G512" s="113"/>
      <c r="H512" s="53">
        <f t="shared" si="1"/>
        <v>0</v>
      </c>
      <c r="I512" s="115"/>
      <c r="J512" s="115"/>
      <c r="K512" s="60">
        <f t="shared" si="2"/>
        <v>0</v>
      </c>
      <c r="L512" s="117"/>
    </row>
    <row r="513" ht="15.75" customHeight="1">
      <c r="A513" s="9"/>
      <c r="B513" s="164"/>
      <c r="C513" s="110"/>
      <c r="D513" s="156"/>
      <c r="E513" s="111"/>
      <c r="F513" s="112"/>
      <c r="G513" s="113"/>
      <c r="H513" s="53">
        <f t="shared" si="1"/>
        <v>0</v>
      </c>
      <c r="I513" s="115"/>
      <c r="J513" s="115"/>
      <c r="K513" s="60">
        <f t="shared" si="2"/>
        <v>0</v>
      </c>
      <c r="L513" s="117"/>
    </row>
    <row r="514" ht="15.75" customHeight="1">
      <c r="A514" s="9"/>
      <c r="B514" s="164"/>
      <c r="C514" s="110"/>
      <c r="D514" s="156"/>
      <c r="E514" s="111"/>
      <c r="F514" s="112"/>
      <c r="G514" s="113"/>
      <c r="H514" s="53">
        <f t="shared" si="1"/>
        <v>0</v>
      </c>
      <c r="I514" s="115"/>
      <c r="J514" s="115"/>
      <c r="K514" s="60">
        <f t="shared" si="2"/>
        <v>0</v>
      </c>
      <c r="L514" s="117"/>
    </row>
    <row r="515" ht="15.75" customHeight="1">
      <c r="A515" s="9"/>
      <c r="B515" s="164"/>
      <c r="C515" s="110"/>
      <c r="D515" s="156"/>
      <c r="E515" s="111"/>
      <c r="F515" s="112"/>
      <c r="G515" s="113"/>
      <c r="H515" s="53">
        <f t="shared" si="1"/>
        <v>0</v>
      </c>
      <c r="I515" s="115"/>
      <c r="J515" s="115"/>
      <c r="K515" s="60">
        <f t="shared" si="2"/>
        <v>0</v>
      </c>
      <c r="L515" s="117"/>
    </row>
    <row r="516" ht="15.75" customHeight="1">
      <c r="A516" s="9"/>
      <c r="B516" s="164"/>
      <c r="C516" s="110"/>
      <c r="D516" s="156"/>
      <c r="E516" s="111"/>
      <c r="F516" s="112"/>
      <c r="G516" s="113"/>
      <c r="H516" s="53">
        <f t="shared" si="1"/>
        <v>0</v>
      </c>
      <c r="I516" s="115"/>
      <c r="J516" s="115"/>
      <c r="K516" s="60">
        <f t="shared" si="2"/>
        <v>0</v>
      </c>
      <c r="L516" s="117"/>
    </row>
    <row r="517" ht="15.75" customHeight="1">
      <c r="A517" s="9"/>
      <c r="B517" s="164"/>
      <c r="C517" s="110"/>
      <c r="D517" s="156"/>
      <c r="E517" s="111"/>
      <c r="F517" s="112"/>
      <c r="G517" s="113"/>
      <c r="H517" s="53">
        <f t="shared" si="1"/>
        <v>0</v>
      </c>
      <c r="I517" s="115"/>
      <c r="J517" s="115"/>
      <c r="K517" s="60">
        <f t="shared" si="2"/>
        <v>0</v>
      </c>
      <c r="L517" s="117"/>
    </row>
    <row r="518" ht="15.75" customHeight="1">
      <c r="A518" s="9"/>
      <c r="B518" s="164"/>
      <c r="C518" s="110"/>
      <c r="D518" s="156"/>
      <c r="E518" s="111"/>
      <c r="F518" s="112"/>
      <c r="G518" s="113"/>
      <c r="H518" s="53">
        <f t="shared" si="1"/>
        <v>0</v>
      </c>
      <c r="I518" s="115"/>
      <c r="J518" s="115"/>
      <c r="K518" s="60">
        <f t="shared" si="2"/>
        <v>0</v>
      </c>
      <c r="L518" s="117"/>
    </row>
    <row r="519" ht="15.75" customHeight="1">
      <c r="A519" s="9"/>
      <c r="B519" s="164"/>
      <c r="C519" s="110"/>
      <c r="D519" s="156"/>
      <c r="E519" s="111"/>
      <c r="F519" s="112"/>
      <c r="G519" s="113"/>
      <c r="H519" s="53">
        <f t="shared" si="1"/>
        <v>0</v>
      </c>
      <c r="I519" s="115"/>
      <c r="J519" s="115"/>
      <c r="K519" s="60">
        <f t="shared" si="2"/>
        <v>0</v>
      </c>
      <c r="L519" s="117"/>
    </row>
    <row r="520" ht="15.75" customHeight="1">
      <c r="A520" s="9"/>
      <c r="B520" s="164"/>
      <c r="C520" s="110"/>
      <c r="D520" s="156"/>
      <c r="E520" s="111"/>
      <c r="F520" s="112"/>
      <c r="G520" s="113"/>
      <c r="H520" s="53">
        <f t="shared" si="1"/>
        <v>0</v>
      </c>
      <c r="I520" s="115"/>
      <c r="J520" s="115"/>
      <c r="K520" s="60">
        <f t="shared" si="2"/>
        <v>0</v>
      </c>
      <c r="L520" s="117"/>
    </row>
    <row r="521" ht="15.75" customHeight="1">
      <c r="A521" s="9"/>
      <c r="B521" s="164"/>
      <c r="C521" s="110"/>
      <c r="D521" s="156"/>
      <c r="E521" s="111"/>
      <c r="F521" s="112"/>
      <c r="G521" s="113"/>
      <c r="H521" s="53">
        <f t="shared" si="1"/>
        <v>0</v>
      </c>
      <c r="I521" s="115"/>
      <c r="J521" s="115"/>
      <c r="K521" s="60">
        <f t="shared" si="2"/>
        <v>0</v>
      </c>
      <c r="L521" s="117"/>
    </row>
    <row r="522" ht="15.75" customHeight="1">
      <c r="A522" s="9"/>
      <c r="B522" s="164"/>
      <c r="C522" s="110"/>
      <c r="D522" s="156"/>
      <c r="E522" s="111"/>
      <c r="F522" s="112"/>
      <c r="G522" s="113"/>
      <c r="H522" s="53">
        <f t="shared" si="1"/>
        <v>0</v>
      </c>
      <c r="I522" s="115"/>
      <c r="J522" s="115"/>
      <c r="K522" s="60">
        <f t="shared" si="2"/>
        <v>0</v>
      </c>
      <c r="L522" s="117"/>
    </row>
    <row r="523" ht="15.75" customHeight="1">
      <c r="A523" s="9"/>
      <c r="B523" s="164"/>
      <c r="C523" s="110"/>
      <c r="D523" s="156"/>
      <c r="E523" s="111"/>
      <c r="F523" s="112"/>
      <c r="G523" s="113"/>
      <c r="H523" s="53">
        <f t="shared" si="1"/>
        <v>0</v>
      </c>
      <c r="I523" s="115"/>
      <c r="J523" s="115"/>
      <c r="K523" s="60">
        <f t="shared" si="2"/>
        <v>0</v>
      </c>
      <c r="L523" s="117"/>
    </row>
    <row r="524" ht="15.75" customHeight="1">
      <c r="A524" s="9"/>
      <c r="B524" s="164"/>
      <c r="C524" s="110"/>
      <c r="D524" s="156"/>
      <c r="E524" s="111"/>
      <c r="F524" s="112"/>
      <c r="G524" s="113"/>
      <c r="H524" s="53">
        <f t="shared" si="1"/>
        <v>0</v>
      </c>
      <c r="I524" s="115"/>
      <c r="J524" s="115"/>
      <c r="K524" s="60">
        <f t="shared" si="2"/>
        <v>0</v>
      </c>
      <c r="L524" s="117"/>
    </row>
    <row r="525" ht="15.75" customHeight="1">
      <c r="A525" s="9"/>
      <c r="B525" s="164"/>
      <c r="C525" s="110"/>
      <c r="D525" s="156"/>
      <c r="E525" s="111"/>
      <c r="F525" s="112"/>
      <c r="G525" s="113"/>
      <c r="H525" s="53">
        <f t="shared" si="1"/>
        <v>0</v>
      </c>
      <c r="I525" s="115"/>
      <c r="J525" s="115"/>
      <c r="K525" s="60">
        <f t="shared" si="2"/>
        <v>0</v>
      </c>
      <c r="L525" s="117"/>
    </row>
    <row r="526" ht="15.75" customHeight="1">
      <c r="A526" s="9"/>
      <c r="B526" s="164"/>
      <c r="C526" s="110"/>
      <c r="D526" s="156"/>
      <c r="E526" s="111"/>
      <c r="F526" s="112"/>
      <c r="G526" s="113"/>
      <c r="H526" s="53">
        <f t="shared" si="1"/>
        <v>0</v>
      </c>
      <c r="I526" s="115"/>
      <c r="J526" s="115"/>
      <c r="K526" s="60">
        <f t="shared" si="2"/>
        <v>0</v>
      </c>
      <c r="L526" s="117"/>
    </row>
    <row r="527" ht="15.75" customHeight="1">
      <c r="A527" s="9"/>
      <c r="B527" s="164"/>
      <c r="C527" s="110"/>
      <c r="D527" s="156"/>
      <c r="E527" s="111"/>
      <c r="F527" s="112"/>
      <c r="G527" s="113"/>
      <c r="H527" s="53">
        <f t="shared" si="1"/>
        <v>0</v>
      </c>
      <c r="I527" s="115"/>
      <c r="J527" s="115"/>
      <c r="K527" s="60">
        <f t="shared" si="2"/>
        <v>0</v>
      </c>
      <c r="L527" s="117"/>
    </row>
    <row r="528" ht="15.75" customHeight="1">
      <c r="A528" s="9"/>
      <c r="B528" s="164"/>
      <c r="C528" s="110"/>
      <c r="D528" s="156"/>
      <c r="E528" s="111"/>
      <c r="F528" s="112"/>
      <c r="G528" s="113"/>
      <c r="H528" s="53">
        <f t="shared" si="1"/>
        <v>0</v>
      </c>
      <c r="I528" s="115"/>
      <c r="J528" s="115"/>
      <c r="K528" s="60">
        <f t="shared" si="2"/>
        <v>0</v>
      </c>
      <c r="L528" s="117"/>
    </row>
    <row r="529" ht="15.75" customHeight="1">
      <c r="A529" s="9"/>
      <c r="B529" s="164"/>
      <c r="C529" s="110"/>
      <c r="D529" s="156"/>
      <c r="E529" s="111"/>
      <c r="F529" s="112"/>
      <c r="G529" s="113"/>
      <c r="H529" s="53">
        <f t="shared" si="1"/>
        <v>0</v>
      </c>
      <c r="I529" s="115"/>
      <c r="J529" s="115"/>
      <c r="K529" s="60">
        <f t="shared" si="2"/>
        <v>0</v>
      </c>
      <c r="L529" s="117"/>
    </row>
    <row r="530" ht="15.75" customHeight="1">
      <c r="A530" s="9"/>
      <c r="B530" s="164"/>
      <c r="C530" s="110"/>
      <c r="D530" s="156"/>
      <c r="E530" s="111"/>
      <c r="F530" s="112"/>
      <c r="G530" s="113"/>
      <c r="H530" s="53">
        <f t="shared" si="1"/>
        <v>0</v>
      </c>
      <c r="I530" s="115"/>
      <c r="J530" s="115"/>
      <c r="K530" s="60">
        <f t="shared" si="2"/>
        <v>0</v>
      </c>
      <c r="L530" s="117"/>
    </row>
    <row r="531" ht="15.75" customHeight="1">
      <c r="A531" s="9"/>
      <c r="B531" s="164"/>
      <c r="C531" s="110"/>
      <c r="D531" s="156"/>
      <c r="E531" s="111"/>
      <c r="F531" s="112"/>
      <c r="G531" s="113"/>
      <c r="H531" s="53">
        <f t="shared" si="1"/>
        <v>0</v>
      </c>
      <c r="I531" s="115"/>
      <c r="J531" s="115"/>
      <c r="K531" s="60">
        <f t="shared" si="2"/>
        <v>0</v>
      </c>
      <c r="L531" s="117"/>
    </row>
    <row r="532" ht="15.75" customHeight="1">
      <c r="A532" s="9"/>
      <c r="B532" s="164"/>
      <c r="C532" s="110"/>
      <c r="D532" s="156"/>
      <c r="E532" s="111"/>
      <c r="F532" s="112"/>
      <c r="G532" s="113"/>
      <c r="H532" s="53">
        <f t="shared" si="1"/>
        <v>0</v>
      </c>
      <c r="I532" s="115"/>
      <c r="J532" s="115"/>
      <c r="K532" s="60">
        <f t="shared" si="2"/>
        <v>0</v>
      </c>
      <c r="L532" s="117"/>
    </row>
    <row r="533" ht="15.75" customHeight="1">
      <c r="A533" s="9"/>
      <c r="B533" s="164"/>
      <c r="C533" s="110"/>
      <c r="D533" s="156"/>
      <c r="E533" s="111"/>
      <c r="F533" s="112"/>
      <c r="G533" s="113"/>
      <c r="H533" s="53">
        <f t="shared" si="1"/>
        <v>0</v>
      </c>
      <c r="I533" s="115"/>
      <c r="J533" s="115"/>
      <c r="K533" s="60">
        <f t="shared" si="2"/>
        <v>0</v>
      </c>
      <c r="L533" s="117"/>
    </row>
    <row r="534" ht="15.75" customHeight="1">
      <c r="A534" s="9"/>
      <c r="B534" s="164"/>
      <c r="C534" s="110"/>
      <c r="D534" s="156"/>
      <c r="E534" s="111"/>
      <c r="F534" s="112"/>
      <c r="G534" s="113"/>
      <c r="H534" s="53">
        <f t="shared" si="1"/>
        <v>0</v>
      </c>
      <c r="I534" s="115"/>
      <c r="J534" s="115"/>
      <c r="K534" s="60">
        <f t="shared" si="2"/>
        <v>0</v>
      </c>
      <c r="L534" s="117"/>
    </row>
    <row r="535" ht="15.75" customHeight="1">
      <c r="A535" s="9"/>
      <c r="B535" s="164"/>
      <c r="C535" s="110"/>
      <c r="D535" s="156"/>
      <c r="E535" s="111"/>
      <c r="F535" s="112"/>
      <c r="G535" s="113"/>
      <c r="H535" s="53">
        <f t="shared" si="1"/>
        <v>0</v>
      </c>
      <c r="I535" s="115"/>
      <c r="J535" s="115"/>
      <c r="K535" s="60">
        <f t="shared" si="2"/>
        <v>0</v>
      </c>
      <c r="L535" s="117"/>
    </row>
    <row r="536" ht="15.75" customHeight="1">
      <c r="A536" s="9"/>
      <c r="B536" s="164"/>
      <c r="C536" s="110"/>
      <c r="D536" s="156"/>
      <c r="E536" s="111"/>
      <c r="F536" s="112"/>
      <c r="G536" s="113"/>
      <c r="H536" s="53">
        <f t="shared" si="1"/>
        <v>0</v>
      </c>
      <c r="I536" s="115"/>
      <c r="J536" s="115"/>
      <c r="K536" s="60">
        <f t="shared" si="2"/>
        <v>0</v>
      </c>
      <c r="L536" s="117"/>
    </row>
    <row r="537" ht="15.75" customHeight="1">
      <c r="A537" s="9"/>
      <c r="B537" s="164"/>
      <c r="C537" s="110"/>
      <c r="D537" s="156"/>
      <c r="E537" s="111"/>
      <c r="F537" s="112"/>
      <c r="G537" s="113"/>
      <c r="H537" s="53">
        <f t="shared" si="1"/>
        <v>0</v>
      </c>
      <c r="I537" s="115"/>
      <c r="J537" s="115"/>
      <c r="K537" s="60">
        <f t="shared" si="2"/>
        <v>0</v>
      </c>
      <c r="L537" s="117"/>
    </row>
    <row r="538" ht="15.75" customHeight="1">
      <c r="A538" s="9"/>
      <c r="B538" s="164"/>
      <c r="C538" s="110"/>
      <c r="D538" s="156"/>
      <c r="E538" s="111"/>
      <c r="F538" s="112"/>
      <c r="G538" s="113"/>
      <c r="H538" s="53">
        <f t="shared" si="1"/>
        <v>0</v>
      </c>
      <c r="I538" s="115"/>
      <c r="J538" s="115"/>
      <c r="K538" s="60">
        <f t="shared" si="2"/>
        <v>0</v>
      </c>
      <c r="L538" s="117"/>
    </row>
    <row r="539" ht="15.75" customHeight="1">
      <c r="A539" s="9"/>
      <c r="B539" s="164"/>
      <c r="C539" s="110"/>
      <c r="D539" s="156"/>
      <c r="E539" s="111"/>
      <c r="F539" s="112"/>
      <c r="G539" s="113"/>
      <c r="H539" s="53">
        <f t="shared" si="1"/>
        <v>0</v>
      </c>
      <c r="I539" s="115"/>
      <c r="J539" s="115"/>
      <c r="K539" s="60">
        <f t="shared" si="2"/>
        <v>0</v>
      </c>
      <c r="L539" s="117"/>
    </row>
    <row r="540" ht="15.75" customHeight="1">
      <c r="A540" s="9"/>
      <c r="B540" s="164"/>
      <c r="C540" s="110"/>
      <c r="D540" s="156"/>
      <c r="E540" s="111"/>
      <c r="F540" s="112"/>
      <c r="G540" s="113"/>
      <c r="H540" s="53">
        <f t="shared" si="1"/>
        <v>0</v>
      </c>
      <c r="I540" s="115"/>
      <c r="J540" s="115"/>
      <c r="K540" s="60">
        <f t="shared" si="2"/>
        <v>0</v>
      </c>
      <c r="L540" s="117"/>
    </row>
    <row r="541" ht="15.75" customHeight="1">
      <c r="A541" s="9"/>
      <c r="B541" s="164"/>
      <c r="C541" s="110"/>
      <c r="D541" s="156"/>
      <c r="E541" s="111"/>
      <c r="F541" s="112"/>
      <c r="G541" s="113"/>
      <c r="H541" s="53">
        <f t="shared" si="1"/>
        <v>0</v>
      </c>
      <c r="I541" s="115"/>
      <c r="J541" s="115"/>
      <c r="K541" s="60">
        <f t="shared" si="2"/>
        <v>0</v>
      </c>
      <c r="L541" s="117"/>
    </row>
    <row r="542" ht="15.75" customHeight="1">
      <c r="A542" s="9"/>
      <c r="B542" s="164"/>
      <c r="C542" s="110"/>
      <c r="D542" s="156"/>
      <c r="E542" s="111"/>
      <c r="F542" s="112"/>
      <c r="G542" s="113"/>
      <c r="H542" s="53">
        <f t="shared" si="1"/>
        <v>0</v>
      </c>
      <c r="I542" s="115"/>
      <c r="J542" s="115"/>
      <c r="K542" s="60">
        <f t="shared" si="2"/>
        <v>0</v>
      </c>
      <c r="L542" s="117"/>
    </row>
    <row r="543" ht="15.75" customHeight="1">
      <c r="A543" s="9"/>
      <c r="B543" s="164"/>
      <c r="C543" s="110"/>
      <c r="D543" s="156"/>
      <c r="E543" s="111"/>
      <c r="F543" s="112"/>
      <c r="G543" s="113"/>
      <c r="H543" s="53">
        <f t="shared" si="1"/>
        <v>0</v>
      </c>
      <c r="I543" s="115"/>
      <c r="J543" s="115"/>
      <c r="K543" s="60">
        <f t="shared" si="2"/>
        <v>0</v>
      </c>
      <c r="L543" s="117"/>
    </row>
    <row r="544" ht="15.75" customHeight="1">
      <c r="A544" s="9"/>
      <c r="B544" s="164"/>
      <c r="C544" s="110"/>
      <c r="D544" s="156"/>
      <c r="E544" s="111"/>
      <c r="F544" s="112"/>
      <c r="G544" s="113"/>
      <c r="H544" s="53">
        <f t="shared" si="1"/>
        <v>0</v>
      </c>
      <c r="I544" s="115"/>
      <c r="J544" s="115"/>
      <c r="K544" s="60">
        <f t="shared" si="2"/>
        <v>0</v>
      </c>
      <c r="L544" s="117"/>
    </row>
    <row r="545" ht="15.75" customHeight="1">
      <c r="A545" s="9"/>
      <c r="B545" s="164"/>
      <c r="C545" s="110"/>
      <c r="D545" s="156"/>
      <c r="E545" s="111"/>
      <c r="F545" s="112"/>
      <c r="G545" s="113"/>
      <c r="H545" s="53">
        <f t="shared" si="1"/>
        <v>0</v>
      </c>
      <c r="I545" s="115"/>
      <c r="J545" s="115"/>
      <c r="K545" s="60">
        <f t="shared" si="2"/>
        <v>0</v>
      </c>
      <c r="L545" s="117"/>
    </row>
    <row r="546" ht="15.75" customHeight="1">
      <c r="A546" s="9"/>
      <c r="B546" s="164"/>
      <c r="C546" s="110"/>
      <c r="D546" s="156"/>
      <c r="E546" s="111"/>
      <c r="F546" s="112"/>
      <c r="G546" s="113"/>
      <c r="H546" s="53">
        <f t="shared" si="1"/>
        <v>0</v>
      </c>
      <c r="I546" s="115"/>
      <c r="J546" s="115"/>
      <c r="K546" s="60">
        <f t="shared" si="2"/>
        <v>0</v>
      </c>
      <c r="L546" s="117"/>
    </row>
    <row r="547" ht="15.75" customHeight="1">
      <c r="A547" s="9"/>
      <c r="B547" s="164"/>
      <c r="C547" s="110"/>
      <c r="D547" s="156"/>
      <c r="E547" s="111"/>
      <c r="F547" s="112"/>
      <c r="G547" s="113"/>
      <c r="H547" s="53">
        <f t="shared" si="1"/>
        <v>0</v>
      </c>
      <c r="I547" s="115"/>
      <c r="J547" s="115"/>
      <c r="K547" s="60">
        <f t="shared" si="2"/>
        <v>0</v>
      </c>
      <c r="L547" s="117"/>
    </row>
    <row r="548" ht="15.75" customHeight="1">
      <c r="A548" s="9"/>
      <c r="B548" s="164"/>
      <c r="C548" s="110"/>
      <c r="D548" s="156"/>
      <c r="E548" s="111"/>
      <c r="F548" s="112"/>
      <c r="G548" s="113"/>
      <c r="H548" s="53">
        <f t="shared" si="1"/>
        <v>0</v>
      </c>
      <c r="I548" s="115"/>
      <c r="J548" s="115"/>
      <c r="K548" s="60">
        <f t="shared" si="2"/>
        <v>0</v>
      </c>
      <c r="L548" s="117"/>
    </row>
    <row r="549" ht="15.75" customHeight="1">
      <c r="A549" s="9"/>
      <c r="B549" s="164"/>
      <c r="C549" s="110"/>
      <c r="D549" s="156"/>
      <c r="E549" s="111"/>
      <c r="F549" s="112"/>
      <c r="G549" s="113"/>
      <c r="H549" s="53">
        <f t="shared" si="1"/>
        <v>0</v>
      </c>
      <c r="I549" s="115"/>
      <c r="J549" s="115"/>
      <c r="K549" s="60">
        <f t="shared" si="2"/>
        <v>0</v>
      </c>
      <c r="L549" s="117"/>
    </row>
    <row r="550" ht="15.75" customHeight="1">
      <c r="A550" s="9"/>
      <c r="B550" s="164"/>
      <c r="C550" s="110"/>
      <c r="D550" s="156"/>
      <c r="E550" s="111"/>
      <c r="F550" s="112"/>
      <c r="G550" s="113"/>
      <c r="H550" s="53">
        <f t="shared" si="1"/>
        <v>0</v>
      </c>
      <c r="I550" s="115"/>
      <c r="J550" s="115"/>
      <c r="K550" s="60">
        <f t="shared" si="2"/>
        <v>0</v>
      </c>
      <c r="L550" s="117"/>
    </row>
    <row r="551" ht="15.75" customHeight="1">
      <c r="A551" s="9"/>
      <c r="B551" s="164"/>
      <c r="C551" s="110"/>
      <c r="D551" s="156"/>
      <c r="E551" s="111"/>
      <c r="F551" s="112"/>
      <c r="G551" s="113"/>
      <c r="H551" s="53">
        <f t="shared" si="1"/>
        <v>0</v>
      </c>
      <c r="I551" s="115"/>
      <c r="J551" s="115"/>
      <c r="K551" s="60">
        <f t="shared" si="2"/>
        <v>0</v>
      </c>
      <c r="L551" s="117"/>
    </row>
    <row r="552" ht="15.75" customHeight="1">
      <c r="A552" s="9"/>
      <c r="B552" s="164"/>
      <c r="C552" s="110"/>
      <c r="D552" s="156"/>
      <c r="E552" s="111"/>
      <c r="F552" s="112"/>
      <c r="G552" s="113"/>
      <c r="H552" s="53">
        <f t="shared" si="1"/>
        <v>0</v>
      </c>
      <c r="I552" s="115"/>
      <c r="J552" s="115"/>
      <c r="K552" s="60">
        <f t="shared" si="2"/>
        <v>0</v>
      </c>
      <c r="L552" s="117"/>
    </row>
    <row r="553" ht="15.75" customHeight="1">
      <c r="A553" s="9"/>
      <c r="B553" s="164"/>
      <c r="C553" s="110"/>
      <c r="D553" s="156"/>
      <c r="E553" s="111"/>
      <c r="F553" s="112"/>
      <c r="G553" s="113"/>
      <c r="H553" s="53">
        <f t="shared" si="1"/>
        <v>0</v>
      </c>
      <c r="I553" s="115"/>
      <c r="J553" s="115"/>
      <c r="K553" s="60">
        <f t="shared" si="2"/>
        <v>0</v>
      </c>
      <c r="L553" s="117"/>
    </row>
    <row r="554" ht="15.75" customHeight="1">
      <c r="A554" s="9"/>
      <c r="B554" s="164"/>
      <c r="C554" s="110"/>
      <c r="D554" s="156"/>
      <c r="E554" s="111"/>
      <c r="F554" s="112"/>
      <c r="G554" s="113"/>
      <c r="H554" s="53">
        <f t="shared" si="1"/>
        <v>0</v>
      </c>
      <c r="I554" s="115"/>
      <c r="J554" s="115"/>
      <c r="K554" s="60">
        <f t="shared" si="2"/>
        <v>0</v>
      </c>
      <c r="L554" s="117"/>
    </row>
    <row r="555" ht="15.75" customHeight="1">
      <c r="A555" s="9"/>
      <c r="B555" s="164"/>
      <c r="C555" s="110"/>
      <c r="D555" s="156"/>
      <c r="E555" s="111"/>
      <c r="F555" s="112"/>
      <c r="G555" s="113"/>
      <c r="H555" s="53">
        <f t="shared" si="1"/>
        <v>0</v>
      </c>
      <c r="I555" s="115"/>
      <c r="J555" s="115"/>
      <c r="K555" s="60">
        <f t="shared" si="2"/>
        <v>0</v>
      </c>
      <c r="L555" s="117"/>
    </row>
    <row r="556" ht="15.75" customHeight="1">
      <c r="A556" s="9"/>
      <c r="B556" s="164"/>
      <c r="C556" s="110"/>
      <c r="D556" s="156"/>
      <c r="E556" s="111"/>
      <c r="F556" s="112"/>
      <c r="G556" s="113"/>
      <c r="H556" s="53">
        <f t="shared" si="1"/>
        <v>0</v>
      </c>
      <c r="I556" s="115"/>
      <c r="J556" s="115"/>
      <c r="K556" s="60">
        <f t="shared" si="2"/>
        <v>0</v>
      </c>
      <c r="L556" s="117"/>
    </row>
    <row r="557" ht="15.75" customHeight="1">
      <c r="A557" s="9"/>
      <c r="B557" s="164"/>
      <c r="C557" s="110"/>
      <c r="D557" s="156"/>
      <c r="E557" s="111"/>
      <c r="F557" s="112"/>
      <c r="G557" s="113"/>
      <c r="H557" s="53">
        <f t="shared" si="1"/>
        <v>0</v>
      </c>
      <c r="I557" s="115"/>
      <c r="J557" s="115"/>
      <c r="K557" s="60">
        <f t="shared" si="2"/>
        <v>0</v>
      </c>
      <c r="L557" s="117"/>
    </row>
    <row r="558" ht="15.75" customHeight="1">
      <c r="A558" s="9"/>
      <c r="B558" s="164"/>
      <c r="C558" s="110"/>
      <c r="D558" s="156"/>
      <c r="E558" s="111"/>
      <c r="F558" s="112"/>
      <c r="G558" s="113"/>
      <c r="H558" s="53">
        <f t="shared" si="1"/>
        <v>0</v>
      </c>
      <c r="I558" s="115"/>
      <c r="J558" s="115"/>
      <c r="K558" s="60">
        <f t="shared" si="2"/>
        <v>0</v>
      </c>
      <c r="L558" s="117"/>
    </row>
    <row r="559" ht="15.75" customHeight="1">
      <c r="A559" s="9"/>
      <c r="B559" s="164"/>
      <c r="C559" s="110"/>
      <c r="D559" s="156"/>
      <c r="E559" s="111"/>
      <c r="F559" s="112"/>
      <c r="G559" s="113"/>
      <c r="H559" s="53">
        <f t="shared" si="1"/>
        <v>0</v>
      </c>
      <c r="I559" s="115"/>
      <c r="J559" s="115"/>
      <c r="K559" s="60">
        <f t="shared" si="2"/>
        <v>0</v>
      </c>
      <c r="L559" s="117"/>
    </row>
    <row r="560" ht="15.75" customHeight="1">
      <c r="A560" s="9"/>
      <c r="B560" s="164"/>
      <c r="C560" s="110"/>
      <c r="D560" s="156"/>
      <c r="E560" s="111"/>
      <c r="F560" s="112"/>
      <c r="G560" s="113"/>
      <c r="H560" s="53">
        <f t="shared" si="1"/>
        <v>0</v>
      </c>
      <c r="I560" s="115"/>
      <c r="J560" s="115"/>
      <c r="K560" s="60">
        <f t="shared" si="2"/>
        <v>0</v>
      </c>
      <c r="L560" s="117"/>
    </row>
    <row r="561" ht="15.75" customHeight="1">
      <c r="A561" s="9"/>
      <c r="B561" s="164"/>
      <c r="C561" s="110"/>
      <c r="D561" s="156"/>
      <c r="E561" s="111"/>
      <c r="F561" s="112"/>
      <c r="G561" s="113"/>
      <c r="H561" s="53">
        <f t="shared" si="1"/>
        <v>0</v>
      </c>
      <c r="I561" s="115"/>
      <c r="J561" s="115"/>
      <c r="K561" s="60">
        <f t="shared" si="2"/>
        <v>0</v>
      </c>
      <c r="L561" s="117"/>
    </row>
    <row r="562" ht="15.75" customHeight="1">
      <c r="A562" s="9"/>
      <c r="B562" s="164"/>
      <c r="C562" s="110"/>
      <c r="D562" s="156"/>
      <c r="E562" s="111"/>
      <c r="F562" s="112"/>
      <c r="G562" s="113"/>
      <c r="H562" s="53">
        <f t="shared" si="1"/>
        <v>0</v>
      </c>
      <c r="I562" s="115"/>
      <c r="J562" s="115"/>
      <c r="K562" s="60">
        <f t="shared" si="2"/>
        <v>0</v>
      </c>
      <c r="L562" s="117"/>
    </row>
    <row r="563" ht="15.75" customHeight="1">
      <c r="A563" s="9"/>
      <c r="B563" s="164"/>
      <c r="C563" s="110"/>
      <c r="D563" s="156"/>
      <c r="E563" s="111"/>
      <c r="F563" s="112"/>
      <c r="G563" s="113"/>
      <c r="H563" s="53">
        <f t="shared" si="1"/>
        <v>0</v>
      </c>
      <c r="I563" s="115"/>
      <c r="J563" s="115"/>
      <c r="K563" s="60">
        <f t="shared" si="2"/>
        <v>0</v>
      </c>
      <c r="L563" s="117"/>
    </row>
    <row r="564" ht="15.75" customHeight="1">
      <c r="A564" s="9"/>
      <c r="B564" s="164"/>
      <c r="C564" s="110"/>
      <c r="D564" s="156"/>
      <c r="E564" s="111"/>
      <c r="F564" s="112"/>
      <c r="G564" s="113"/>
      <c r="H564" s="53">
        <f t="shared" si="1"/>
        <v>0</v>
      </c>
      <c r="I564" s="115"/>
      <c r="J564" s="115"/>
      <c r="K564" s="60">
        <f t="shared" si="2"/>
        <v>0</v>
      </c>
      <c r="L564" s="117"/>
    </row>
    <row r="565" ht="15.75" customHeight="1">
      <c r="A565" s="9"/>
      <c r="B565" s="164"/>
      <c r="C565" s="110"/>
      <c r="D565" s="156"/>
      <c r="E565" s="111"/>
      <c r="F565" s="112"/>
      <c r="G565" s="113"/>
      <c r="H565" s="53">
        <f t="shared" si="1"/>
        <v>0</v>
      </c>
      <c r="I565" s="115"/>
      <c r="J565" s="115"/>
      <c r="K565" s="60">
        <f t="shared" si="2"/>
        <v>0</v>
      </c>
      <c r="L565" s="117"/>
    </row>
    <row r="566" ht="15.75" customHeight="1">
      <c r="A566" s="9"/>
      <c r="B566" s="164"/>
      <c r="C566" s="110"/>
      <c r="D566" s="156"/>
      <c r="E566" s="111"/>
      <c r="F566" s="112"/>
      <c r="G566" s="113"/>
      <c r="H566" s="53">
        <f t="shared" si="1"/>
        <v>0</v>
      </c>
      <c r="I566" s="115"/>
      <c r="J566" s="115"/>
      <c r="K566" s="60">
        <f t="shared" si="2"/>
        <v>0</v>
      </c>
      <c r="L566" s="117"/>
    </row>
    <row r="567" ht="15.75" customHeight="1">
      <c r="A567" s="9"/>
      <c r="B567" s="164"/>
      <c r="C567" s="110"/>
      <c r="D567" s="156"/>
      <c r="E567" s="111"/>
      <c r="F567" s="112"/>
      <c r="G567" s="113"/>
      <c r="H567" s="53">
        <f t="shared" si="1"/>
        <v>0</v>
      </c>
      <c r="I567" s="115"/>
      <c r="J567" s="115"/>
      <c r="K567" s="60">
        <f t="shared" si="2"/>
        <v>0</v>
      </c>
      <c r="L567" s="117"/>
    </row>
    <row r="568" ht="15.75" customHeight="1">
      <c r="A568" s="9"/>
      <c r="B568" s="164"/>
      <c r="C568" s="110"/>
      <c r="D568" s="156"/>
      <c r="E568" s="111"/>
      <c r="F568" s="112"/>
      <c r="G568" s="113"/>
      <c r="H568" s="53">
        <f t="shared" si="1"/>
        <v>0</v>
      </c>
      <c r="I568" s="115"/>
      <c r="J568" s="115"/>
      <c r="K568" s="60">
        <f t="shared" si="2"/>
        <v>0</v>
      </c>
      <c r="L568" s="117"/>
    </row>
    <row r="569" ht="15.75" customHeight="1">
      <c r="A569" s="9"/>
      <c r="B569" s="164"/>
      <c r="C569" s="110"/>
      <c r="D569" s="156"/>
      <c r="E569" s="111"/>
      <c r="F569" s="112"/>
      <c r="G569" s="113"/>
      <c r="H569" s="53">
        <f t="shared" si="1"/>
        <v>0</v>
      </c>
      <c r="I569" s="115"/>
      <c r="J569" s="115"/>
      <c r="K569" s="60">
        <f t="shared" si="2"/>
        <v>0</v>
      </c>
      <c r="L569" s="117"/>
    </row>
    <row r="570" ht="15.75" customHeight="1">
      <c r="A570" s="9"/>
      <c r="B570" s="164"/>
      <c r="C570" s="110"/>
      <c r="D570" s="156"/>
      <c r="E570" s="111"/>
      <c r="F570" s="112"/>
      <c r="G570" s="113"/>
      <c r="H570" s="53">
        <f t="shared" si="1"/>
        <v>0</v>
      </c>
      <c r="I570" s="115"/>
      <c r="J570" s="115"/>
      <c r="K570" s="60">
        <f t="shared" si="2"/>
        <v>0</v>
      </c>
      <c r="L570" s="117"/>
    </row>
    <row r="571" ht="15.75" customHeight="1">
      <c r="A571" s="9"/>
      <c r="B571" s="164"/>
      <c r="C571" s="110"/>
      <c r="D571" s="156"/>
      <c r="E571" s="111"/>
      <c r="F571" s="112"/>
      <c r="G571" s="113"/>
      <c r="H571" s="53">
        <f t="shared" si="1"/>
        <v>0</v>
      </c>
      <c r="I571" s="115"/>
      <c r="J571" s="115"/>
      <c r="K571" s="60">
        <f t="shared" si="2"/>
        <v>0</v>
      </c>
      <c r="L571" s="117"/>
    </row>
    <row r="572" ht="15.75" customHeight="1">
      <c r="A572" s="9"/>
      <c r="B572" s="164"/>
      <c r="C572" s="110"/>
      <c r="D572" s="156"/>
      <c r="E572" s="111"/>
      <c r="F572" s="112"/>
      <c r="G572" s="113"/>
      <c r="H572" s="53">
        <f t="shared" si="1"/>
        <v>0</v>
      </c>
      <c r="I572" s="115"/>
      <c r="J572" s="115"/>
      <c r="K572" s="60">
        <f t="shared" si="2"/>
        <v>0</v>
      </c>
      <c r="L572" s="117"/>
    </row>
    <row r="573" ht="15.75" customHeight="1">
      <c r="A573" s="9"/>
      <c r="B573" s="164"/>
      <c r="C573" s="110"/>
      <c r="D573" s="156"/>
      <c r="E573" s="111"/>
      <c r="F573" s="112"/>
      <c r="G573" s="113"/>
      <c r="H573" s="53">
        <f t="shared" si="1"/>
        <v>0</v>
      </c>
      <c r="I573" s="115"/>
      <c r="J573" s="115"/>
      <c r="K573" s="60">
        <f t="shared" si="2"/>
        <v>0</v>
      </c>
      <c r="L573" s="117"/>
    </row>
    <row r="574" ht="15.75" customHeight="1">
      <c r="A574" s="9"/>
      <c r="B574" s="164"/>
      <c r="C574" s="110"/>
      <c r="D574" s="156"/>
      <c r="E574" s="111"/>
      <c r="F574" s="112"/>
      <c r="G574" s="113"/>
      <c r="H574" s="53">
        <f t="shared" si="1"/>
        <v>0</v>
      </c>
      <c r="I574" s="115"/>
      <c r="J574" s="115"/>
      <c r="K574" s="60">
        <f t="shared" si="2"/>
        <v>0</v>
      </c>
      <c r="L574" s="117"/>
    </row>
    <row r="575" ht="15.75" customHeight="1">
      <c r="A575" s="9"/>
      <c r="B575" s="164"/>
      <c r="C575" s="110"/>
      <c r="D575" s="156"/>
      <c r="E575" s="111"/>
      <c r="F575" s="112"/>
      <c r="G575" s="113"/>
      <c r="H575" s="53">
        <f t="shared" si="1"/>
        <v>0</v>
      </c>
      <c r="I575" s="115"/>
      <c r="J575" s="115"/>
      <c r="K575" s="60">
        <f t="shared" si="2"/>
        <v>0</v>
      </c>
      <c r="L575" s="117"/>
    </row>
    <row r="576" ht="15.75" customHeight="1">
      <c r="A576" s="9"/>
      <c r="B576" s="164"/>
      <c r="C576" s="110"/>
      <c r="D576" s="156"/>
      <c r="E576" s="111"/>
      <c r="F576" s="112"/>
      <c r="G576" s="113"/>
      <c r="H576" s="53">
        <f t="shared" si="1"/>
        <v>0</v>
      </c>
      <c r="I576" s="115"/>
      <c r="J576" s="115"/>
      <c r="K576" s="60">
        <f t="shared" si="2"/>
        <v>0</v>
      </c>
      <c r="L576" s="117"/>
    </row>
    <row r="577" ht="15.75" customHeight="1">
      <c r="A577" s="9"/>
      <c r="B577" s="164"/>
      <c r="C577" s="110"/>
      <c r="D577" s="156"/>
      <c r="E577" s="111"/>
      <c r="F577" s="112"/>
      <c r="G577" s="113"/>
      <c r="H577" s="53">
        <f t="shared" si="1"/>
        <v>0</v>
      </c>
      <c r="I577" s="115"/>
      <c r="J577" s="115"/>
      <c r="K577" s="60">
        <f t="shared" si="2"/>
        <v>0</v>
      </c>
      <c r="L577" s="117"/>
    </row>
    <row r="578" ht="15.75" customHeight="1">
      <c r="A578" s="9"/>
      <c r="B578" s="164"/>
      <c r="C578" s="110"/>
      <c r="D578" s="156"/>
      <c r="E578" s="111"/>
      <c r="F578" s="112"/>
      <c r="G578" s="113"/>
      <c r="H578" s="53">
        <f t="shared" si="1"/>
        <v>0</v>
      </c>
      <c r="I578" s="115"/>
      <c r="J578" s="115"/>
      <c r="K578" s="60">
        <f t="shared" si="2"/>
        <v>0</v>
      </c>
      <c r="L578" s="117"/>
    </row>
    <row r="579" ht="15.75" customHeight="1">
      <c r="A579" s="9"/>
      <c r="B579" s="164"/>
      <c r="C579" s="110"/>
      <c r="D579" s="156"/>
      <c r="E579" s="111"/>
      <c r="F579" s="112"/>
      <c r="G579" s="113"/>
      <c r="H579" s="53">
        <f t="shared" si="1"/>
        <v>0</v>
      </c>
      <c r="I579" s="115"/>
      <c r="J579" s="115"/>
      <c r="K579" s="60">
        <f t="shared" si="2"/>
        <v>0</v>
      </c>
      <c r="L579" s="117"/>
    </row>
    <row r="580" ht="15.75" customHeight="1">
      <c r="A580" s="9"/>
      <c r="B580" s="164"/>
      <c r="C580" s="110"/>
      <c r="D580" s="156"/>
      <c r="E580" s="111"/>
      <c r="F580" s="112"/>
      <c r="G580" s="113"/>
      <c r="H580" s="53">
        <f t="shared" si="1"/>
        <v>0</v>
      </c>
      <c r="I580" s="115"/>
      <c r="J580" s="115"/>
      <c r="K580" s="60">
        <f t="shared" si="2"/>
        <v>0</v>
      </c>
      <c r="L580" s="117"/>
    </row>
    <row r="581" ht="15.75" customHeight="1">
      <c r="A581" s="9"/>
      <c r="B581" s="164"/>
      <c r="C581" s="110"/>
      <c r="D581" s="156"/>
      <c r="E581" s="111"/>
      <c r="F581" s="112"/>
      <c r="G581" s="113"/>
      <c r="H581" s="53">
        <f t="shared" si="1"/>
        <v>0</v>
      </c>
      <c r="I581" s="115"/>
      <c r="J581" s="115"/>
      <c r="K581" s="60">
        <f t="shared" si="2"/>
        <v>0</v>
      </c>
      <c r="L581" s="117"/>
    </row>
    <row r="582" ht="15.75" customHeight="1">
      <c r="A582" s="9"/>
      <c r="B582" s="164"/>
      <c r="C582" s="110"/>
      <c r="D582" s="156"/>
      <c r="E582" s="111"/>
      <c r="F582" s="112"/>
      <c r="G582" s="113"/>
      <c r="H582" s="53">
        <f t="shared" si="1"/>
        <v>0</v>
      </c>
      <c r="I582" s="115"/>
      <c r="J582" s="115"/>
      <c r="K582" s="60">
        <f t="shared" si="2"/>
        <v>0</v>
      </c>
      <c r="L582" s="117"/>
    </row>
    <row r="583" ht="15.75" customHeight="1">
      <c r="A583" s="9"/>
      <c r="B583" s="164"/>
      <c r="C583" s="110"/>
      <c r="D583" s="156"/>
      <c r="E583" s="111"/>
      <c r="F583" s="112"/>
      <c r="G583" s="113"/>
      <c r="H583" s="53">
        <f t="shared" si="1"/>
        <v>0</v>
      </c>
      <c r="I583" s="115"/>
      <c r="J583" s="115"/>
      <c r="K583" s="60">
        <f t="shared" si="2"/>
        <v>0</v>
      </c>
      <c r="L583" s="117"/>
    </row>
    <row r="584" ht="15.75" customHeight="1">
      <c r="A584" s="9"/>
      <c r="B584" s="164"/>
      <c r="C584" s="110"/>
      <c r="D584" s="156"/>
      <c r="E584" s="111"/>
      <c r="F584" s="112"/>
      <c r="G584" s="113"/>
      <c r="H584" s="53">
        <f t="shared" si="1"/>
        <v>0</v>
      </c>
      <c r="I584" s="115"/>
      <c r="J584" s="115"/>
      <c r="K584" s="60">
        <f t="shared" si="2"/>
        <v>0</v>
      </c>
      <c r="L584" s="117"/>
    </row>
    <row r="585" ht="15.75" customHeight="1">
      <c r="A585" s="9"/>
      <c r="B585" s="164"/>
      <c r="C585" s="110"/>
      <c r="D585" s="156"/>
      <c r="E585" s="111"/>
      <c r="F585" s="112"/>
      <c r="G585" s="113"/>
      <c r="H585" s="53">
        <f t="shared" si="1"/>
        <v>0</v>
      </c>
      <c r="I585" s="115"/>
      <c r="J585" s="115"/>
      <c r="K585" s="60">
        <f t="shared" si="2"/>
        <v>0</v>
      </c>
      <c r="L585" s="117"/>
    </row>
    <row r="586" ht="15.75" customHeight="1">
      <c r="A586" s="9"/>
      <c r="B586" s="164"/>
      <c r="C586" s="110"/>
      <c r="D586" s="156"/>
      <c r="E586" s="111"/>
      <c r="F586" s="112"/>
      <c r="G586" s="113"/>
      <c r="H586" s="53">
        <f t="shared" si="1"/>
        <v>0</v>
      </c>
      <c r="I586" s="115"/>
      <c r="J586" s="115"/>
      <c r="K586" s="60">
        <f t="shared" si="2"/>
        <v>0</v>
      </c>
      <c r="L586" s="117"/>
    </row>
    <row r="587" ht="15.75" customHeight="1">
      <c r="A587" s="9"/>
      <c r="B587" s="164"/>
      <c r="C587" s="110"/>
      <c r="D587" s="156"/>
      <c r="E587" s="111"/>
      <c r="F587" s="112"/>
      <c r="G587" s="113"/>
      <c r="H587" s="53">
        <f t="shared" si="1"/>
        <v>0</v>
      </c>
      <c r="I587" s="115"/>
      <c r="J587" s="115"/>
      <c r="K587" s="60">
        <f t="shared" si="2"/>
        <v>0</v>
      </c>
      <c r="L587" s="117"/>
    </row>
    <row r="588" ht="15.75" customHeight="1">
      <c r="A588" s="9"/>
      <c r="B588" s="164"/>
      <c r="C588" s="110"/>
      <c r="D588" s="156"/>
      <c r="E588" s="111"/>
      <c r="F588" s="112"/>
      <c r="G588" s="113"/>
      <c r="H588" s="53">
        <f t="shared" si="1"/>
        <v>0</v>
      </c>
      <c r="I588" s="115"/>
      <c r="J588" s="115"/>
      <c r="K588" s="60">
        <f t="shared" si="2"/>
        <v>0</v>
      </c>
      <c r="L588" s="117"/>
    </row>
    <row r="589" ht="15.75" customHeight="1">
      <c r="A589" s="9"/>
      <c r="B589" s="164"/>
      <c r="C589" s="110"/>
      <c r="D589" s="156"/>
      <c r="E589" s="111"/>
      <c r="F589" s="112"/>
      <c r="G589" s="113"/>
      <c r="H589" s="53">
        <f t="shared" si="1"/>
        <v>0</v>
      </c>
      <c r="I589" s="115"/>
      <c r="J589" s="115"/>
      <c r="K589" s="60">
        <f t="shared" si="2"/>
        <v>0</v>
      </c>
      <c r="L589" s="117"/>
    </row>
    <row r="590" ht="15.75" customHeight="1">
      <c r="A590" s="9"/>
      <c r="B590" s="164"/>
      <c r="C590" s="110"/>
      <c r="D590" s="156"/>
      <c r="E590" s="111"/>
      <c r="F590" s="112"/>
      <c r="G590" s="113"/>
      <c r="H590" s="53">
        <f t="shared" si="1"/>
        <v>0</v>
      </c>
      <c r="I590" s="115"/>
      <c r="J590" s="115"/>
      <c r="K590" s="60">
        <f t="shared" si="2"/>
        <v>0</v>
      </c>
      <c r="L590" s="117"/>
    </row>
    <row r="591" ht="15.75" customHeight="1">
      <c r="A591" s="9"/>
      <c r="B591" s="164"/>
      <c r="C591" s="110"/>
      <c r="D591" s="156"/>
      <c r="E591" s="111"/>
      <c r="F591" s="112"/>
      <c r="G591" s="113"/>
      <c r="H591" s="53">
        <f t="shared" si="1"/>
        <v>0</v>
      </c>
      <c r="I591" s="115"/>
      <c r="J591" s="115"/>
      <c r="K591" s="60">
        <f t="shared" si="2"/>
        <v>0</v>
      </c>
      <c r="L591" s="117"/>
    </row>
    <row r="592" ht="15.75" customHeight="1">
      <c r="A592" s="9"/>
      <c r="B592" s="164"/>
      <c r="C592" s="110"/>
      <c r="D592" s="156"/>
      <c r="E592" s="111"/>
      <c r="F592" s="112"/>
      <c r="G592" s="113"/>
      <c r="H592" s="53">
        <f t="shared" si="1"/>
        <v>0</v>
      </c>
      <c r="I592" s="115"/>
      <c r="J592" s="115"/>
      <c r="K592" s="60">
        <f t="shared" si="2"/>
        <v>0</v>
      </c>
      <c r="L592" s="117"/>
    </row>
    <row r="593" ht="15.75" customHeight="1">
      <c r="A593" s="9"/>
      <c r="B593" s="164"/>
      <c r="C593" s="110"/>
      <c r="D593" s="156"/>
      <c r="E593" s="111"/>
      <c r="F593" s="112"/>
      <c r="G593" s="113"/>
      <c r="H593" s="53">
        <f t="shared" si="1"/>
        <v>0</v>
      </c>
      <c r="I593" s="115"/>
      <c r="J593" s="115"/>
      <c r="K593" s="60">
        <f t="shared" si="2"/>
        <v>0</v>
      </c>
      <c r="L593" s="117"/>
    </row>
    <row r="594" ht="15.75" customHeight="1">
      <c r="A594" s="9"/>
      <c r="B594" s="164"/>
      <c r="C594" s="110"/>
      <c r="D594" s="156"/>
      <c r="E594" s="111"/>
      <c r="F594" s="112"/>
      <c r="G594" s="113"/>
      <c r="H594" s="53">
        <f t="shared" si="1"/>
        <v>0</v>
      </c>
      <c r="I594" s="115"/>
      <c r="J594" s="115"/>
      <c r="K594" s="60">
        <f t="shared" si="2"/>
        <v>0</v>
      </c>
      <c r="L594" s="117"/>
    </row>
    <row r="595" ht="15.75" customHeight="1">
      <c r="A595" s="9"/>
      <c r="B595" s="164"/>
      <c r="C595" s="110"/>
      <c r="D595" s="156"/>
      <c r="E595" s="111"/>
      <c r="F595" s="112"/>
      <c r="G595" s="113"/>
      <c r="H595" s="53">
        <f t="shared" si="1"/>
        <v>0</v>
      </c>
      <c r="I595" s="115"/>
      <c r="J595" s="115"/>
      <c r="K595" s="60">
        <f t="shared" si="2"/>
        <v>0</v>
      </c>
      <c r="L595" s="117"/>
    </row>
    <row r="596" ht="15.75" customHeight="1">
      <c r="A596" s="9"/>
      <c r="B596" s="164"/>
      <c r="C596" s="110"/>
      <c r="D596" s="156"/>
      <c r="E596" s="111"/>
      <c r="F596" s="112"/>
      <c r="G596" s="113"/>
      <c r="H596" s="53">
        <f t="shared" si="1"/>
        <v>0</v>
      </c>
      <c r="I596" s="115"/>
      <c r="J596" s="115"/>
      <c r="K596" s="60">
        <f t="shared" si="2"/>
        <v>0</v>
      </c>
      <c r="L596" s="117"/>
    </row>
    <row r="597" ht="15.75" customHeight="1">
      <c r="A597" s="9"/>
      <c r="B597" s="164"/>
      <c r="C597" s="110"/>
      <c r="D597" s="156"/>
      <c r="E597" s="111"/>
      <c r="F597" s="112"/>
      <c r="G597" s="113"/>
      <c r="H597" s="53">
        <f t="shared" si="1"/>
        <v>0</v>
      </c>
      <c r="I597" s="115"/>
      <c r="J597" s="115"/>
      <c r="K597" s="60">
        <f t="shared" si="2"/>
        <v>0</v>
      </c>
      <c r="L597" s="117"/>
    </row>
    <row r="598" ht="15.75" customHeight="1">
      <c r="A598" s="9"/>
      <c r="B598" s="164"/>
      <c r="C598" s="110"/>
      <c r="D598" s="156"/>
      <c r="E598" s="111"/>
      <c r="F598" s="112"/>
      <c r="G598" s="113"/>
      <c r="H598" s="53">
        <f t="shared" si="1"/>
        <v>0</v>
      </c>
      <c r="I598" s="115"/>
      <c r="J598" s="115"/>
      <c r="K598" s="60">
        <f t="shared" si="2"/>
        <v>0</v>
      </c>
      <c r="L598" s="117"/>
    </row>
    <row r="599" ht="15.75" customHeight="1">
      <c r="A599" s="9"/>
      <c r="B599" s="164"/>
      <c r="C599" s="110"/>
      <c r="D599" s="156"/>
      <c r="E599" s="111"/>
      <c r="F599" s="112"/>
      <c r="G599" s="113"/>
      <c r="H599" s="53">
        <f t="shared" si="1"/>
        <v>0</v>
      </c>
      <c r="I599" s="115"/>
      <c r="J599" s="115"/>
      <c r="K599" s="60">
        <f t="shared" si="2"/>
        <v>0</v>
      </c>
      <c r="L599" s="117"/>
    </row>
    <row r="600" ht="15.75" customHeight="1">
      <c r="A600" s="9"/>
      <c r="B600" s="164"/>
      <c r="C600" s="110"/>
      <c r="D600" s="156"/>
      <c r="E600" s="111"/>
      <c r="F600" s="112"/>
      <c r="G600" s="113"/>
      <c r="H600" s="53">
        <f t="shared" si="1"/>
        <v>0</v>
      </c>
      <c r="I600" s="115"/>
      <c r="J600" s="115"/>
      <c r="K600" s="60">
        <f t="shared" si="2"/>
        <v>0</v>
      </c>
      <c r="L600" s="117"/>
    </row>
    <row r="601" ht="15.75" customHeight="1">
      <c r="A601" s="9"/>
      <c r="B601" s="164"/>
      <c r="C601" s="110"/>
      <c r="D601" s="156"/>
      <c r="E601" s="111"/>
      <c r="F601" s="112"/>
      <c r="G601" s="113"/>
      <c r="H601" s="53">
        <f t="shared" si="1"/>
        <v>0</v>
      </c>
      <c r="I601" s="115"/>
      <c r="J601" s="115"/>
      <c r="K601" s="60">
        <f t="shared" si="2"/>
        <v>0</v>
      </c>
      <c r="L601" s="117"/>
    </row>
    <row r="602" ht="15.75" customHeight="1">
      <c r="A602" s="9"/>
      <c r="B602" s="164"/>
      <c r="C602" s="110"/>
      <c r="D602" s="156"/>
      <c r="E602" s="111"/>
      <c r="F602" s="112"/>
      <c r="G602" s="113"/>
      <c r="H602" s="53">
        <f t="shared" si="1"/>
        <v>0</v>
      </c>
      <c r="I602" s="115"/>
      <c r="J602" s="115"/>
      <c r="K602" s="60">
        <f t="shared" si="2"/>
        <v>0</v>
      </c>
      <c r="L602" s="117"/>
    </row>
    <row r="603" ht="15.75" customHeight="1">
      <c r="A603" s="9"/>
      <c r="B603" s="164"/>
      <c r="C603" s="110"/>
      <c r="D603" s="156"/>
      <c r="E603" s="111"/>
      <c r="F603" s="112"/>
      <c r="G603" s="113"/>
      <c r="H603" s="53">
        <f t="shared" si="1"/>
        <v>0</v>
      </c>
      <c r="I603" s="115"/>
      <c r="J603" s="115"/>
      <c r="K603" s="60">
        <f t="shared" si="2"/>
        <v>0</v>
      </c>
      <c r="L603" s="117"/>
    </row>
    <row r="604" ht="15.75" customHeight="1">
      <c r="A604" s="9"/>
      <c r="B604" s="164"/>
      <c r="C604" s="110"/>
      <c r="D604" s="156"/>
      <c r="E604" s="111"/>
      <c r="F604" s="112"/>
      <c r="G604" s="113"/>
      <c r="H604" s="53">
        <f t="shared" si="1"/>
        <v>0</v>
      </c>
      <c r="I604" s="115"/>
      <c r="J604" s="115"/>
      <c r="K604" s="60">
        <f t="shared" si="2"/>
        <v>0</v>
      </c>
      <c r="L604" s="117"/>
    </row>
    <row r="605" ht="15.75" customHeight="1">
      <c r="A605" s="9"/>
      <c r="B605" s="164"/>
      <c r="C605" s="110"/>
      <c r="D605" s="156"/>
      <c r="E605" s="111"/>
      <c r="F605" s="112"/>
      <c r="G605" s="113"/>
      <c r="H605" s="53">
        <f t="shared" si="1"/>
        <v>0</v>
      </c>
      <c r="I605" s="115"/>
      <c r="J605" s="115"/>
      <c r="K605" s="60">
        <f t="shared" si="2"/>
        <v>0</v>
      </c>
      <c r="L605" s="117"/>
    </row>
    <row r="606" ht="15.75" customHeight="1">
      <c r="A606" s="9"/>
      <c r="B606" s="164"/>
      <c r="C606" s="110"/>
      <c r="D606" s="156"/>
      <c r="E606" s="111"/>
      <c r="F606" s="112"/>
      <c r="G606" s="113"/>
      <c r="H606" s="53">
        <f t="shared" si="1"/>
        <v>0</v>
      </c>
      <c r="I606" s="115"/>
      <c r="J606" s="115"/>
      <c r="K606" s="60">
        <f t="shared" si="2"/>
        <v>0</v>
      </c>
      <c r="L606" s="117"/>
    </row>
    <row r="607" ht="15.75" customHeight="1">
      <c r="A607" s="9"/>
      <c r="B607" s="164"/>
      <c r="C607" s="110"/>
      <c r="D607" s="156"/>
      <c r="E607" s="111"/>
      <c r="F607" s="112"/>
      <c r="G607" s="113"/>
      <c r="H607" s="53">
        <f t="shared" si="1"/>
        <v>0</v>
      </c>
      <c r="I607" s="115"/>
      <c r="J607" s="115"/>
      <c r="K607" s="60">
        <f t="shared" si="2"/>
        <v>0</v>
      </c>
      <c r="L607" s="117"/>
    </row>
    <row r="608" ht="15.75" customHeight="1">
      <c r="A608" s="9"/>
      <c r="B608" s="164"/>
      <c r="C608" s="110"/>
      <c r="D608" s="156"/>
      <c r="E608" s="111"/>
      <c r="F608" s="112"/>
      <c r="G608" s="113"/>
      <c r="H608" s="53">
        <f t="shared" si="1"/>
        <v>0</v>
      </c>
      <c r="I608" s="115"/>
      <c r="J608" s="115"/>
      <c r="K608" s="60">
        <f t="shared" si="2"/>
        <v>0</v>
      </c>
      <c r="L608" s="117"/>
    </row>
    <row r="609" ht="15.75" customHeight="1">
      <c r="A609" s="9"/>
      <c r="B609" s="164"/>
      <c r="C609" s="110"/>
      <c r="D609" s="156"/>
      <c r="E609" s="111"/>
      <c r="F609" s="112"/>
      <c r="G609" s="113"/>
      <c r="H609" s="53">
        <f t="shared" si="1"/>
        <v>0</v>
      </c>
      <c r="I609" s="115"/>
      <c r="J609" s="115"/>
      <c r="K609" s="60">
        <f t="shared" si="2"/>
        <v>0</v>
      </c>
      <c r="L609" s="117"/>
    </row>
    <row r="610" ht="15.75" customHeight="1">
      <c r="A610" s="9"/>
      <c r="B610" s="164"/>
      <c r="C610" s="110"/>
      <c r="D610" s="156"/>
      <c r="E610" s="111"/>
      <c r="F610" s="112"/>
      <c r="G610" s="113"/>
      <c r="H610" s="53">
        <f t="shared" si="1"/>
        <v>0</v>
      </c>
      <c r="I610" s="115"/>
      <c r="J610" s="115"/>
      <c r="K610" s="60">
        <f t="shared" si="2"/>
        <v>0</v>
      </c>
      <c r="L610" s="117"/>
    </row>
    <row r="611" ht="15.75" customHeight="1">
      <c r="A611" s="9"/>
      <c r="B611" s="164"/>
      <c r="C611" s="110"/>
      <c r="D611" s="156"/>
      <c r="E611" s="111"/>
      <c r="F611" s="112"/>
      <c r="G611" s="113"/>
      <c r="H611" s="53">
        <f t="shared" si="1"/>
        <v>0</v>
      </c>
      <c r="I611" s="115"/>
      <c r="J611" s="115"/>
      <c r="K611" s="60">
        <f t="shared" si="2"/>
        <v>0</v>
      </c>
      <c r="L611" s="117"/>
    </row>
    <row r="612" ht="15.75" customHeight="1">
      <c r="A612" s="9"/>
      <c r="B612" s="164"/>
      <c r="C612" s="110"/>
      <c r="D612" s="156"/>
      <c r="E612" s="111"/>
      <c r="F612" s="112"/>
      <c r="G612" s="113"/>
      <c r="H612" s="53">
        <f t="shared" si="1"/>
        <v>0</v>
      </c>
      <c r="I612" s="115"/>
      <c r="J612" s="115"/>
      <c r="K612" s="60">
        <f t="shared" si="2"/>
        <v>0</v>
      </c>
      <c r="L612" s="117"/>
    </row>
    <row r="613" ht="15.75" customHeight="1">
      <c r="A613" s="9"/>
      <c r="B613" s="164"/>
      <c r="C613" s="110"/>
      <c r="D613" s="156"/>
      <c r="E613" s="111"/>
      <c r="F613" s="112"/>
      <c r="G613" s="113"/>
      <c r="H613" s="53">
        <f t="shared" si="1"/>
        <v>0</v>
      </c>
      <c r="I613" s="115"/>
      <c r="J613" s="115"/>
      <c r="K613" s="60">
        <f t="shared" si="2"/>
        <v>0</v>
      </c>
      <c r="L613" s="117"/>
    </row>
    <row r="614" ht="15.75" customHeight="1">
      <c r="A614" s="9"/>
      <c r="B614" s="164"/>
      <c r="C614" s="110"/>
      <c r="D614" s="156"/>
      <c r="E614" s="111"/>
      <c r="F614" s="112"/>
      <c r="G614" s="113"/>
      <c r="H614" s="53">
        <f t="shared" si="1"/>
        <v>0</v>
      </c>
      <c r="I614" s="115"/>
      <c r="J614" s="115"/>
      <c r="K614" s="60">
        <f t="shared" si="2"/>
        <v>0</v>
      </c>
      <c r="L614" s="117"/>
    </row>
    <row r="615" ht="15.75" customHeight="1">
      <c r="A615" s="9"/>
      <c r="B615" s="164"/>
      <c r="C615" s="110"/>
      <c r="D615" s="156"/>
      <c r="E615" s="111"/>
      <c r="F615" s="112"/>
      <c r="G615" s="113"/>
      <c r="H615" s="53">
        <f t="shared" si="1"/>
        <v>0</v>
      </c>
      <c r="I615" s="115"/>
      <c r="J615" s="115"/>
      <c r="K615" s="60">
        <f t="shared" si="2"/>
        <v>0</v>
      </c>
      <c r="L615" s="117"/>
    </row>
    <row r="616" ht="15.75" customHeight="1">
      <c r="A616" s="9"/>
      <c r="B616" s="164"/>
      <c r="C616" s="110"/>
      <c r="D616" s="156"/>
      <c r="E616" s="111"/>
      <c r="F616" s="112"/>
      <c r="G616" s="113"/>
      <c r="H616" s="53">
        <f t="shared" si="1"/>
        <v>0</v>
      </c>
      <c r="I616" s="115"/>
      <c r="J616" s="115"/>
      <c r="K616" s="60">
        <f t="shared" si="2"/>
        <v>0</v>
      </c>
      <c r="L616" s="117"/>
    </row>
    <row r="617" ht="15.75" customHeight="1">
      <c r="A617" s="9"/>
      <c r="B617" s="164"/>
      <c r="C617" s="110"/>
      <c r="D617" s="156"/>
      <c r="E617" s="111"/>
      <c r="F617" s="112"/>
      <c r="G617" s="113"/>
      <c r="H617" s="53">
        <f t="shared" si="1"/>
        <v>0</v>
      </c>
      <c r="I617" s="115"/>
      <c r="J617" s="115"/>
      <c r="K617" s="60">
        <f t="shared" si="2"/>
        <v>0</v>
      </c>
      <c r="L617" s="117"/>
    </row>
    <row r="618" ht="15.75" customHeight="1">
      <c r="A618" s="9"/>
      <c r="B618" s="164"/>
      <c r="C618" s="110"/>
      <c r="D618" s="156"/>
      <c r="E618" s="111"/>
      <c r="F618" s="112"/>
      <c r="G618" s="113"/>
      <c r="H618" s="53">
        <f t="shared" si="1"/>
        <v>0</v>
      </c>
      <c r="I618" s="115"/>
      <c r="J618" s="115"/>
      <c r="K618" s="60">
        <f t="shared" si="2"/>
        <v>0</v>
      </c>
      <c r="L618" s="117"/>
    </row>
    <row r="619" ht="15.75" customHeight="1">
      <c r="A619" s="9"/>
      <c r="B619" s="164"/>
      <c r="C619" s="110"/>
      <c r="D619" s="156"/>
      <c r="E619" s="111"/>
      <c r="F619" s="112"/>
      <c r="G619" s="113"/>
      <c r="H619" s="53">
        <f t="shared" si="1"/>
        <v>0</v>
      </c>
      <c r="I619" s="115"/>
      <c r="J619" s="115"/>
      <c r="K619" s="60">
        <f t="shared" si="2"/>
        <v>0</v>
      </c>
      <c r="L619" s="117"/>
    </row>
    <row r="620" ht="15.75" customHeight="1">
      <c r="A620" s="9"/>
      <c r="B620" s="164"/>
      <c r="C620" s="110"/>
      <c r="D620" s="156"/>
      <c r="E620" s="111"/>
      <c r="F620" s="112"/>
      <c r="G620" s="113"/>
      <c r="H620" s="53">
        <f t="shared" si="1"/>
        <v>0</v>
      </c>
      <c r="I620" s="115"/>
      <c r="J620" s="115"/>
      <c r="K620" s="60">
        <f t="shared" si="2"/>
        <v>0</v>
      </c>
      <c r="L620" s="117"/>
    </row>
    <row r="621" ht="15.75" customHeight="1">
      <c r="A621" s="9"/>
      <c r="B621" s="164"/>
      <c r="C621" s="110"/>
      <c r="D621" s="156"/>
      <c r="E621" s="111"/>
      <c r="F621" s="112"/>
      <c r="G621" s="113"/>
      <c r="H621" s="53">
        <f t="shared" si="1"/>
        <v>0</v>
      </c>
      <c r="I621" s="115"/>
      <c r="J621" s="115"/>
      <c r="K621" s="60">
        <f t="shared" si="2"/>
        <v>0</v>
      </c>
      <c r="L621" s="117"/>
    </row>
    <row r="622" ht="15.75" customHeight="1">
      <c r="A622" s="9"/>
      <c r="B622" s="164"/>
      <c r="C622" s="110"/>
      <c r="D622" s="156"/>
      <c r="E622" s="111"/>
      <c r="F622" s="112"/>
      <c r="G622" s="113"/>
      <c r="H622" s="53">
        <f t="shared" si="1"/>
        <v>0</v>
      </c>
      <c r="I622" s="115"/>
      <c r="J622" s="115"/>
      <c r="K622" s="60">
        <f t="shared" si="2"/>
        <v>0</v>
      </c>
      <c r="L622" s="117"/>
    </row>
    <row r="623" ht="15.75" customHeight="1">
      <c r="A623" s="9"/>
      <c r="B623" s="164"/>
      <c r="C623" s="110"/>
      <c r="D623" s="156"/>
      <c r="E623" s="111"/>
      <c r="F623" s="112"/>
      <c r="G623" s="113"/>
      <c r="H623" s="53">
        <f t="shared" si="1"/>
        <v>0</v>
      </c>
      <c r="I623" s="115"/>
      <c r="J623" s="115"/>
      <c r="K623" s="60">
        <f t="shared" si="2"/>
        <v>0</v>
      </c>
      <c r="L623" s="117"/>
    </row>
    <row r="624" ht="15.75" customHeight="1">
      <c r="A624" s="9"/>
      <c r="B624" s="164"/>
      <c r="C624" s="110"/>
      <c r="D624" s="156"/>
      <c r="E624" s="111"/>
      <c r="F624" s="112"/>
      <c r="G624" s="113"/>
      <c r="H624" s="53">
        <f t="shared" si="1"/>
        <v>0</v>
      </c>
      <c r="I624" s="115"/>
      <c r="J624" s="115"/>
      <c r="K624" s="60">
        <f t="shared" si="2"/>
        <v>0</v>
      </c>
      <c r="L624" s="117"/>
    </row>
    <row r="625" ht="15.75" customHeight="1">
      <c r="A625" s="9"/>
      <c r="B625" s="164"/>
      <c r="C625" s="110"/>
      <c r="D625" s="156"/>
      <c r="E625" s="111"/>
      <c r="F625" s="112"/>
      <c r="G625" s="113"/>
      <c r="H625" s="53">
        <f t="shared" si="1"/>
        <v>0</v>
      </c>
      <c r="I625" s="115"/>
      <c r="J625" s="115"/>
      <c r="K625" s="60">
        <f t="shared" si="2"/>
        <v>0</v>
      </c>
      <c r="L625" s="117"/>
    </row>
    <row r="626" ht="15.75" customHeight="1">
      <c r="A626" s="9"/>
      <c r="B626" s="164"/>
      <c r="C626" s="110"/>
      <c r="D626" s="156"/>
      <c r="E626" s="111"/>
      <c r="F626" s="112"/>
      <c r="G626" s="113"/>
      <c r="H626" s="53">
        <f t="shared" si="1"/>
        <v>0</v>
      </c>
      <c r="I626" s="115"/>
      <c r="J626" s="115"/>
      <c r="K626" s="60">
        <f t="shared" si="2"/>
        <v>0</v>
      </c>
      <c r="L626" s="117"/>
    </row>
    <row r="627" ht="15.75" customHeight="1">
      <c r="A627" s="9"/>
      <c r="B627" s="164"/>
      <c r="C627" s="110"/>
      <c r="D627" s="156"/>
      <c r="E627" s="111"/>
      <c r="F627" s="112"/>
      <c r="G627" s="113"/>
      <c r="H627" s="53">
        <f t="shared" si="1"/>
        <v>0</v>
      </c>
      <c r="I627" s="115"/>
      <c r="J627" s="115"/>
      <c r="K627" s="60">
        <f t="shared" si="2"/>
        <v>0</v>
      </c>
      <c r="L627" s="117"/>
    </row>
    <row r="628" ht="15.75" customHeight="1">
      <c r="A628" s="9"/>
      <c r="B628" s="164"/>
      <c r="C628" s="110"/>
      <c r="D628" s="156"/>
      <c r="E628" s="111"/>
      <c r="F628" s="112"/>
      <c r="G628" s="113"/>
      <c r="H628" s="53">
        <f t="shared" si="1"/>
        <v>0</v>
      </c>
      <c r="I628" s="115"/>
      <c r="J628" s="115"/>
      <c r="K628" s="60">
        <f t="shared" si="2"/>
        <v>0</v>
      </c>
      <c r="L628" s="117"/>
    </row>
    <row r="629" ht="15.75" customHeight="1">
      <c r="A629" s="9"/>
      <c r="B629" s="164"/>
      <c r="C629" s="110"/>
      <c r="D629" s="156"/>
      <c r="E629" s="111"/>
      <c r="F629" s="112"/>
      <c r="G629" s="113"/>
      <c r="H629" s="53">
        <f t="shared" si="1"/>
        <v>0</v>
      </c>
      <c r="I629" s="115"/>
      <c r="J629" s="115"/>
      <c r="K629" s="60">
        <f t="shared" si="2"/>
        <v>0</v>
      </c>
      <c r="L629" s="117"/>
    </row>
    <row r="630" ht="15.75" customHeight="1">
      <c r="A630" s="9"/>
      <c r="B630" s="164"/>
      <c r="C630" s="110"/>
      <c r="D630" s="156"/>
      <c r="E630" s="111"/>
      <c r="F630" s="112"/>
      <c r="G630" s="113"/>
      <c r="H630" s="53">
        <f t="shared" si="1"/>
        <v>0</v>
      </c>
      <c r="I630" s="115"/>
      <c r="J630" s="115"/>
      <c r="K630" s="60">
        <f t="shared" si="2"/>
        <v>0</v>
      </c>
      <c r="L630" s="117"/>
    </row>
    <row r="631" ht="15.75" customHeight="1">
      <c r="A631" s="9"/>
      <c r="B631" s="164"/>
      <c r="C631" s="110"/>
      <c r="D631" s="156"/>
      <c r="E631" s="111"/>
      <c r="F631" s="112"/>
      <c r="G631" s="113"/>
      <c r="H631" s="53">
        <f t="shared" si="1"/>
        <v>0</v>
      </c>
      <c r="I631" s="115"/>
      <c r="J631" s="115"/>
      <c r="K631" s="60">
        <f t="shared" si="2"/>
        <v>0</v>
      </c>
      <c r="L631" s="117"/>
    </row>
    <row r="632" ht="15.75" customHeight="1">
      <c r="A632" s="9"/>
      <c r="B632" s="164"/>
      <c r="C632" s="110"/>
      <c r="D632" s="156"/>
      <c r="E632" s="111"/>
      <c r="F632" s="112"/>
      <c r="G632" s="113"/>
      <c r="H632" s="53">
        <f t="shared" si="1"/>
        <v>0</v>
      </c>
      <c r="I632" s="115"/>
      <c r="J632" s="115"/>
      <c r="K632" s="60">
        <f t="shared" si="2"/>
        <v>0</v>
      </c>
      <c r="L632" s="117"/>
    </row>
    <row r="633" ht="15.75" customHeight="1">
      <c r="A633" s="9"/>
      <c r="B633" s="164"/>
      <c r="C633" s="110"/>
      <c r="D633" s="156"/>
      <c r="E633" s="111"/>
      <c r="F633" s="112"/>
      <c r="G633" s="113"/>
      <c r="H633" s="53">
        <f t="shared" si="1"/>
        <v>0</v>
      </c>
      <c r="I633" s="115"/>
      <c r="J633" s="115"/>
      <c r="K633" s="60">
        <f t="shared" si="2"/>
        <v>0</v>
      </c>
      <c r="L633" s="117"/>
    </row>
    <row r="634" ht="15.75" customHeight="1">
      <c r="A634" s="9"/>
      <c r="B634" s="164"/>
      <c r="C634" s="110"/>
      <c r="D634" s="156"/>
      <c r="E634" s="111"/>
      <c r="F634" s="112"/>
      <c r="G634" s="113"/>
      <c r="H634" s="53">
        <f t="shared" si="1"/>
        <v>0</v>
      </c>
      <c r="I634" s="115"/>
      <c r="J634" s="115"/>
      <c r="K634" s="60">
        <f t="shared" si="2"/>
        <v>0</v>
      </c>
      <c r="L634" s="117"/>
    </row>
    <row r="635" ht="15.75" customHeight="1">
      <c r="A635" s="9"/>
      <c r="B635" s="164"/>
      <c r="C635" s="110"/>
      <c r="D635" s="156"/>
      <c r="E635" s="111"/>
      <c r="F635" s="112"/>
      <c r="G635" s="113"/>
      <c r="H635" s="53">
        <f t="shared" si="1"/>
        <v>0</v>
      </c>
      <c r="I635" s="115"/>
      <c r="J635" s="115"/>
      <c r="K635" s="60">
        <f t="shared" si="2"/>
        <v>0</v>
      </c>
      <c r="L635" s="117"/>
    </row>
    <row r="636" ht="15.75" customHeight="1">
      <c r="A636" s="9"/>
      <c r="B636" s="164"/>
      <c r="C636" s="110"/>
      <c r="D636" s="156"/>
      <c r="E636" s="111"/>
      <c r="F636" s="112"/>
      <c r="G636" s="113"/>
      <c r="H636" s="53">
        <f t="shared" si="1"/>
        <v>0</v>
      </c>
      <c r="I636" s="115"/>
      <c r="J636" s="115"/>
      <c r="K636" s="60">
        <f t="shared" si="2"/>
        <v>0</v>
      </c>
      <c r="L636" s="117"/>
    </row>
    <row r="637" ht="15.75" customHeight="1">
      <c r="A637" s="9"/>
      <c r="B637" s="164"/>
      <c r="C637" s="110"/>
      <c r="D637" s="156"/>
      <c r="E637" s="111"/>
      <c r="F637" s="112"/>
      <c r="G637" s="113"/>
      <c r="H637" s="53">
        <f t="shared" si="1"/>
        <v>0</v>
      </c>
      <c r="I637" s="115"/>
      <c r="J637" s="115"/>
      <c r="K637" s="60">
        <f t="shared" si="2"/>
        <v>0</v>
      </c>
      <c r="L637" s="117"/>
    </row>
    <row r="638" ht="15.75" customHeight="1">
      <c r="A638" s="9"/>
      <c r="B638" s="164"/>
      <c r="C638" s="110"/>
      <c r="D638" s="156"/>
      <c r="E638" s="111"/>
      <c r="F638" s="112"/>
      <c r="G638" s="113"/>
      <c r="H638" s="53">
        <f t="shared" si="1"/>
        <v>0</v>
      </c>
      <c r="I638" s="115"/>
      <c r="J638" s="115"/>
      <c r="K638" s="60">
        <f t="shared" si="2"/>
        <v>0</v>
      </c>
      <c r="L638" s="117"/>
    </row>
    <row r="639" ht="15.75" customHeight="1">
      <c r="A639" s="9"/>
      <c r="B639" s="164"/>
      <c r="C639" s="110"/>
      <c r="D639" s="156"/>
      <c r="E639" s="111"/>
      <c r="F639" s="112"/>
      <c r="G639" s="113"/>
      <c r="H639" s="53">
        <f t="shared" si="1"/>
        <v>0</v>
      </c>
      <c r="I639" s="115"/>
      <c r="J639" s="115"/>
      <c r="K639" s="60">
        <f t="shared" si="2"/>
        <v>0</v>
      </c>
      <c r="L639" s="117"/>
    </row>
    <row r="640" ht="15.75" customHeight="1">
      <c r="A640" s="9"/>
      <c r="B640" s="164"/>
      <c r="C640" s="110"/>
      <c r="D640" s="156"/>
      <c r="E640" s="111"/>
      <c r="F640" s="112"/>
      <c r="G640" s="113"/>
      <c r="H640" s="53">
        <f t="shared" si="1"/>
        <v>0</v>
      </c>
      <c r="I640" s="115"/>
      <c r="J640" s="115"/>
      <c r="K640" s="60">
        <f t="shared" si="2"/>
        <v>0</v>
      </c>
      <c r="L640" s="117"/>
    </row>
    <row r="641" ht="15.75" customHeight="1">
      <c r="A641" s="9"/>
      <c r="B641" s="164"/>
      <c r="C641" s="110"/>
      <c r="D641" s="156"/>
      <c r="E641" s="111"/>
      <c r="F641" s="112"/>
      <c r="G641" s="113"/>
      <c r="H641" s="53">
        <f t="shared" si="1"/>
        <v>0</v>
      </c>
      <c r="I641" s="115"/>
      <c r="J641" s="115"/>
      <c r="K641" s="60">
        <f t="shared" si="2"/>
        <v>0</v>
      </c>
      <c r="L641" s="117"/>
    </row>
    <row r="642" ht="15.75" customHeight="1">
      <c r="A642" s="9"/>
      <c r="B642" s="164"/>
      <c r="C642" s="110"/>
      <c r="D642" s="156"/>
      <c r="E642" s="111"/>
      <c r="F642" s="112"/>
      <c r="G642" s="113"/>
      <c r="H642" s="53">
        <f t="shared" si="1"/>
        <v>0</v>
      </c>
      <c r="I642" s="115"/>
      <c r="J642" s="115"/>
      <c r="K642" s="60">
        <f t="shared" si="2"/>
        <v>0</v>
      </c>
      <c r="L642" s="117"/>
    </row>
    <row r="643" ht="15.75" customHeight="1">
      <c r="A643" s="9"/>
      <c r="B643" s="164"/>
      <c r="C643" s="110"/>
      <c r="D643" s="156"/>
      <c r="E643" s="111"/>
      <c r="F643" s="112"/>
      <c r="G643" s="113"/>
      <c r="H643" s="53">
        <f t="shared" si="1"/>
        <v>0</v>
      </c>
      <c r="I643" s="115"/>
      <c r="J643" s="115"/>
      <c r="K643" s="60">
        <f t="shared" si="2"/>
        <v>0</v>
      </c>
      <c r="L643" s="117"/>
    </row>
    <row r="644" ht="15.75" customHeight="1">
      <c r="A644" s="9"/>
      <c r="B644" s="164"/>
      <c r="C644" s="110"/>
      <c r="D644" s="156"/>
      <c r="E644" s="111"/>
      <c r="F644" s="112"/>
      <c r="G644" s="113"/>
      <c r="H644" s="53">
        <f t="shared" si="1"/>
        <v>0</v>
      </c>
      <c r="I644" s="115"/>
      <c r="J644" s="115"/>
      <c r="K644" s="60">
        <f t="shared" si="2"/>
        <v>0</v>
      </c>
      <c r="L644" s="117"/>
    </row>
    <row r="645" ht="15.75" customHeight="1">
      <c r="A645" s="9"/>
      <c r="B645" s="164"/>
      <c r="C645" s="110"/>
      <c r="D645" s="156"/>
      <c r="E645" s="111"/>
      <c r="F645" s="112"/>
      <c r="G645" s="113"/>
      <c r="H645" s="53">
        <f t="shared" si="1"/>
        <v>0</v>
      </c>
      <c r="I645" s="115"/>
      <c r="J645" s="115"/>
      <c r="K645" s="60">
        <f t="shared" si="2"/>
        <v>0</v>
      </c>
      <c r="L645" s="117"/>
    </row>
    <row r="646" ht="15.75" customHeight="1">
      <c r="A646" s="9"/>
      <c r="B646" s="164"/>
      <c r="C646" s="110"/>
      <c r="D646" s="156"/>
      <c r="E646" s="111"/>
      <c r="F646" s="112"/>
      <c r="G646" s="113"/>
      <c r="H646" s="53">
        <f t="shared" si="1"/>
        <v>0</v>
      </c>
      <c r="I646" s="115"/>
      <c r="J646" s="115"/>
      <c r="K646" s="60">
        <f t="shared" si="2"/>
        <v>0</v>
      </c>
      <c r="L646" s="117"/>
    </row>
    <row r="647" ht="15.75" customHeight="1">
      <c r="A647" s="9"/>
      <c r="B647" s="164"/>
      <c r="C647" s="110"/>
      <c r="D647" s="156"/>
      <c r="E647" s="111"/>
      <c r="F647" s="112"/>
      <c r="G647" s="113"/>
      <c r="H647" s="53">
        <f t="shared" si="1"/>
        <v>0</v>
      </c>
      <c r="I647" s="115"/>
      <c r="J647" s="115"/>
      <c r="K647" s="60">
        <f t="shared" si="2"/>
        <v>0</v>
      </c>
      <c r="L647" s="117"/>
    </row>
    <row r="648" ht="15.75" customHeight="1">
      <c r="A648" s="9"/>
      <c r="B648" s="164"/>
      <c r="C648" s="110"/>
      <c r="D648" s="156"/>
      <c r="E648" s="111"/>
      <c r="F648" s="112"/>
      <c r="G648" s="113"/>
      <c r="H648" s="53">
        <f t="shared" si="1"/>
        <v>0</v>
      </c>
      <c r="I648" s="115"/>
      <c r="J648" s="115"/>
      <c r="K648" s="60">
        <f t="shared" si="2"/>
        <v>0</v>
      </c>
      <c r="L648" s="117"/>
    </row>
    <row r="649" ht="15.75" customHeight="1">
      <c r="A649" s="9"/>
      <c r="B649" s="164"/>
      <c r="C649" s="110"/>
      <c r="D649" s="156"/>
      <c r="E649" s="111"/>
      <c r="F649" s="112"/>
      <c r="G649" s="113"/>
      <c r="H649" s="53">
        <f t="shared" si="1"/>
        <v>0</v>
      </c>
      <c r="I649" s="115"/>
      <c r="J649" s="115"/>
      <c r="K649" s="60">
        <f t="shared" si="2"/>
        <v>0</v>
      </c>
      <c r="L649" s="117"/>
    </row>
    <row r="650" ht="15.75" customHeight="1">
      <c r="A650" s="9"/>
      <c r="B650" s="164"/>
      <c r="C650" s="110"/>
      <c r="D650" s="156"/>
      <c r="E650" s="111"/>
      <c r="F650" s="112"/>
      <c r="G650" s="113"/>
      <c r="H650" s="53">
        <f t="shared" si="1"/>
        <v>0</v>
      </c>
      <c r="I650" s="115"/>
      <c r="J650" s="115"/>
      <c r="K650" s="60">
        <f t="shared" si="2"/>
        <v>0</v>
      </c>
      <c r="L650" s="117"/>
    </row>
    <row r="651" ht="15.75" customHeight="1">
      <c r="A651" s="9"/>
      <c r="B651" s="164"/>
      <c r="C651" s="110"/>
      <c r="D651" s="156"/>
      <c r="E651" s="111"/>
      <c r="F651" s="112"/>
      <c r="G651" s="113"/>
      <c r="H651" s="53">
        <f t="shared" si="1"/>
        <v>0</v>
      </c>
      <c r="I651" s="115"/>
      <c r="J651" s="115"/>
      <c r="K651" s="60">
        <f t="shared" si="2"/>
        <v>0</v>
      </c>
      <c r="L651" s="117"/>
    </row>
    <row r="652" ht="15.75" customHeight="1">
      <c r="A652" s="9"/>
      <c r="B652" s="164"/>
      <c r="C652" s="110"/>
      <c r="D652" s="156"/>
      <c r="E652" s="111"/>
      <c r="F652" s="112"/>
      <c r="G652" s="113"/>
      <c r="H652" s="53">
        <f t="shared" si="1"/>
        <v>0</v>
      </c>
      <c r="I652" s="115"/>
      <c r="J652" s="115"/>
      <c r="K652" s="60">
        <f t="shared" si="2"/>
        <v>0</v>
      </c>
      <c r="L652" s="117"/>
    </row>
    <row r="653" ht="15.75" customHeight="1">
      <c r="A653" s="9"/>
      <c r="B653" s="164"/>
      <c r="C653" s="110"/>
      <c r="D653" s="156"/>
      <c r="E653" s="111"/>
      <c r="F653" s="112"/>
      <c r="G653" s="113"/>
      <c r="H653" s="53">
        <f t="shared" si="1"/>
        <v>0</v>
      </c>
      <c r="I653" s="115"/>
      <c r="J653" s="115"/>
      <c r="K653" s="60">
        <f t="shared" si="2"/>
        <v>0</v>
      </c>
      <c r="L653" s="117"/>
    </row>
    <row r="654" ht="15.75" customHeight="1">
      <c r="A654" s="9"/>
      <c r="B654" s="164"/>
      <c r="C654" s="110"/>
      <c r="D654" s="156"/>
      <c r="E654" s="111"/>
      <c r="F654" s="112"/>
      <c r="G654" s="113"/>
      <c r="H654" s="53">
        <f t="shared" si="1"/>
        <v>0</v>
      </c>
      <c r="I654" s="115"/>
      <c r="J654" s="115"/>
      <c r="K654" s="60">
        <f t="shared" si="2"/>
        <v>0</v>
      </c>
      <c r="L654" s="117"/>
    </row>
    <row r="655" ht="15.75" customHeight="1">
      <c r="A655" s="9"/>
      <c r="B655" s="164"/>
      <c r="C655" s="110"/>
      <c r="D655" s="156"/>
      <c r="E655" s="111"/>
      <c r="F655" s="112"/>
      <c r="G655" s="113"/>
      <c r="H655" s="53">
        <f t="shared" si="1"/>
        <v>0</v>
      </c>
      <c r="I655" s="115"/>
      <c r="J655" s="115"/>
      <c r="K655" s="60">
        <f t="shared" si="2"/>
        <v>0</v>
      </c>
      <c r="L655" s="117"/>
    </row>
    <row r="656" ht="15.75" customHeight="1">
      <c r="A656" s="9"/>
      <c r="B656" s="164"/>
      <c r="C656" s="110"/>
      <c r="D656" s="156"/>
      <c r="E656" s="111"/>
      <c r="F656" s="112"/>
      <c r="G656" s="113"/>
      <c r="H656" s="53">
        <f t="shared" si="1"/>
        <v>0</v>
      </c>
      <c r="I656" s="115"/>
      <c r="J656" s="115"/>
      <c r="K656" s="60">
        <f t="shared" si="2"/>
        <v>0</v>
      </c>
      <c r="L656" s="117"/>
    </row>
    <row r="657" ht="15.75" customHeight="1">
      <c r="A657" s="9"/>
      <c r="B657" s="164"/>
      <c r="C657" s="110"/>
      <c r="D657" s="156"/>
      <c r="E657" s="111"/>
      <c r="F657" s="112"/>
      <c r="G657" s="113"/>
      <c r="H657" s="53">
        <f t="shared" si="1"/>
        <v>0</v>
      </c>
      <c r="I657" s="115"/>
      <c r="J657" s="115"/>
      <c r="K657" s="60">
        <f t="shared" si="2"/>
        <v>0</v>
      </c>
      <c r="L657" s="117"/>
    </row>
    <row r="658" ht="15.75" customHeight="1">
      <c r="A658" s="9"/>
      <c r="B658" s="164"/>
      <c r="C658" s="110"/>
      <c r="D658" s="156"/>
      <c r="E658" s="111"/>
      <c r="F658" s="112"/>
      <c r="G658" s="113"/>
      <c r="H658" s="53">
        <f t="shared" si="1"/>
        <v>0</v>
      </c>
      <c r="I658" s="115"/>
      <c r="J658" s="115"/>
      <c r="K658" s="60">
        <f t="shared" si="2"/>
        <v>0</v>
      </c>
      <c r="L658" s="117"/>
    </row>
    <row r="659" ht="15.75" customHeight="1">
      <c r="A659" s="9"/>
      <c r="B659" s="164"/>
      <c r="C659" s="110"/>
      <c r="D659" s="156"/>
      <c r="E659" s="111"/>
      <c r="F659" s="112"/>
      <c r="G659" s="113"/>
      <c r="H659" s="53">
        <f t="shared" si="1"/>
        <v>0</v>
      </c>
      <c r="I659" s="115"/>
      <c r="J659" s="115"/>
      <c r="K659" s="60">
        <f t="shared" si="2"/>
        <v>0</v>
      </c>
      <c r="L659" s="117"/>
    </row>
    <row r="660" ht="15.75" customHeight="1">
      <c r="A660" s="9"/>
      <c r="B660" s="164"/>
      <c r="C660" s="110"/>
      <c r="D660" s="156"/>
      <c r="E660" s="111"/>
      <c r="F660" s="112"/>
      <c r="G660" s="113"/>
      <c r="H660" s="53">
        <f t="shared" si="1"/>
        <v>0</v>
      </c>
      <c r="I660" s="115"/>
      <c r="J660" s="115"/>
      <c r="K660" s="60">
        <f t="shared" si="2"/>
        <v>0</v>
      </c>
      <c r="L660" s="117"/>
    </row>
    <row r="661" ht="15.75" customHeight="1">
      <c r="A661" s="9"/>
      <c r="B661" s="164"/>
      <c r="C661" s="110"/>
      <c r="D661" s="156"/>
      <c r="E661" s="111"/>
      <c r="F661" s="112"/>
      <c r="G661" s="113"/>
      <c r="H661" s="53">
        <f t="shared" si="1"/>
        <v>0</v>
      </c>
      <c r="I661" s="115"/>
      <c r="J661" s="115"/>
      <c r="K661" s="60">
        <f t="shared" si="2"/>
        <v>0</v>
      </c>
      <c r="L661" s="117"/>
    </row>
    <row r="662" ht="15.75" customHeight="1">
      <c r="A662" s="9"/>
      <c r="B662" s="164"/>
      <c r="C662" s="110"/>
      <c r="D662" s="156"/>
      <c r="E662" s="111"/>
      <c r="F662" s="112"/>
      <c r="G662" s="113"/>
      <c r="H662" s="53">
        <f t="shared" si="1"/>
        <v>0</v>
      </c>
      <c r="I662" s="115"/>
      <c r="J662" s="115"/>
      <c r="K662" s="60">
        <f t="shared" si="2"/>
        <v>0</v>
      </c>
      <c r="L662" s="117"/>
    </row>
    <row r="663" ht="15.75" customHeight="1">
      <c r="A663" s="9"/>
      <c r="B663" s="164"/>
      <c r="C663" s="110"/>
      <c r="D663" s="156"/>
      <c r="E663" s="111"/>
      <c r="F663" s="112"/>
      <c r="G663" s="113"/>
      <c r="H663" s="53">
        <f t="shared" si="1"/>
        <v>0</v>
      </c>
      <c r="I663" s="115"/>
      <c r="J663" s="115"/>
      <c r="K663" s="60">
        <f t="shared" si="2"/>
        <v>0</v>
      </c>
      <c r="L663" s="117"/>
    </row>
    <row r="664" ht="15.75" customHeight="1">
      <c r="A664" s="9"/>
      <c r="B664" s="164"/>
      <c r="C664" s="110"/>
      <c r="D664" s="156"/>
      <c r="E664" s="111"/>
      <c r="F664" s="112"/>
      <c r="G664" s="113"/>
      <c r="H664" s="53">
        <f t="shared" si="1"/>
        <v>0</v>
      </c>
      <c r="I664" s="115"/>
      <c r="J664" s="115"/>
      <c r="K664" s="60">
        <f t="shared" si="2"/>
        <v>0</v>
      </c>
      <c r="L664" s="117"/>
    </row>
    <row r="665" ht="15.75" customHeight="1">
      <c r="A665" s="9"/>
      <c r="B665" s="164"/>
      <c r="C665" s="110"/>
      <c r="D665" s="156"/>
      <c r="E665" s="111"/>
      <c r="F665" s="112"/>
      <c r="G665" s="113"/>
      <c r="H665" s="53">
        <f t="shared" si="1"/>
        <v>0</v>
      </c>
      <c r="I665" s="115"/>
      <c r="J665" s="115"/>
      <c r="K665" s="60">
        <f t="shared" si="2"/>
        <v>0</v>
      </c>
      <c r="L665" s="117"/>
    </row>
    <row r="666" ht="15.75" customHeight="1">
      <c r="A666" s="9"/>
      <c r="B666" s="164"/>
      <c r="C666" s="110"/>
      <c r="D666" s="156"/>
      <c r="E666" s="111"/>
      <c r="F666" s="112"/>
      <c r="G666" s="113"/>
      <c r="H666" s="53">
        <f t="shared" si="1"/>
        <v>0</v>
      </c>
      <c r="I666" s="115"/>
      <c r="J666" s="115"/>
      <c r="K666" s="60">
        <f t="shared" si="2"/>
        <v>0</v>
      </c>
      <c r="L666" s="117"/>
    </row>
    <row r="667" ht="15.75" customHeight="1">
      <c r="A667" s="9"/>
      <c r="B667" s="164"/>
      <c r="C667" s="110"/>
      <c r="D667" s="156"/>
      <c r="E667" s="111"/>
      <c r="F667" s="112"/>
      <c r="G667" s="113"/>
      <c r="H667" s="53">
        <f t="shared" si="1"/>
        <v>0</v>
      </c>
      <c r="I667" s="115"/>
      <c r="J667" s="115"/>
      <c r="K667" s="60">
        <f t="shared" si="2"/>
        <v>0</v>
      </c>
      <c r="L667" s="117"/>
    </row>
    <row r="668" ht="15.75" customHeight="1">
      <c r="A668" s="9"/>
      <c r="B668" s="164"/>
      <c r="C668" s="110"/>
      <c r="D668" s="156"/>
      <c r="E668" s="111"/>
      <c r="F668" s="112"/>
      <c r="G668" s="113"/>
      <c r="H668" s="53">
        <f t="shared" si="1"/>
        <v>0</v>
      </c>
      <c r="I668" s="115"/>
      <c r="J668" s="115"/>
      <c r="K668" s="60">
        <f t="shared" si="2"/>
        <v>0</v>
      </c>
      <c r="L668" s="117"/>
    </row>
    <row r="669" ht="15.75" customHeight="1">
      <c r="A669" s="9"/>
      <c r="B669" s="164"/>
      <c r="C669" s="110"/>
      <c r="D669" s="156"/>
      <c r="E669" s="111"/>
      <c r="F669" s="112"/>
      <c r="G669" s="113"/>
      <c r="H669" s="53">
        <f t="shared" si="1"/>
        <v>0</v>
      </c>
      <c r="I669" s="115"/>
      <c r="J669" s="115"/>
      <c r="K669" s="60">
        <f t="shared" si="2"/>
        <v>0</v>
      </c>
      <c r="L669" s="117"/>
    </row>
    <row r="670" ht="15.75" customHeight="1">
      <c r="A670" s="9"/>
      <c r="B670" s="164"/>
      <c r="C670" s="110"/>
      <c r="D670" s="156"/>
      <c r="E670" s="111"/>
      <c r="F670" s="112"/>
      <c r="G670" s="113"/>
      <c r="H670" s="53">
        <f t="shared" si="1"/>
        <v>0</v>
      </c>
      <c r="I670" s="115"/>
      <c r="J670" s="115"/>
      <c r="K670" s="60">
        <f t="shared" si="2"/>
        <v>0</v>
      </c>
      <c r="L670" s="117"/>
    </row>
    <row r="671" ht="15.75" customHeight="1">
      <c r="A671" s="9"/>
      <c r="B671" s="164"/>
      <c r="C671" s="110"/>
      <c r="D671" s="156"/>
      <c r="E671" s="111"/>
      <c r="F671" s="112"/>
      <c r="G671" s="113"/>
      <c r="H671" s="53">
        <f t="shared" si="1"/>
        <v>0</v>
      </c>
      <c r="I671" s="115"/>
      <c r="J671" s="115"/>
      <c r="K671" s="60">
        <f t="shared" si="2"/>
        <v>0</v>
      </c>
      <c r="L671" s="117"/>
    </row>
    <row r="672" ht="15.75" customHeight="1">
      <c r="A672" s="9"/>
      <c r="B672" s="164"/>
      <c r="C672" s="110"/>
      <c r="D672" s="156"/>
      <c r="E672" s="111"/>
      <c r="F672" s="112"/>
      <c r="G672" s="113"/>
      <c r="H672" s="53">
        <f t="shared" si="1"/>
        <v>0</v>
      </c>
      <c r="I672" s="115"/>
      <c r="J672" s="115"/>
      <c r="K672" s="60">
        <f t="shared" si="2"/>
        <v>0</v>
      </c>
      <c r="L672" s="117"/>
    </row>
    <row r="673" ht="15.75" customHeight="1">
      <c r="A673" s="9"/>
      <c r="B673" s="164"/>
      <c r="C673" s="110"/>
      <c r="D673" s="156"/>
      <c r="E673" s="111"/>
      <c r="F673" s="112"/>
      <c r="G673" s="113"/>
      <c r="H673" s="53">
        <f t="shared" si="1"/>
        <v>0</v>
      </c>
      <c r="I673" s="115"/>
      <c r="J673" s="115"/>
      <c r="K673" s="60">
        <f t="shared" si="2"/>
        <v>0</v>
      </c>
      <c r="L673" s="117"/>
    </row>
    <row r="674" ht="15.75" customHeight="1">
      <c r="A674" s="9"/>
      <c r="B674" s="164"/>
      <c r="C674" s="110"/>
      <c r="D674" s="156"/>
      <c r="E674" s="111"/>
      <c r="F674" s="112"/>
      <c r="G674" s="113"/>
      <c r="H674" s="53">
        <f t="shared" si="1"/>
        <v>0</v>
      </c>
      <c r="I674" s="115"/>
      <c r="J674" s="115"/>
      <c r="K674" s="60">
        <f t="shared" si="2"/>
        <v>0</v>
      </c>
      <c r="L674" s="117"/>
    </row>
    <row r="675" ht="15.75" customHeight="1">
      <c r="A675" s="9"/>
      <c r="B675" s="164"/>
      <c r="C675" s="110"/>
      <c r="D675" s="156"/>
      <c r="E675" s="111"/>
      <c r="F675" s="112"/>
      <c r="G675" s="113"/>
      <c r="H675" s="53">
        <f t="shared" si="1"/>
        <v>0</v>
      </c>
      <c r="I675" s="115"/>
      <c r="J675" s="115"/>
      <c r="K675" s="60">
        <f t="shared" si="2"/>
        <v>0</v>
      </c>
      <c r="L675" s="117"/>
    </row>
    <row r="676" ht="15.75" customHeight="1">
      <c r="A676" s="9"/>
      <c r="B676" s="164"/>
      <c r="C676" s="110"/>
      <c r="D676" s="156"/>
      <c r="E676" s="111"/>
      <c r="F676" s="112"/>
      <c r="G676" s="113"/>
      <c r="H676" s="53">
        <f t="shared" si="1"/>
        <v>0</v>
      </c>
      <c r="I676" s="115"/>
      <c r="J676" s="115"/>
      <c r="K676" s="60">
        <f t="shared" si="2"/>
        <v>0</v>
      </c>
      <c r="L676" s="117"/>
    </row>
    <row r="677" ht="15.75" customHeight="1">
      <c r="A677" s="9"/>
      <c r="B677" s="164"/>
      <c r="C677" s="110"/>
      <c r="D677" s="156"/>
      <c r="E677" s="111"/>
      <c r="F677" s="112"/>
      <c r="G677" s="113"/>
      <c r="H677" s="53">
        <f t="shared" si="1"/>
        <v>0</v>
      </c>
      <c r="I677" s="115"/>
      <c r="J677" s="115"/>
      <c r="K677" s="60">
        <f t="shared" si="2"/>
        <v>0</v>
      </c>
      <c r="L677" s="117"/>
    </row>
    <row r="678" ht="15.75" customHeight="1">
      <c r="A678" s="9"/>
      <c r="B678" s="164"/>
      <c r="C678" s="110"/>
      <c r="D678" s="156"/>
      <c r="E678" s="111"/>
      <c r="F678" s="112"/>
      <c r="G678" s="113"/>
      <c r="H678" s="53">
        <f t="shared" si="1"/>
        <v>0</v>
      </c>
      <c r="I678" s="115"/>
      <c r="J678" s="115"/>
      <c r="K678" s="60">
        <f t="shared" si="2"/>
        <v>0</v>
      </c>
      <c r="L678" s="117"/>
    </row>
    <row r="679" ht="15.75" customHeight="1">
      <c r="A679" s="9"/>
      <c r="B679" s="164"/>
      <c r="C679" s="110"/>
      <c r="D679" s="156"/>
      <c r="E679" s="111"/>
      <c r="F679" s="112"/>
      <c r="G679" s="113"/>
      <c r="H679" s="53">
        <f t="shared" si="1"/>
        <v>0</v>
      </c>
      <c r="I679" s="115"/>
      <c r="J679" s="115"/>
      <c r="K679" s="60">
        <f t="shared" si="2"/>
        <v>0</v>
      </c>
      <c r="L679" s="117"/>
    </row>
    <row r="680" ht="15.75" customHeight="1">
      <c r="A680" s="9"/>
      <c r="B680" s="164"/>
      <c r="C680" s="110"/>
      <c r="D680" s="156"/>
      <c r="E680" s="111"/>
      <c r="F680" s="112"/>
      <c r="G680" s="113"/>
      <c r="H680" s="53">
        <f t="shared" si="1"/>
        <v>0</v>
      </c>
      <c r="I680" s="115"/>
      <c r="J680" s="115"/>
      <c r="K680" s="60">
        <f t="shared" si="2"/>
        <v>0</v>
      </c>
      <c r="L680" s="117"/>
    </row>
    <row r="681" ht="15.75" customHeight="1">
      <c r="A681" s="9"/>
      <c r="B681" s="164"/>
      <c r="C681" s="110"/>
      <c r="D681" s="156"/>
      <c r="E681" s="111"/>
      <c r="F681" s="112"/>
      <c r="G681" s="113"/>
      <c r="H681" s="53">
        <f t="shared" si="1"/>
        <v>0</v>
      </c>
      <c r="I681" s="115"/>
      <c r="J681" s="115"/>
      <c r="K681" s="60">
        <f t="shared" si="2"/>
        <v>0</v>
      </c>
      <c r="L681" s="117"/>
    </row>
    <row r="682" ht="15.75" customHeight="1">
      <c r="A682" s="9"/>
      <c r="B682" s="164"/>
      <c r="C682" s="110"/>
      <c r="D682" s="156"/>
      <c r="E682" s="111"/>
      <c r="F682" s="112"/>
      <c r="G682" s="113"/>
      <c r="H682" s="53">
        <f t="shared" si="1"/>
        <v>0</v>
      </c>
      <c r="I682" s="115"/>
      <c r="J682" s="115"/>
      <c r="K682" s="60">
        <f t="shared" si="2"/>
        <v>0</v>
      </c>
      <c r="L682" s="117"/>
    </row>
    <row r="683" ht="15.75" customHeight="1">
      <c r="A683" s="9"/>
      <c r="B683" s="164"/>
      <c r="C683" s="110"/>
      <c r="D683" s="156"/>
      <c r="E683" s="111"/>
      <c r="F683" s="112"/>
      <c r="G683" s="113"/>
      <c r="H683" s="53">
        <f t="shared" si="1"/>
        <v>0</v>
      </c>
      <c r="I683" s="115"/>
      <c r="J683" s="115"/>
      <c r="K683" s="60">
        <f t="shared" si="2"/>
        <v>0</v>
      </c>
      <c r="L683" s="117"/>
    </row>
    <row r="684" ht="15.75" customHeight="1">
      <c r="A684" s="9"/>
      <c r="B684" s="164"/>
      <c r="C684" s="110"/>
      <c r="D684" s="156"/>
      <c r="E684" s="111"/>
      <c r="F684" s="112"/>
      <c r="G684" s="113"/>
      <c r="H684" s="53">
        <f t="shared" si="1"/>
        <v>0</v>
      </c>
      <c r="I684" s="115"/>
      <c r="J684" s="115"/>
      <c r="K684" s="60">
        <f t="shared" si="2"/>
        <v>0</v>
      </c>
      <c r="L684" s="117"/>
    </row>
    <row r="685" ht="15.75" customHeight="1">
      <c r="A685" s="9"/>
      <c r="B685" s="164"/>
      <c r="C685" s="110"/>
      <c r="D685" s="156"/>
      <c r="E685" s="111"/>
      <c r="F685" s="112"/>
      <c r="G685" s="113"/>
      <c r="H685" s="53">
        <f t="shared" si="1"/>
        <v>0</v>
      </c>
      <c r="I685" s="115"/>
      <c r="J685" s="115"/>
      <c r="K685" s="60">
        <f t="shared" si="2"/>
        <v>0</v>
      </c>
      <c r="L685" s="117"/>
    </row>
    <row r="686" ht="15.75" customHeight="1">
      <c r="A686" s="9"/>
      <c r="B686" s="164"/>
      <c r="C686" s="110"/>
      <c r="D686" s="156"/>
      <c r="E686" s="111"/>
      <c r="F686" s="112"/>
      <c r="G686" s="113"/>
      <c r="H686" s="53">
        <f t="shared" si="1"/>
        <v>0</v>
      </c>
      <c r="I686" s="115"/>
      <c r="J686" s="115"/>
      <c r="K686" s="60">
        <f t="shared" si="2"/>
        <v>0</v>
      </c>
      <c r="L686" s="117"/>
    </row>
    <row r="687" ht="15.75" customHeight="1">
      <c r="A687" s="9"/>
      <c r="B687" s="164"/>
      <c r="C687" s="110"/>
      <c r="D687" s="156"/>
      <c r="E687" s="111"/>
      <c r="F687" s="112"/>
      <c r="G687" s="113"/>
      <c r="H687" s="53">
        <f t="shared" si="1"/>
        <v>0</v>
      </c>
      <c r="I687" s="115"/>
      <c r="J687" s="115"/>
      <c r="K687" s="60">
        <f t="shared" si="2"/>
        <v>0</v>
      </c>
      <c r="L687" s="117"/>
    </row>
    <row r="688" ht="15.75" customHeight="1">
      <c r="A688" s="9"/>
      <c r="B688" s="164"/>
      <c r="C688" s="110"/>
      <c r="D688" s="156"/>
      <c r="E688" s="111"/>
      <c r="F688" s="112"/>
      <c r="G688" s="113"/>
      <c r="H688" s="53">
        <f t="shared" si="1"/>
        <v>0</v>
      </c>
      <c r="I688" s="115"/>
      <c r="J688" s="115"/>
      <c r="K688" s="60">
        <f t="shared" si="2"/>
        <v>0</v>
      </c>
      <c r="L688" s="117"/>
    </row>
    <row r="689" ht="15.75" customHeight="1">
      <c r="A689" s="9"/>
      <c r="B689" s="164"/>
      <c r="C689" s="110"/>
      <c r="D689" s="156"/>
      <c r="E689" s="111"/>
      <c r="F689" s="112"/>
      <c r="G689" s="113"/>
      <c r="H689" s="53">
        <f t="shared" si="1"/>
        <v>0</v>
      </c>
      <c r="I689" s="115"/>
      <c r="J689" s="115"/>
      <c r="K689" s="60">
        <f t="shared" si="2"/>
        <v>0</v>
      </c>
      <c r="L689" s="117"/>
    </row>
    <row r="690" ht="15.75" customHeight="1">
      <c r="A690" s="9"/>
      <c r="B690" s="164"/>
      <c r="C690" s="110"/>
      <c r="D690" s="156"/>
      <c r="E690" s="111"/>
      <c r="F690" s="112"/>
      <c r="G690" s="113"/>
      <c r="H690" s="53">
        <f t="shared" si="1"/>
        <v>0</v>
      </c>
      <c r="I690" s="115"/>
      <c r="J690" s="115"/>
      <c r="K690" s="60">
        <f t="shared" si="2"/>
        <v>0</v>
      </c>
      <c r="L690" s="117"/>
    </row>
    <row r="691" ht="15.75" customHeight="1">
      <c r="A691" s="9"/>
      <c r="B691" s="164"/>
      <c r="C691" s="110"/>
      <c r="D691" s="156"/>
      <c r="E691" s="111"/>
      <c r="F691" s="112"/>
      <c r="G691" s="113"/>
      <c r="H691" s="53">
        <f t="shared" si="1"/>
        <v>0</v>
      </c>
      <c r="I691" s="115"/>
      <c r="J691" s="115"/>
      <c r="K691" s="60">
        <f t="shared" si="2"/>
        <v>0</v>
      </c>
      <c r="L691" s="117"/>
    </row>
    <row r="692" ht="15.75" customHeight="1">
      <c r="A692" s="9"/>
      <c r="B692" s="164"/>
      <c r="C692" s="110"/>
      <c r="D692" s="156"/>
      <c r="E692" s="111"/>
      <c r="F692" s="112"/>
      <c r="G692" s="113"/>
      <c r="H692" s="53">
        <f t="shared" si="1"/>
        <v>0</v>
      </c>
      <c r="I692" s="115"/>
      <c r="J692" s="115"/>
      <c r="K692" s="60">
        <f t="shared" si="2"/>
        <v>0</v>
      </c>
      <c r="L692" s="117"/>
    </row>
    <row r="693" ht="15.75" customHeight="1">
      <c r="A693" s="9"/>
      <c r="B693" s="164"/>
      <c r="C693" s="110"/>
      <c r="D693" s="156"/>
      <c r="E693" s="111"/>
      <c r="F693" s="112"/>
      <c r="G693" s="113"/>
      <c r="H693" s="53">
        <f t="shared" si="1"/>
        <v>0</v>
      </c>
      <c r="I693" s="115"/>
      <c r="J693" s="115"/>
      <c r="K693" s="60">
        <f t="shared" si="2"/>
        <v>0</v>
      </c>
      <c r="L693" s="117"/>
    </row>
    <row r="694" ht="15.75" customHeight="1">
      <c r="A694" s="9"/>
      <c r="B694" s="164"/>
      <c r="C694" s="110"/>
      <c r="D694" s="156"/>
      <c r="E694" s="111"/>
      <c r="F694" s="112"/>
      <c r="G694" s="113"/>
      <c r="H694" s="53">
        <f t="shared" si="1"/>
        <v>0</v>
      </c>
      <c r="I694" s="115"/>
      <c r="J694" s="115"/>
      <c r="K694" s="60">
        <f t="shared" si="2"/>
        <v>0</v>
      </c>
      <c r="L694" s="117"/>
    </row>
    <row r="695" ht="15.75" customHeight="1">
      <c r="A695" s="9"/>
      <c r="B695" s="164"/>
      <c r="C695" s="110"/>
      <c r="D695" s="156"/>
      <c r="E695" s="111"/>
      <c r="F695" s="112"/>
      <c r="G695" s="113"/>
      <c r="H695" s="53">
        <f t="shared" si="1"/>
        <v>0</v>
      </c>
      <c r="I695" s="115"/>
      <c r="J695" s="115"/>
      <c r="K695" s="60">
        <f t="shared" si="2"/>
        <v>0</v>
      </c>
      <c r="L695" s="117"/>
    </row>
    <row r="696" ht="15.75" customHeight="1">
      <c r="A696" s="9"/>
      <c r="B696" s="164"/>
      <c r="C696" s="110"/>
      <c r="D696" s="156"/>
      <c r="E696" s="111"/>
      <c r="F696" s="112"/>
      <c r="G696" s="113"/>
      <c r="H696" s="53">
        <f t="shared" si="1"/>
        <v>0</v>
      </c>
      <c r="I696" s="115"/>
      <c r="J696" s="115"/>
      <c r="K696" s="60">
        <f t="shared" si="2"/>
        <v>0</v>
      </c>
      <c r="L696" s="117"/>
    </row>
    <row r="697" ht="15.75" customHeight="1">
      <c r="A697" s="9"/>
      <c r="B697" s="164"/>
      <c r="C697" s="110"/>
      <c r="D697" s="156"/>
      <c r="E697" s="111"/>
      <c r="F697" s="112"/>
      <c r="G697" s="113"/>
      <c r="H697" s="53">
        <f t="shared" si="1"/>
        <v>0</v>
      </c>
      <c r="I697" s="115"/>
      <c r="J697" s="115"/>
      <c r="K697" s="60">
        <f t="shared" si="2"/>
        <v>0</v>
      </c>
      <c r="L697" s="117"/>
    </row>
    <row r="698" ht="15.75" customHeight="1">
      <c r="A698" s="9"/>
      <c r="B698" s="164"/>
      <c r="C698" s="110"/>
      <c r="D698" s="156"/>
      <c r="E698" s="111"/>
      <c r="F698" s="112"/>
      <c r="G698" s="113"/>
      <c r="H698" s="53">
        <f t="shared" si="1"/>
        <v>0</v>
      </c>
      <c r="I698" s="115"/>
      <c r="J698" s="115"/>
      <c r="K698" s="60">
        <f t="shared" si="2"/>
        <v>0</v>
      </c>
      <c r="L698" s="117"/>
    </row>
    <row r="699" ht="15.75" customHeight="1">
      <c r="A699" s="9"/>
      <c r="B699" s="164"/>
      <c r="C699" s="110"/>
      <c r="D699" s="156"/>
      <c r="E699" s="111"/>
      <c r="F699" s="112"/>
      <c r="G699" s="113"/>
      <c r="H699" s="53">
        <f t="shared" si="1"/>
        <v>0</v>
      </c>
      <c r="I699" s="115"/>
      <c r="J699" s="115"/>
      <c r="K699" s="60">
        <f t="shared" si="2"/>
        <v>0</v>
      </c>
      <c r="L699" s="117"/>
    </row>
    <row r="700" ht="15.75" customHeight="1">
      <c r="A700" s="9"/>
      <c r="B700" s="164"/>
      <c r="C700" s="110"/>
      <c r="D700" s="156"/>
      <c r="E700" s="111"/>
      <c r="F700" s="112"/>
      <c r="G700" s="113"/>
      <c r="H700" s="53">
        <f t="shared" si="1"/>
        <v>0</v>
      </c>
      <c r="I700" s="115"/>
      <c r="J700" s="115"/>
      <c r="K700" s="60">
        <f t="shared" si="2"/>
        <v>0</v>
      </c>
      <c r="L700" s="117"/>
    </row>
    <row r="701" ht="15.75" customHeight="1">
      <c r="A701" s="9"/>
      <c r="B701" s="164"/>
      <c r="C701" s="110"/>
      <c r="D701" s="156"/>
      <c r="E701" s="111"/>
      <c r="F701" s="112"/>
      <c r="G701" s="113"/>
      <c r="H701" s="53">
        <f t="shared" si="1"/>
        <v>0</v>
      </c>
      <c r="I701" s="115"/>
      <c r="J701" s="115"/>
      <c r="K701" s="60">
        <f t="shared" si="2"/>
        <v>0</v>
      </c>
      <c r="L701" s="117"/>
    </row>
    <row r="702" ht="15.75" customHeight="1">
      <c r="A702" s="9"/>
      <c r="B702" s="164"/>
      <c r="C702" s="110"/>
      <c r="D702" s="156"/>
      <c r="E702" s="111"/>
      <c r="F702" s="112"/>
      <c r="G702" s="113"/>
      <c r="H702" s="53">
        <f t="shared" si="1"/>
        <v>0</v>
      </c>
      <c r="I702" s="115"/>
      <c r="J702" s="115"/>
      <c r="K702" s="60">
        <f t="shared" si="2"/>
        <v>0</v>
      </c>
      <c r="L702" s="117"/>
    </row>
    <row r="703" ht="15.75" customHeight="1">
      <c r="A703" s="9"/>
      <c r="B703" s="164"/>
      <c r="C703" s="110"/>
      <c r="D703" s="156"/>
      <c r="E703" s="111"/>
      <c r="F703" s="112"/>
      <c r="G703" s="113"/>
      <c r="H703" s="53">
        <f t="shared" si="1"/>
        <v>0</v>
      </c>
      <c r="I703" s="115"/>
      <c r="J703" s="115"/>
      <c r="K703" s="60">
        <f t="shared" si="2"/>
        <v>0</v>
      </c>
      <c r="L703" s="117"/>
    </row>
    <row r="704" ht="15.75" customHeight="1">
      <c r="A704" s="9"/>
      <c r="B704" s="164"/>
      <c r="C704" s="110"/>
      <c r="D704" s="156"/>
      <c r="E704" s="111"/>
      <c r="F704" s="112"/>
      <c r="G704" s="113"/>
      <c r="H704" s="53">
        <f t="shared" si="1"/>
        <v>0</v>
      </c>
      <c r="I704" s="115"/>
      <c r="J704" s="115"/>
      <c r="K704" s="60">
        <f t="shared" si="2"/>
        <v>0</v>
      </c>
      <c r="L704" s="117"/>
    </row>
    <row r="705" ht="15.75" customHeight="1">
      <c r="A705" s="9"/>
      <c r="B705" s="164"/>
      <c r="C705" s="110"/>
      <c r="D705" s="156"/>
      <c r="E705" s="111"/>
      <c r="F705" s="112"/>
      <c r="G705" s="113"/>
      <c r="H705" s="53">
        <f t="shared" si="1"/>
        <v>0</v>
      </c>
      <c r="I705" s="115"/>
      <c r="J705" s="115"/>
      <c r="K705" s="60">
        <f t="shared" si="2"/>
        <v>0</v>
      </c>
      <c r="L705" s="117"/>
    </row>
    <row r="706" ht="15.75" customHeight="1">
      <c r="A706" s="9"/>
      <c r="B706" s="164"/>
      <c r="C706" s="110"/>
      <c r="D706" s="156"/>
      <c r="E706" s="111"/>
      <c r="F706" s="112"/>
      <c r="G706" s="113"/>
      <c r="H706" s="53">
        <f t="shared" si="1"/>
        <v>0</v>
      </c>
      <c r="I706" s="115"/>
      <c r="J706" s="115"/>
      <c r="K706" s="60">
        <f t="shared" si="2"/>
        <v>0</v>
      </c>
      <c r="L706" s="117"/>
    </row>
    <row r="707" ht="15.75" customHeight="1">
      <c r="A707" s="9"/>
      <c r="B707" s="164"/>
      <c r="C707" s="110"/>
      <c r="D707" s="156"/>
      <c r="E707" s="111"/>
      <c r="F707" s="112"/>
      <c r="G707" s="113"/>
      <c r="H707" s="53">
        <f t="shared" si="1"/>
        <v>0</v>
      </c>
      <c r="I707" s="115"/>
      <c r="J707" s="115"/>
      <c r="K707" s="60">
        <f t="shared" si="2"/>
        <v>0</v>
      </c>
      <c r="L707" s="117"/>
    </row>
    <row r="708" ht="15.75" customHeight="1">
      <c r="A708" s="9"/>
      <c r="B708" s="164"/>
      <c r="C708" s="110"/>
      <c r="D708" s="156"/>
      <c r="E708" s="111"/>
      <c r="F708" s="112"/>
      <c r="G708" s="113"/>
      <c r="H708" s="53">
        <f t="shared" si="1"/>
        <v>0</v>
      </c>
      <c r="I708" s="115"/>
      <c r="J708" s="115"/>
      <c r="K708" s="60">
        <f t="shared" si="2"/>
        <v>0</v>
      </c>
      <c r="L708" s="117"/>
    </row>
    <row r="709" ht="15.75" customHeight="1">
      <c r="A709" s="9"/>
      <c r="B709" s="164"/>
      <c r="C709" s="110"/>
      <c r="D709" s="156"/>
      <c r="E709" s="111"/>
      <c r="F709" s="112"/>
      <c r="G709" s="113"/>
      <c r="H709" s="53">
        <f t="shared" si="1"/>
        <v>0</v>
      </c>
      <c r="I709" s="115"/>
      <c r="J709" s="115"/>
      <c r="K709" s="60">
        <f t="shared" si="2"/>
        <v>0</v>
      </c>
      <c r="L709" s="117"/>
    </row>
    <row r="710" ht="15.75" customHeight="1">
      <c r="A710" s="9"/>
      <c r="B710" s="164"/>
      <c r="C710" s="110"/>
      <c r="D710" s="156"/>
      <c r="E710" s="111"/>
      <c r="F710" s="112"/>
      <c r="G710" s="113"/>
      <c r="H710" s="53">
        <f t="shared" si="1"/>
        <v>0</v>
      </c>
      <c r="I710" s="115"/>
      <c r="J710" s="115"/>
      <c r="K710" s="60">
        <f t="shared" si="2"/>
        <v>0</v>
      </c>
      <c r="L710" s="117"/>
    </row>
    <row r="711" ht="15.75" customHeight="1">
      <c r="A711" s="9"/>
      <c r="B711" s="164"/>
      <c r="C711" s="110"/>
      <c r="D711" s="156"/>
      <c r="E711" s="111"/>
      <c r="F711" s="112"/>
      <c r="G711" s="113"/>
      <c r="H711" s="53">
        <f t="shared" si="1"/>
        <v>0</v>
      </c>
      <c r="I711" s="115"/>
      <c r="J711" s="115"/>
      <c r="K711" s="60">
        <f t="shared" si="2"/>
        <v>0</v>
      </c>
      <c r="L711" s="117"/>
    </row>
    <row r="712" ht="15.75" customHeight="1">
      <c r="A712" s="9"/>
      <c r="B712" s="164"/>
      <c r="C712" s="110"/>
      <c r="D712" s="156"/>
      <c r="E712" s="111"/>
      <c r="F712" s="112"/>
      <c r="G712" s="113"/>
      <c r="H712" s="53">
        <f t="shared" si="1"/>
        <v>0</v>
      </c>
      <c r="I712" s="115"/>
      <c r="J712" s="115"/>
      <c r="K712" s="60">
        <f t="shared" si="2"/>
        <v>0</v>
      </c>
      <c r="L712" s="117"/>
    </row>
    <row r="713" ht="15.75" customHeight="1">
      <c r="A713" s="9"/>
      <c r="B713" s="164"/>
      <c r="C713" s="110"/>
      <c r="D713" s="156"/>
      <c r="E713" s="111"/>
      <c r="F713" s="112"/>
      <c r="G713" s="113"/>
      <c r="H713" s="53">
        <f t="shared" si="1"/>
        <v>0</v>
      </c>
      <c r="I713" s="115"/>
      <c r="J713" s="115"/>
      <c r="K713" s="60">
        <f t="shared" si="2"/>
        <v>0</v>
      </c>
      <c r="L713" s="117"/>
    </row>
    <row r="714" ht="15.75" customHeight="1">
      <c r="A714" s="9"/>
      <c r="B714" s="164"/>
      <c r="C714" s="110"/>
      <c r="D714" s="156"/>
      <c r="E714" s="111"/>
      <c r="F714" s="112"/>
      <c r="G714" s="113"/>
      <c r="H714" s="53">
        <f t="shared" si="1"/>
        <v>0</v>
      </c>
      <c r="I714" s="115"/>
      <c r="J714" s="115"/>
      <c r="K714" s="60">
        <f t="shared" si="2"/>
        <v>0</v>
      </c>
      <c r="L714" s="117"/>
    </row>
    <row r="715" ht="15.75" customHeight="1">
      <c r="A715" s="9"/>
      <c r="B715" s="164"/>
      <c r="C715" s="110"/>
      <c r="D715" s="156"/>
      <c r="E715" s="111"/>
      <c r="F715" s="112"/>
      <c r="G715" s="113"/>
      <c r="H715" s="53">
        <f t="shared" si="1"/>
        <v>0</v>
      </c>
      <c r="I715" s="115"/>
      <c r="J715" s="115"/>
      <c r="K715" s="60">
        <f t="shared" si="2"/>
        <v>0</v>
      </c>
      <c r="L715" s="117"/>
    </row>
    <row r="716" ht="15.75" customHeight="1">
      <c r="A716" s="9"/>
      <c r="B716" s="164"/>
      <c r="C716" s="110"/>
      <c r="D716" s="156"/>
      <c r="E716" s="111"/>
      <c r="F716" s="112"/>
      <c r="G716" s="113"/>
      <c r="H716" s="53">
        <f t="shared" si="1"/>
        <v>0</v>
      </c>
      <c r="I716" s="115"/>
      <c r="J716" s="115"/>
      <c r="K716" s="60">
        <f t="shared" si="2"/>
        <v>0</v>
      </c>
      <c r="L716" s="117"/>
    </row>
    <row r="717" ht="15.75" customHeight="1">
      <c r="A717" s="9"/>
      <c r="B717" s="164"/>
      <c r="C717" s="110"/>
      <c r="D717" s="156"/>
      <c r="E717" s="111"/>
      <c r="F717" s="112"/>
      <c r="G717" s="113"/>
      <c r="H717" s="53">
        <f t="shared" si="1"/>
        <v>0</v>
      </c>
      <c r="I717" s="115"/>
      <c r="J717" s="115"/>
      <c r="K717" s="60">
        <f t="shared" si="2"/>
        <v>0</v>
      </c>
      <c r="L717" s="117"/>
    </row>
    <row r="718" ht="15.75" customHeight="1">
      <c r="A718" s="9"/>
      <c r="B718" s="164"/>
      <c r="C718" s="110"/>
      <c r="D718" s="156"/>
      <c r="E718" s="111"/>
      <c r="F718" s="112"/>
      <c r="G718" s="113"/>
      <c r="H718" s="53">
        <f t="shared" si="1"/>
        <v>0</v>
      </c>
      <c r="I718" s="115"/>
      <c r="J718" s="115"/>
      <c r="K718" s="60">
        <f t="shared" si="2"/>
        <v>0</v>
      </c>
      <c r="L718" s="117"/>
    </row>
    <row r="719" ht="15.75" customHeight="1">
      <c r="A719" s="9"/>
      <c r="B719" s="164"/>
      <c r="C719" s="110"/>
      <c r="D719" s="156"/>
      <c r="E719" s="111"/>
      <c r="F719" s="112"/>
      <c r="G719" s="113"/>
      <c r="H719" s="53">
        <f t="shared" si="1"/>
        <v>0</v>
      </c>
      <c r="I719" s="115"/>
      <c r="J719" s="115"/>
      <c r="K719" s="60">
        <f t="shared" si="2"/>
        <v>0</v>
      </c>
      <c r="L719" s="117"/>
    </row>
    <row r="720" ht="15.75" customHeight="1">
      <c r="A720" s="9"/>
      <c r="B720" s="164"/>
      <c r="C720" s="110"/>
      <c r="D720" s="156"/>
      <c r="E720" s="111"/>
      <c r="F720" s="112"/>
      <c r="G720" s="113"/>
      <c r="H720" s="53">
        <f t="shared" si="1"/>
        <v>0</v>
      </c>
      <c r="I720" s="115"/>
      <c r="J720" s="115"/>
      <c r="K720" s="60">
        <f t="shared" si="2"/>
        <v>0</v>
      </c>
      <c r="L720" s="117"/>
    </row>
    <row r="721" ht="15.75" customHeight="1">
      <c r="A721" s="9"/>
      <c r="B721" s="164"/>
      <c r="C721" s="110"/>
      <c r="D721" s="156"/>
      <c r="E721" s="111"/>
      <c r="F721" s="112"/>
      <c r="G721" s="113"/>
      <c r="H721" s="53">
        <f t="shared" si="1"/>
        <v>0</v>
      </c>
      <c r="I721" s="115"/>
      <c r="J721" s="115"/>
      <c r="K721" s="60">
        <f t="shared" si="2"/>
        <v>0</v>
      </c>
      <c r="L721" s="117"/>
    </row>
    <row r="722" ht="15.75" customHeight="1">
      <c r="A722" s="9"/>
      <c r="B722" s="164"/>
      <c r="C722" s="110"/>
      <c r="D722" s="156"/>
      <c r="E722" s="111"/>
      <c r="F722" s="112"/>
      <c r="G722" s="113"/>
      <c r="H722" s="53">
        <f t="shared" si="1"/>
        <v>0</v>
      </c>
      <c r="I722" s="115"/>
      <c r="J722" s="115"/>
      <c r="K722" s="60">
        <f t="shared" si="2"/>
        <v>0</v>
      </c>
      <c r="L722" s="117"/>
    </row>
    <row r="723" ht="15.75" customHeight="1">
      <c r="A723" s="9"/>
      <c r="B723" s="164"/>
      <c r="C723" s="110"/>
      <c r="D723" s="156"/>
      <c r="E723" s="111"/>
      <c r="F723" s="112"/>
      <c r="G723" s="113"/>
      <c r="H723" s="53">
        <f t="shared" si="1"/>
        <v>0</v>
      </c>
      <c r="I723" s="115"/>
      <c r="J723" s="115"/>
      <c r="K723" s="60">
        <f t="shared" si="2"/>
        <v>0</v>
      </c>
      <c r="L723" s="117"/>
    </row>
    <row r="724" ht="15.75" customHeight="1">
      <c r="A724" s="9"/>
      <c r="B724" s="164"/>
      <c r="C724" s="110"/>
      <c r="D724" s="156"/>
      <c r="E724" s="111"/>
      <c r="F724" s="112"/>
      <c r="G724" s="113"/>
      <c r="H724" s="53">
        <f t="shared" si="1"/>
        <v>0</v>
      </c>
      <c r="I724" s="115"/>
      <c r="J724" s="115"/>
      <c r="K724" s="60">
        <f t="shared" si="2"/>
        <v>0</v>
      </c>
      <c r="L724" s="117"/>
    </row>
    <row r="725" ht="15.75" customHeight="1">
      <c r="A725" s="9"/>
      <c r="B725" s="164"/>
      <c r="C725" s="110"/>
      <c r="D725" s="156"/>
      <c r="E725" s="111"/>
      <c r="F725" s="112"/>
      <c r="G725" s="113"/>
      <c r="H725" s="53">
        <f t="shared" si="1"/>
        <v>0</v>
      </c>
      <c r="I725" s="115"/>
      <c r="J725" s="115"/>
      <c r="K725" s="60">
        <f t="shared" si="2"/>
        <v>0</v>
      </c>
      <c r="L725" s="117"/>
    </row>
    <row r="726" ht="15.75" customHeight="1">
      <c r="A726" s="9"/>
      <c r="B726" s="164"/>
      <c r="C726" s="110"/>
      <c r="D726" s="156"/>
      <c r="E726" s="111"/>
      <c r="F726" s="112"/>
      <c r="G726" s="113"/>
      <c r="H726" s="53">
        <f t="shared" si="1"/>
        <v>0</v>
      </c>
      <c r="I726" s="115"/>
      <c r="J726" s="115"/>
      <c r="K726" s="60">
        <f t="shared" si="2"/>
        <v>0</v>
      </c>
      <c r="L726" s="117"/>
    </row>
    <row r="727" ht="15.75" customHeight="1">
      <c r="A727" s="9"/>
      <c r="B727" s="164"/>
      <c r="C727" s="110"/>
      <c r="D727" s="156"/>
      <c r="E727" s="111"/>
      <c r="F727" s="112"/>
      <c r="G727" s="113"/>
      <c r="H727" s="53">
        <f t="shared" si="1"/>
        <v>0</v>
      </c>
      <c r="I727" s="115"/>
      <c r="J727" s="115"/>
      <c r="K727" s="60">
        <f t="shared" si="2"/>
        <v>0</v>
      </c>
      <c r="L727" s="117"/>
    </row>
    <row r="728" ht="15.75" customHeight="1">
      <c r="A728" s="9"/>
      <c r="B728" s="164"/>
      <c r="C728" s="110"/>
      <c r="D728" s="156"/>
      <c r="E728" s="111"/>
      <c r="F728" s="112"/>
      <c r="G728" s="113"/>
      <c r="H728" s="53">
        <f t="shared" si="1"/>
        <v>0</v>
      </c>
      <c r="I728" s="115"/>
      <c r="J728" s="115"/>
      <c r="K728" s="60">
        <f t="shared" si="2"/>
        <v>0</v>
      </c>
      <c r="L728" s="117"/>
    </row>
    <row r="729" ht="15.75" customHeight="1">
      <c r="A729" s="9"/>
      <c r="B729" s="164"/>
      <c r="C729" s="110"/>
      <c r="D729" s="156"/>
      <c r="E729" s="111"/>
      <c r="F729" s="112"/>
      <c r="G729" s="113"/>
      <c r="H729" s="53">
        <f t="shared" si="1"/>
        <v>0</v>
      </c>
      <c r="I729" s="115"/>
      <c r="J729" s="115"/>
      <c r="K729" s="60">
        <f t="shared" si="2"/>
        <v>0</v>
      </c>
      <c r="L729" s="117"/>
    </row>
    <row r="730" ht="15.75" customHeight="1">
      <c r="A730" s="9"/>
      <c r="B730" s="164"/>
      <c r="C730" s="110"/>
      <c r="D730" s="156"/>
      <c r="E730" s="111"/>
      <c r="F730" s="112"/>
      <c r="G730" s="113"/>
      <c r="H730" s="53">
        <f t="shared" si="1"/>
        <v>0</v>
      </c>
      <c r="I730" s="115"/>
      <c r="J730" s="115"/>
      <c r="K730" s="60">
        <f t="shared" si="2"/>
        <v>0</v>
      </c>
      <c r="L730" s="117"/>
    </row>
    <row r="731" ht="15.75" customHeight="1">
      <c r="A731" s="9"/>
      <c r="B731" s="164"/>
      <c r="C731" s="110"/>
      <c r="D731" s="156"/>
      <c r="E731" s="111"/>
      <c r="F731" s="112"/>
      <c r="G731" s="113"/>
      <c r="H731" s="53">
        <f t="shared" si="1"/>
        <v>0</v>
      </c>
      <c r="I731" s="115"/>
      <c r="J731" s="115"/>
      <c r="K731" s="60">
        <f t="shared" si="2"/>
        <v>0</v>
      </c>
      <c r="L731" s="117"/>
    </row>
    <row r="732" ht="15.75" customHeight="1">
      <c r="A732" s="9"/>
      <c r="B732" s="164"/>
      <c r="C732" s="110"/>
      <c r="D732" s="156"/>
      <c r="E732" s="111"/>
      <c r="F732" s="112"/>
      <c r="G732" s="113"/>
      <c r="H732" s="53">
        <f t="shared" si="1"/>
        <v>0</v>
      </c>
      <c r="I732" s="115"/>
      <c r="J732" s="115"/>
      <c r="K732" s="60">
        <f t="shared" si="2"/>
        <v>0</v>
      </c>
      <c r="L732" s="117"/>
    </row>
    <row r="733" ht="15.75" customHeight="1">
      <c r="A733" s="9"/>
      <c r="B733" s="164"/>
      <c r="C733" s="110"/>
      <c r="D733" s="156"/>
      <c r="E733" s="111"/>
      <c r="F733" s="112"/>
      <c r="G733" s="113"/>
      <c r="H733" s="53">
        <f t="shared" si="1"/>
        <v>0</v>
      </c>
      <c r="I733" s="115"/>
      <c r="J733" s="115"/>
      <c r="K733" s="60">
        <f t="shared" si="2"/>
        <v>0</v>
      </c>
      <c r="L733" s="117"/>
    </row>
    <row r="734" ht="15.75" customHeight="1">
      <c r="A734" s="9"/>
      <c r="B734" s="164"/>
      <c r="C734" s="110"/>
      <c r="D734" s="156"/>
      <c r="E734" s="111"/>
      <c r="F734" s="112"/>
      <c r="G734" s="113"/>
      <c r="H734" s="53">
        <f t="shared" si="1"/>
        <v>0</v>
      </c>
      <c r="I734" s="115"/>
      <c r="J734" s="115"/>
      <c r="K734" s="60">
        <f t="shared" si="2"/>
        <v>0</v>
      </c>
      <c r="L734" s="117"/>
    </row>
    <row r="735" ht="15.75" customHeight="1">
      <c r="A735" s="9"/>
      <c r="B735" s="164"/>
      <c r="C735" s="110"/>
      <c r="D735" s="156"/>
      <c r="E735" s="111"/>
      <c r="F735" s="112"/>
      <c r="G735" s="113"/>
      <c r="H735" s="53">
        <f t="shared" si="1"/>
        <v>0</v>
      </c>
      <c r="I735" s="115"/>
      <c r="J735" s="115"/>
      <c r="K735" s="60">
        <f t="shared" si="2"/>
        <v>0</v>
      </c>
      <c r="L735" s="117"/>
    </row>
    <row r="736" ht="15.75" customHeight="1">
      <c r="A736" s="9"/>
      <c r="B736" s="164"/>
      <c r="C736" s="110"/>
      <c r="D736" s="156"/>
      <c r="E736" s="111"/>
      <c r="F736" s="112"/>
      <c r="G736" s="113"/>
      <c r="H736" s="53">
        <f t="shared" si="1"/>
        <v>0</v>
      </c>
      <c r="I736" s="115"/>
      <c r="J736" s="115"/>
      <c r="K736" s="60">
        <f t="shared" si="2"/>
        <v>0</v>
      </c>
      <c r="L736" s="117"/>
    </row>
    <row r="737" ht="15.75" customHeight="1">
      <c r="A737" s="9"/>
      <c r="B737" s="164"/>
      <c r="C737" s="110"/>
      <c r="D737" s="156"/>
      <c r="E737" s="111"/>
      <c r="F737" s="112"/>
      <c r="G737" s="113"/>
      <c r="H737" s="53">
        <f t="shared" si="1"/>
        <v>0</v>
      </c>
      <c r="I737" s="115"/>
      <c r="J737" s="115"/>
      <c r="K737" s="60">
        <f t="shared" si="2"/>
        <v>0</v>
      </c>
      <c r="L737" s="117"/>
    </row>
    <row r="738" ht="15.75" customHeight="1">
      <c r="A738" s="9"/>
      <c r="B738" s="164"/>
      <c r="C738" s="110"/>
      <c r="D738" s="156"/>
      <c r="E738" s="111"/>
      <c r="F738" s="112"/>
      <c r="G738" s="113"/>
      <c r="H738" s="53">
        <f t="shared" si="1"/>
        <v>0</v>
      </c>
      <c r="I738" s="115"/>
      <c r="J738" s="115"/>
      <c r="K738" s="60">
        <f t="shared" si="2"/>
        <v>0</v>
      </c>
      <c r="L738" s="117"/>
    </row>
    <row r="739" ht="15.75" customHeight="1">
      <c r="A739" s="9"/>
      <c r="B739" s="164"/>
      <c r="C739" s="110"/>
      <c r="D739" s="156"/>
      <c r="E739" s="111"/>
      <c r="F739" s="112"/>
      <c r="G739" s="113"/>
      <c r="H739" s="53">
        <f t="shared" si="1"/>
        <v>0</v>
      </c>
      <c r="I739" s="115"/>
      <c r="J739" s="115"/>
      <c r="K739" s="60">
        <f t="shared" si="2"/>
        <v>0</v>
      </c>
      <c r="L739" s="117"/>
    </row>
    <row r="740" ht="15.75" customHeight="1">
      <c r="A740" s="9"/>
      <c r="B740" s="164"/>
      <c r="C740" s="110"/>
      <c r="D740" s="156"/>
      <c r="E740" s="111"/>
      <c r="F740" s="112"/>
      <c r="G740" s="113"/>
      <c r="H740" s="53">
        <f t="shared" si="1"/>
        <v>0</v>
      </c>
      <c r="I740" s="115"/>
      <c r="J740" s="115"/>
      <c r="K740" s="60">
        <f t="shared" si="2"/>
        <v>0</v>
      </c>
      <c r="L740" s="117"/>
    </row>
    <row r="741" ht="15.75" customHeight="1">
      <c r="A741" s="9"/>
      <c r="B741" s="164"/>
      <c r="C741" s="110"/>
      <c r="D741" s="156"/>
      <c r="E741" s="111"/>
      <c r="F741" s="112"/>
      <c r="G741" s="113"/>
      <c r="H741" s="53">
        <f t="shared" si="1"/>
        <v>0</v>
      </c>
      <c r="I741" s="115"/>
      <c r="J741" s="115"/>
      <c r="K741" s="60">
        <f t="shared" si="2"/>
        <v>0</v>
      </c>
      <c r="L741" s="117"/>
    </row>
    <row r="742" ht="15.75" customHeight="1">
      <c r="A742" s="9"/>
      <c r="B742" s="164"/>
      <c r="C742" s="110"/>
      <c r="D742" s="156"/>
      <c r="E742" s="111"/>
      <c r="F742" s="112"/>
      <c r="G742" s="113"/>
      <c r="H742" s="53">
        <f t="shared" si="1"/>
        <v>0</v>
      </c>
      <c r="I742" s="115"/>
      <c r="J742" s="115"/>
      <c r="K742" s="60">
        <f t="shared" si="2"/>
        <v>0</v>
      </c>
      <c r="L742" s="117"/>
    </row>
    <row r="743" ht="15.75" customHeight="1">
      <c r="A743" s="9"/>
      <c r="B743" s="164"/>
      <c r="C743" s="110"/>
      <c r="D743" s="156"/>
      <c r="E743" s="111"/>
      <c r="F743" s="112"/>
      <c r="G743" s="113"/>
      <c r="H743" s="53">
        <f t="shared" si="1"/>
        <v>0</v>
      </c>
      <c r="I743" s="115"/>
      <c r="J743" s="115"/>
      <c r="K743" s="60">
        <f t="shared" si="2"/>
        <v>0</v>
      </c>
      <c r="L743" s="117"/>
    </row>
    <row r="744" ht="15.75" customHeight="1">
      <c r="A744" s="9"/>
      <c r="B744" s="164"/>
      <c r="C744" s="110"/>
      <c r="D744" s="156"/>
      <c r="E744" s="111"/>
      <c r="F744" s="112"/>
      <c r="G744" s="113"/>
      <c r="H744" s="53">
        <f t="shared" si="1"/>
        <v>0</v>
      </c>
      <c r="I744" s="115"/>
      <c r="J744" s="115"/>
      <c r="K744" s="60">
        <f t="shared" si="2"/>
        <v>0</v>
      </c>
      <c r="L744" s="117"/>
    </row>
    <row r="745" ht="15.75" customHeight="1">
      <c r="A745" s="9"/>
      <c r="B745" s="164"/>
      <c r="C745" s="110"/>
      <c r="D745" s="156"/>
      <c r="E745" s="111"/>
      <c r="F745" s="112"/>
      <c r="G745" s="113"/>
      <c r="H745" s="53">
        <f t="shared" si="1"/>
        <v>0</v>
      </c>
      <c r="I745" s="115"/>
      <c r="J745" s="115"/>
      <c r="K745" s="60">
        <f t="shared" si="2"/>
        <v>0</v>
      </c>
      <c r="L745" s="117"/>
    </row>
    <row r="746" ht="15.75" customHeight="1">
      <c r="A746" s="9"/>
      <c r="B746" s="164"/>
      <c r="C746" s="110"/>
      <c r="D746" s="156"/>
      <c r="E746" s="111"/>
      <c r="F746" s="112"/>
      <c r="G746" s="113"/>
      <c r="H746" s="53">
        <f t="shared" si="1"/>
        <v>0</v>
      </c>
      <c r="I746" s="115"/>
      <c r="J746" s="115"/>
      <c r="K746" s="60">
        <f t="shared" si="2"/>
        <v>0</v>
      </c>
      <c r="L746" s="117"/>
    </row>
    <row r="747" ht="15.75" customHeight="1">
      <c r="A747" s="9"/>
      <c r="B747" s="164"/>
      <c r="C747" s="110"/>
      <c r="D747" s="156"/>
      <c r="E747" s="111"/>
      <c r="F747" s="112"/>
      <c r="G747" s="113"/>
      <c r="H747" s="53">
        <f t="shared" si="1"/>
        <v>0</v>
      </c>
      <c r="I747" s="115"/>
      <c r="J747" s="115"/>
      <c r="K747" s="60">
        <f t="shared" si="2"/>
        <v>0</v>
      </c>
      <c r="L747" s="117"/>
    </row>
    <row r="748" ht="15.75" customHeight="1">
      <c r="A748" s="9"/>
      <c r="B748" s="164"/>
      <c r="C748" s="110"/>
      <c r="D748" s="156"/>
      <c r="E748" s="111"/>
      <c r="F748" s="112"/>
      <c r="G748" s="113"/>
      <c r="H748" s="53">
        <f t="shared" si="1"/>
        <v>0</v>
      </c>
      <c r="I748" s="115"/>
      <c r="J748" s="115"/>
      <c r="K748" s="60">
        <f t="shared" si="2"/>
        <v>0</v>
      </c>
      <c r="L748" s="117"/>
    </row>
    <row r="749" ht="15.75" customHeight="1">
      <c r="A749" s="9"/>
      <c r="B749" s="164"/>
      <c r="C749" s="110"/>
      <c r="D749" s="156"/>
      <c r="E749" s="111"/>
      <c r="F749" s="112"/>
      <c r="G749" s="113"/>
      <c r="H749" s="53">
        <f t="shared" si="1"/>
        <v>0</v>
      </c>
      <c r="I749" s="115"/>
      <c r="J749" s="115"/>
      <c r="K749" s="60">
        <f t="shared" si="2"/>
        <v>0</v>
      </c>
      <c r="L749" s="117"/>
    </row>
    <row r="750" ht="15.75" customHeight="1">
      <c r="A750" s="9"/>
      <c r="B750" s="164"/>
      <c r="C750" s="110"/>
      <c r="D750" s="156"/>
      <c r="E750" s="111"/>
      <c r="F750" s="112"/>
      <c r="G750" s="113"/>
      <c r="H750" s="53">
        <f t="shared" si="1"/>
        <v>0</v>
      </c>
      <c r="I750" s="115"/>
      <c r="J750" s="115"/>
      <c r="K750" s="60">
        <f t="shared" si="2"/>
        <v>0</v>
      </c>
      <c r="L750" s="117"/>
    </row>
    <row r="751" ht="15.75" customHeight="1">
      <c r="A751" s="9"/>
      <c r="B751" s="164"/>
      <c r="C751" s="110"/>
      <c r="D751" s="156"/>
      <c r="E751" s="111"/>
      <c r="F751" s="112"/>
      <c r="G751" s="113"/>
      <c r="H751" s="53">
        <f t="shared" si="1"/>
        <v>0</v>
      </c>
      <c r="I751" s="115"/>
      <c r="J751" s="115"/>
      <c r="K751" s="60">
        <f t="shared" si="2"/>
        <v>0</v>
      </c>
      <c r="L751" s="117"/>
    </row>
    <row r="752" ht="15.75" customHeight="1">
      <c r="A752" s="9"/>
      <c r="B752" s="164"/>
      <c r="C752" s="110"/>
      <c r="D752" s="156"/>
      <c r="E752" s="111"/>
      <c r="F752" s="112"/>
      <c r="G752" s="113"/>
      <c r="H752" s="53">
        <f t="shared" si="1"/>
        <v>0</v>
      </c>
      <c r="I752" s="115"/>
      <c r="J752" s="115"/>
      <c r="K752" s="60">
        <f t="shared" si="2"/>
        <v>0</v>
      </c>
      <c r="L752" s="117"/>
    </row>
    <row r="753" ht="15.75" customHeight="1">
      <c r="A753" s="9"/>
      <c r="B753" s="164"/>
      <c r="C753" s="110"/>
      <c r="D753" s="156"/>
      <c r="E753" s="111"/>
      <c r="F753" s="112"/>
      <c r="G753" s="113"/>
      <c r="H753" s="53">
        <f t="shared" si="1"/>
        <v>0</v>
      </c>
      <c r="I753" s="115"/>
      <c r="J753" s="115"/>
      <c r="K753" s="60">
        <f t="shared" si="2"/>
        <v>0</v>
      </c>
      <c r="L753" s="117"/>
    </row>
    <row r="754" ht="15.75" customHeight="1">
      <c r="A754" s="9"/>
      <c r="B754" s="164"/>
      <c r="C754" s="110"/>
      <c r="D754" s="156"/>
      <c r="E754" s="111"/>
      <c r="F754" s="112"/>
      <c r="G754" s="113"/>
      <c r="H754" s="53">
        <f t="shared" si="1"/>
        <v>0</v>
      </c>
      <c r="I754" s="115"/>
      <c r="J754" s="115"/>
      <c r="K754" s="60">
        <f t="shared" si="2"/>
        <v>0</v>
      </c>
      <c r="L754" s="117"/>
    </row>
    <row r="755" ht="15.75" customHeight="1">
      <c r="A755" s="9"/>
      <c r="B755" s="164"/>
      <c r="C755" s="110"/>
      <c r="D755" s="156"/>
      <c r="E755" s="111"/>
      <c r="F755" s="112"/>
      <c r="G755" s="113"/>
      <c r="H755" s="53">
        <f t="shared" si="1"/>
        <v>0</v>
      </c>
      <c r="I755" s="115"/>
      <c r="J755" s="115"/>
      <c r="K755" s="60">
        <f t="shared" si="2"/>
        <v>0</v>
      </c>
      <c r="L755" s="117"/>
    </row>
    <row r="756" ht="15.75" customHeight="1">
      <c r="A756" s="9"/>
      <c r="B756" s="164"/>
      <c r="C756" s="110"/>
      <c r="D756" s="156"/>
      <c r="E756" s="111"/>
      <c r="F756" s="112"/>
      <c r="G756" s="113"/>
      <c r="H756" s="53">
        <f t="shared" si="1"/>
        <v>0</v>
      </c>
      <c r="I756" s="115"/>
      <c r="J756" s="115"/>
      <c r="K756" s="60">
        <f t="shared" si="2"/>
        <v>0</v>
      </c>
      <c r="L756" s="117"/>
    </row>
    <row r="757" ht="15.75" customHeight="1">
      <c r="A757" s="9"/>
      <c r="B757" s="164"/>
      <c r="C757" s="110"/>
      <c r="D757" s="156"/>
      <c r="E757" s="111"/>
      <c r="F757" s="112"/>
      <c r="G757" s="113"/>
      <c r="H757" s="53">
        <f t="shared" si="1"/>
        <v>0</v>
      </c>
      <c r="I757" s="115"/>
      <c r="J757" s="115"/>
      <c r="K757" s="60">
        <f t="shared" si="2"/>
        <v>0</v>
      </c>
      <c r="L757" s="117"/>
    </row>
    <row r="758" ht="15.75" customHeight="1">
      <c r="A758" s="9"/>
      <c r="B758" s="164"/>
      <c r="C758" s="110"/>
      <c r="D758" s="156"/>
      <c r="E758" s="111"/>
      <c r="F758" s="112"/>
      <c r="G758" s="113"/>
      <c r="H758" s="53">
        <f t="shared" si="1"/>
        <v>0</v>
      </c>
      <c r="I758" s="115"/>
      <c r="J758" s="115"/>
      <c r="K758" s="60">
        <f t="shared" si="2"/>
        <v>0</v>
      </c>
      <c r="L758" s="117"/>
    </row>
    <row r="759" ht="15.75" customHeight="1">
      <c r="A759" s="9"/>
      <c r="B759" s="164"/>
      <c r="C759" s="110"/>
      <c r="D759" s="156"/>
      <c r="E759" s="111"/>
      <c r="F759" s="112"/>
      <c r="G759" s="113"/>
      <c r="H759" s="53">
        <f t="shared" si="1"/>
        <v>0</v>
      </c>
      <c r="I759" s="115"/>
      <c r="J759" s="115"/>
      <c r="K759" s="60">
        <f t="shared" si="2"/>
        <v>0</v>
      </c>
      <c r="L759" s="117"/>
    </row>
    <row r="760" ht="15.75" customHeight="1">
      <c r="A760" s="9"/>
      <c r="B760" s="164"/>
      <c r="C760" s="110"/>
      <c r="D760" s="156"/>
      <c r="E760" s="111"/>
      <c r="F760" s="112"/>
      <c r="G760" s="113"/>
      <c r="H760" s="53">
        <f t="shared" si="1"/>
        <v>0</v>
      </c>
      <c r="I760" s="115"/>
      <c r="J760" s="115"/>
      <c r="K760" s="60">
        <f t="shared" si="2"/>
        <v>0</v>
      </c>
      <c r="L760" s="117"/>
    </row>
    <row r="761" ht="15.75" customHeight="1">
      <c r="A761" s="9"/>
      <c r="B761" s="164"/>
      <c r="C761" s="110"/>
      <c r="D761" s="156"/>
      <c r="E761" s="111"/>
      <c r="F761" s="112"/>
      <c r="G761" s="113"/>
      <c r="H761" s="53">
        <f t="shared" si="1"/>
        <v>0</v>
      </c>
      <c r="I761" s="115"/>
      <c r="J761" s="115"/>
      <c r="K761" s="60">
        <f t="shared" si="2"/>
        <v>0</v>
      </c>
      <c r="L761" s="117"/>
    </row>
    <row r="762" ht="15.75" customHeight="1">
      <c r="A762" s="9"/>
      <c r="B762" s="164"/>
      <c r="C762" s="110"/>
      <c r="D762" s="156"/>
      <c r="E762" s="111"/>
      <c r="F762" s="112"/>
      <c r="G762" s="113"/>
      <c r="H762" s="53">
        <f t="shared" si="1"/>
        <v>0</v>
      </c>
      <c r="I762" s="115"/>
      <c r="J762" s="115"/>
      <c r="K762" s="60">
        <f t="shared" si="2"/>
        <v>0</v>
      </c>
      <c r="L762" s="117"/>
    </row>
    <row r="763" ht="15.75" customHeight="1">
      <c r="A763" s="9"/>
      <c r="B763" s="164"/>
      <c r="C763" s="110"/>
      <c r="D763" s="156"/>
      <c r="E763" s="111"/>
      <c r="F763" s="112"/>
      <c r="G763" s="113"/>
      <c r="H763" s="53">
        <f t="shared" si="1"/>
        <v>0</v>
      </c>
      <c r="I763" s="115"/>
      <c r="J763" s="115"/>
      <c r="K763" s="60">
        <f t="shared" si="2"/>
        <v>0</v>
      </c>
      <c r="L763" s="117"/>
    </row>
    <row r="764" ht="15.75" customHeight="1">
      <c r="A764" s="9"/>
      <c r="B764" s="164"/>
      <c r="C764" s="110"/>
      <c r="D764" s="156"/>
      <c r="E764" s="111"/>
      <c r="F764" s="112"/>
      <c r="G764" s="113"/>
      <c r="H764" s="53">
        <f t="shared" si="1"/>
        <v>0</v>
      </c>
      <c r="I764" s="115"/>
      <c r="J764" s="115"/>
      <c r="K764" s="60">
        <f t="shared" si="2"/>
        <v>0</v>
      </c>
      <c r="L764" s="117"/>
    </row>
    <row r="765" ht="15.75" customHeight="1">
      <c r="A765" s="9"/>
      <c r="B765" s="164"/>
      <c r="C765" s="110"/>
      <c r="D765" s="156"/>
      <c r="E765" s="111"/>
      <c r="F765" s="112"/>
      <c r="G765" s="113"/>
      <c r="H765" s="53">
        <f t="shared" si="1"/>
        <v>0</v>
      </c>
      <c r="I765" s="115"/>
      <c r="J765" s="115"/>
      <c r="K765" s="60">
        <f t="shared" si="2"/>
        <v>0</v>
      </c>
      <c r="L765" s="117"/>
    </row>
    <row r="766" ht="15.75" customHeight="1">
      <c r="A766" s="9"/>
      <c r="B766" s="164"/>
      <c r="C766" s="110"/>
      <c r="D766" s="156"/>
      <c r="E766" s="111"/>
      <c r="F766" s="112"/>
      <c r="G766" s="113"/>
      <c r="H766" s="53">
        <f t="shared" si="1"/>
        <v>0</v>
      </c>
      <c r="I766" s="115"/>
      <c r="J766" s="115"/>
      <c r="K766" s="60">
        <f t="shared" si="2"/>
        <v>0</v>
      </c>
      <c r="L766" s="117"/>
    </row>
    <row r="767" ht="15.75" customHeight="1">
      <c r="A767" s="9"/>
      <c r="B767" s="164"/>
      <c r="C767" s="110"/>
      <c r="D767" s="156"/>
      <c r="E767" s="111"/>
      <c r="F767" s="112"/>
      <c r="G767" s="113"/>
      <c r="H767" s="53">
        <f t="shared" si="1"/>
        <v>0</v>
      </c>
      <c r="I767" s="115"/>
      <c r="J767" s="115"/>
      <c r="K767" s="60">
        <f t="shared" si="2"/>
        <v>0</v>
      </c>
      <c r="L767" s="117"/>
    </row>
    <row r="768" ht="15.75" customHeight="1">
      <c r="A768" s="9"/>
      <c r="B768" s="164"/>
      <c r="C768" s="110"/>
      <c r="D768" s="156"/>
      <c r="E768" s="111"/>
      <c r="F768" s="112"/>
      <c r="G768" s="113"/>
      <c r="H768" s="53">
        <f t="shared" si="1"/>
        <v>0</v>
      </c>
      <c r="I768" s="115"/>
      <c r="J768" s="115"/>
      <c r="K768" s="60">
        <f t="shared" si="2"/>
        <v>0</v>
      </c>
      <c r="L768" s="117"/>
    </row>
    <row r="769" ht="15.75" customHeight="1">
      <c r="A769" s="9"/>
      <c r="B769" s="164"/>
      <c r="C769" s="110"/>
      <c r="D769" s="156"/>
      <c r="E769" s="111"/>
      <c r="F769" s="112"/>
      <c r="G769" s="113"/>
      <c r="H769" s="53">
        <f t="shared" si="1"/>
        <v>0</v>
      </c>
      <c r="I769" s="115"/>
      <c r="J769" s="115"/>
      <c r="K769" s="60">
        <f t="shared" si="2"/>
        <v>0</v>
      </c>
      <c r="L769" s="117"/>
    </row>
    <row r="770" ht="15.75" customHeight="1">
      <c r="A770" s="9"/>
      <c r="B770" s="164"/>
      <c r="C770" s="110"/>
      <c r="D770" s="156"/>
      <c r="E770" s="111"/>
      <c r="F770" s="112"/>
      <c r="G770" s="113"/>
      <c r="H770" s="53">
        <f t="shared" si="1"/>
        <v>0</v>
      </c>
      <c r="I770" s="115"/>
      <c r="J770" s="115"/>
      <c r="K770" s="60">
        <f t="shared" si="2"/>
        <v>0</v>
      </c>
      <c r="L770" s="117"/>
    </row>
    <row r="771" ht="15.75" customHeight="1">
      <c r="A771" s="9"/>
      <c r="B771" s="164"/>
      <c r="C771" s="110"/>
      <c r="D771" s="156"/>
      <c r="E771" s="111"/>
      <c r="F771" s="112"/>
      <c r="G771" s="113"/>
      <c r="H771" s="53">
        <f t="shared" si="1"/>
        <v>0</v>
      </c>
      <c r="I771" s="115"/>
      <c r="J771" s="115"/>
      <c r="K771" s="60">
        <f t="shared" si="2"/>
        <v>0</v>
      </c>
      <c r="L771" s="117"/>
    </row>
    <row r="772" ht="15.75" customHeight="1">
      <c r="A772" s="9"/>
      <c r="B772" s="164"/>
      <c r="C772" s="110"/>
      <c r="D772" s="156"/>
      <c r="E772" s="111"/>
      <c r="F772" s="112"/>
      <c r="G772" s="113"/>
      <c r="H772" s="53">
        <f t="shared" si="1"/>
        <v>0</v>
      </c>
      <c r="I772" s="115"/>
      <c r="J772" s="115"/>
      <c r="K772" s="60">
        <f t="shared" si="2"/>
        <v>0</v>
      </c>
      <c r="L772" s="117"/>
    </row>
    <row r="773" ht="15.75" customHeight="1">
      <c r="A773" s="9"/>
      <c r="B773" s="164"/>
      <c r="C773" s="110"/>
      <c r="D773" s="156"/>
      <c r="E773" s="111"/>
      <c r="F773" s="112"/>
      <c r="G773" s="113"/>
      <c r="H773" s="53">
        <f t="shared" si="1"/>
        <v>0</v>
      </c>
      <c r="I773" s="115"/>
      <c r="J773" s="115"/>
      <c r="K773" s="60">
        <f t="shared" si="2"/>
        <v>0</v>
      </c>
      <c r="L773" s="117"/>
    </row>
    <row r="774" ht="15.75" customHeight="1">
      <c r="A774" s="9"/>
      <c r="B774" s="164"/>
      <c r="C774" s="110"/>
      <c r="D774" s="156"/>
      <c r="E774" s="111"/>
      <c r="F774" s="112"/>
      <c r="G774" s="113"/>
      <c r="H774" s="53">
        <f t="shared" si="1"/>
        <v>0</v>
      </c>
      <c r="I774" s="115"/>
      <c r="J774" s="115"/>
      <c r="K774" s="60">
        <f t="shared" si="2"/>
        <v>0</v>
      </c>
      <c r="L774" s="117"/>
    </row>
    <row r="775" ht="15.75" customHeight="1">
      <c r="A775" s="9"/>
      <c r="B775" s="164"/>
      <c r="C775" s="110"/>
      <c r="D775" s="156"/>
      <c r="E775" s="111"/>
      <c r="F775" s="112"/>
      <c r="G775" s="113"/>
      <c r="H775" s="53">
        <f t="shared" si="1"/>
        <v>0</v>
      </c>
      <c r="I775" s="115"/>
      <c r="J775" s="115"/>
      <c r="K775" s="60">
        <f t="shared" si="2"/>
        <v>0</v>
      </c>
      <c r="L775" s="117"/>
    </row>
    <row r="776" ht="15.75" customHeight="1">
      <c r="A776" s="9"/>
      <c r="B776" s="164"/>
      <c r="C776" s="110"/>
      <c r="D776" s="156"/>
      <c r="E776" s="111"/>
      <c r="F776" s="112"/>
      <c r="G776" s="113"/>
      <c r="H776" s="53">
        <f t="shared" si="1"/>
        <v>0</v>
      </c>
      <c r="I776" s="115"/>
      <c r="J776" s="115"/>
      <c r="K776" s="60">
        <f t="shared" si="2"/>
        <v>0</v>
      </c>
      <c r="L776" s="117"/>
    </row>
    <row r="777" ht="15.75" customHeight="1">
      <c r="A777" s="9"/>
      <c r="B777" s="164"/>
      <c r="C777" s="110"/>
      <c r="D777" s="156"/>
      <c r="E777" s="111"/>
      <c r="F777" s="112"/>
      <c r="G777" s="113"/>
      <c r="H777" s="53">
        <f t="shared" si="1"/>
        <v>0</v>
      </c>
      <c r="I777" s="115"/>
      <c r="J777" s="115"/>
      <c r="K777" s="60">
        <f t="shared" si="2"/>
        <v>0</v>
      </c>
      <c r="L777" s="117"/>
    </row>
    <row r="778" ht="15.75" customHeight="1">
      <c r="A778" s="9"/>
      <c r="B778" s="164"/>
      <c r="C778" s="110"/>
      <c r="D778" s="156"/>
      <c r="E778" s="111"/>
      <c r="F778" s="112"/>
      <c r="G778" s="113"/>
      <c r="H778" s="53">
        <f t="shared" si="1"/>
        <v>0</v>
      </c>
      <c r="I778" s="115"/>
      <c r="J778" s="115"/>
      <c r="K778" s="60">
        <f t="shared" si="2"/>
        <v>0</v>
      </c>
      <c r="L778" s="117"/>
    </row>
    <row r="779" ht="15.75" customHeight="1">
      <c r="A779" s="9"/>
      <c r="B779" s="164"/>
      <c r="C779" s="110"/>
      <c r="D779" s="156"/>
      <c r="E779" s="111"/>
      <c r="F779" s="112"/>
      <c r="G779" s="113"/>
      <c r="H779" s="53">
        <f t="shared" si="1"/>
        <v>0</v>
      </c>
      <c r="I779" s="115"/>
      <c r="J779" s="115"/>
      <c r="K779" s="60">
        <f t="shared" si="2"/>
        <v>0</v>
      </c>
      <c r="L779" s="117"/>
    </row>
    <row r="780" ht="15.75" customHeight="1">
      <c r="A780" s="9"/>
      <c r="B780" s="164"/>
      <c r="C780" s="110"/>
      <c r="D780" s="156"/>
      <c r="E780" s="111"/>
      <c r="F780" s="112"/>
      <c r="G780" s="113"/>
      <c r="H780" s="53">
        <f t="shared" si="1"/>
        <v>0</v>
      </c>
      <c r="I780" s="115"/>
      <c r="J780" s="115"/>
      <c r="K780" s="60">
        <f t="shared" si="2"/>
        <v>0</v>
      </c>
      <c r="L780" s="117"/>
    </row>
    <row r="781" ht="15.75" customHeight="1">
      <c r="A781" s="9"/>
      <c r="B781" s="164"/>
      <c r="C781" s="110"/>
      <c r="D781" s="156"/>
      <c r="E781" s="111"/>
      <c r="F781" s="112"/>
      <c r="G781" s="113"/>
      <c r="H781" s="53">
        <f t="shared" si="1"/>
        <v>0</v>
      </c>
      <c r="I781" s="115"/>
      <c r="J781" s="115"/>
      <c r="K781" s="60">
        <f t="shared" si="2"/>
        <v>0</v>
      </c>
      <c r="L781" s="117"/>
    </row>
    <row r="782" ht="15.75" customHeight="1">
      <c r="A782" s="9"/>
      <c r="B782" s="164"/>
      <c r="C782" s="110"/>
      <c r="D782" s="156"/>
      <c r="E782" s="111"/>
      <c r="F782" s="112"/>
      <c r="G782" s="113"/>
      <c r="H782" s="53">
        <f t="shared" si="1"/>
        <v>0</v>
      </c>
      <c r="I782" s="115"/>
      <c r="J782" s="115"/>
      <c r="K782" s="60">
        <f t="shared" si="2"/>
        <v>0</v>
      </c>
      <c r="L782" s="117"/>
    </row>
    <row r="783" ht="15.75" customHeight="1">
      <c r="A783" s="9"/>
      <c r="B783" s="164"/>
      <c r="C783" s="110"/>
      <c r="D783" s="156"/>
      <c r="E783" s="111"/>
      <c r="F783" s="112"/>
      <c r="G783" s="113"/>
      <c r="H783" s="53">
        <f t="shared" si="1"/>
        <v>0</v>
      </c>
      <c r="I783" s="115"/>
      <c r="J783" s="115"/>
      <c r="K783" s="60">
        <f t="shared" si="2"/>
        <v>0</v>
      </c>
      <c r="L783" s="117"/>
    </row>
    <row r="784" ht="15.75" customHeight="1">
      <c r="A784" s="9"/>
      <c r="B784" s="164"/>
      <c r="C784" s="110"/>
      <c r="D784" s="156"/>
      <c r="E784" s="111"/>
      <c r="F784" s="112"/>
      <c r="G784" s="113"/>
      <c r="H784" s="53">
        <f t="shared" si="1"/>
        <v>0</v>
      </c>
      <c r="I784" s="115"/>
      <c r="J784" s="115"/>
      <c r="K784" s="60">
        <f t="shared" si="2"/>
        <v>0</v>
      </c>
      <c r="L784" s="117"/>
    </row>
    <row r="785" ht="15.75" customHeight="1">
      <c r="A785" s="9"/>
      <c r="B785" s="164"/>
      <c r="C785" s="110"/>
      <c r="D785" s="156"/>
      <c r="E785" s="111"/>
      <c r="F785" s="112"/>
      <c r="G785" s="113"/>
      <c r="H785" s="53">
        <f t="shared" si="1"/>
        <v>0</v>
      </c>
      <c r="I785" s="115"/>
      <c r="J785" s="115"/>
      <c r="K785" s="60">
        <f t="shared" si="2"/>
        <v>0</v>
      </c>
      <c r="L785" s="117"/>
    </row>
    <row r="786" ht="15.75" customHeight="1">
      <c r="A786" s="9"/>
      <c r="B786" s="164"/>
      <c r="C786" s="110"/>
      <c r="D786" s="156"/>
      <c r="E786" s="111"/>
      <c r="F786" s="112"/>
      <c r="G786" s="113"/>
      <c r="H786" s="53">
        <f t="shared" si="1"/>
        <v>0</v>
      </c>
      <c r="I786" s="115"/>
      <c r="J786" s="115"/>
      <c r="K786" s="60">
        <f t="shared" si="2"/>
        <v>0</v>
      </c>
      <c r="L786" s="117"/>
    </row>
    <row r="787" ht="15.75" customHeight="1">
      <c r="A787" s="9"/>
      <c r="B787" s="164"/>
      <c r="C787" s="110"/>
      <c r="D787" s="156"/>
      <c r="E787" s="111"/>
      <c r="F787" s="112"/>
      <c r="G787" s="113"/>
      <c r="H787" s="53">
        <f t="shared" si="1"/>
        <v>0</v>
      </c>
      <c r="I787" s="115"/>
      <c r="J787" s="115"/>
      <c r="K787" s="60">
        <f t="shared" si="2"/>
        <v>0</v>
      </c>
      <c r="L787" s="117"/>
    </row>
    <row r="788" ht="15.75" customHeight="1">
      <c r="A788" s="9"/>
      <c r="B788" s="164"/>
      <c r="C788" s="110"/>
      <c r="D788" s="156"/>
      <c r="E788" s="111"/>
      <c r="F788" s="112"/>
      <c r="G788" s="113"/>
      <c r="H788" s="53">
        <f t="shared" si="1"/>
        <v>0</v>
      </c>
      <c r="I788" s="115"/>
      <c r="J788" s="115"/>
      <c r="K788" s="60">
        <f t="shared" si="2"/>
        <v>0</v>
      </c>
      <c r="L788" s="117"/>
    </row>
    <row r="789" ht="15.75" customHeight="1">
      <c r="A789" s="9"/>
      <c r="B789" s="164"/>
      <c r="C789" s="110"/>
      <c r="D789" s="156"/>
      <c r="E789" s="111"/>
      <c r="F789" s="112"/>
      <c r="G789" s="113"/>
      <c r="H789" s="53">
        <f t="shared" si="1"/>
        <v>0</v>
      </c>
      <c r="I789" s="115"/>
      <c r="J789" s="115"/>
      <c r="K789" s="60">
        <f t="shared" si="2"/>
        <v>0</v>
      </c>
      <c r="L789" s="117"/>
    </row>
    <row r="790" ht="15.75" customHeight="1">
      <c r="A790" s="9"/>
      <c r="B790" s="164"/>
      <c r="C790" s="110"/>
      <c r="D790" s="156"/>
      <c r="E790" s="111"/>
      <c r="F790" s="112"/>
      <c r="G790" s="113"/>
      <c r="H790" s="53">
        <f t="shared" si="1"/>
        <v>0</v>
      </c>
      <c r="I790" s="115"/>
      <c r="J790" s="115"/>
      <c r="K790" s="60">
        <f t="shared" si="2"/>
        <v>0</v>
      </c>
      <c r="L790" s="117"/>
    </row>
    <row r="791" ht="15.75" customHeight="1">
      <c r="A791" s="9"/>
      <c r="B791" s="164"/>
      <c r="C791" s="110"/>
      <c r="D791" s="156"/>
      <c r="E791" s="111"/>
      <c r="F791" s="112"/>
      <c r="G791" s="113"/>
      <c r="H791" s="53">
        <f t="shared" si="1"/>
        <v>0</v>
      </c>
      <c r="I791" s="115"/>
      <c r="J791" s="115"/>
      <c r="K791" s="60">
        <f t="shared" si="2"/>
        <v>0</v>
      </c>
      <c r="L791" s="117"/>
    </row>
    <row r="792" ht="15.75" customHeight="1">
      <c r="A792" s="9"/>
      <c r="B792" s="164"/>
      <c r="C792" s="110"/>
      <c r="D792" s="156"/>
      <c r="E792" s="111"/>
      <c r="F792" s="112"/>
      <c r="G792" s="113"/>
      <c r="H792" s="53">
        <f t="shared" si="1"/>
        <v>0</v>
      </c>
      <c r="I792" s="115"/>
      <c r="J792" s="115"/>
      <c r="K792" s="60">
        <f t="shared" si="2"/>
        <v>0</v>
      </c>
      <c r="L792" s="117"/>
    </row>
    <row r="793" ht="15.75" customHeight="1">
      <c r="A793" s="9"/>
      <c r="B793" s="164"/>
      <c r="C793" s="110"/>
      <c r="D793" s="156"/>
      <c r="E793" s="111"/>
      <c r="F793" s="112"/>
      <c r="G793" s="113"/>
      <c r="H793" s="53">
        <f t="shared" si="1"/>
        <v>0</v>
      </c>
      <c r="I793" s="115"/>
      <c r="J793" s="115"/>
      <c r="K793" s="60">
        <f t="shared" si="2"/>
        <v>0</v>
      </c>
      <c r="L793" s="117"/>
    </row>
    <row r="794" ht="15.75" customHeight="1">
      <c r="A794" s="9"/>
      <c r="B794" s="164"/>
      <c r="C794" s="110"/>
      <c r="D794" s="156"/>
      <c r="E794" s="111"/>
      <c r="F794" s="112"/>
      <c r="G794" s="113"/>
      <c r="H794" s="53">
        <f t="shared" si="1"/>
        <v>0</v>
      </c>
      <c r="I794" s="115"/>
      <c r="J794" s="115"/>
      <c r="K794" s="60">
        <f t="shared" si="2"/>
        <v>0</v>
      </c>
      <c r="L794" s="117"/>
    </row>
    <row r="795" ht="15.75" customHeight="1">
      <c r="A795" s="9"/>
      <c r="B795" s="164"/>
      <c r="C795" s="110"/>
      <c r="D795" s="156"/>
      <c r="E795" s="111"/>
      <c r="F795" s="112"/>
      <c r="G795" s="113"/>
      <c r="H795" s="53">
        <f t="shared" si="1"/>
        <v>0</v>
      </c>
      <c r="I795" s="115"/>
      <c r="J795" s="115"/>
      <c r="K795" s="60">
        <f t="shared" si="2"/>
        <v>0</v>
      </c>
      <c r="L795" s="117"/>
    </row>
    <row r="796" ht="15.75" customHeight="1">
      <c r="A796" s="9"/>
      <c r="B796" s="164"/>
      <c r="C796" s="110"/>
      <c r="D796" s="156"/>
      <c r="E796" s="111"/>
      <c r="F796" s="112"/>
      <c r="G796" s="113"/>
      <c r="H796" s="53">
        <f t="shared" si="1"/>
        <v>0</v>
      </c>
      <c r="I796" s="115"/>
      <c r="J796" s="115"/>
      <c r="K796" s="60">
        <f t="shared" si="2"/>
        <v>0</v>
      </c>
      <c r="L796" s="117"/>
    </row>
    <row r="797" ht="15.75" customHeight="1">
      <c r="A797" s="9"/>
      <c r="B797" s="164"/>
      <c r="C797" s="110"/>
      <c r="D797" s="156"/>
      <c r="E797" s="111"/>
      <c r="F797" s="112"/>
      <c r="G797" s="113"/>
      <c r="H797" s="53">
        <f t="shared" si="1"/>
        <v>0</v>
      </c>
      <c r="I797" s="115"/>
      <c r="J797" s="115"/>
      <c r="K797" s="60">
        <f t="shared" si="2"/>
        <v>0</v>
      </c>
      <c r="L797" s="117"/>
    </row>
    <row r="798" ht="15.75" customHeight="1">
      <c r="A798" s="9"/>
      <c r="B798" s="164"/>
      <c r="C798" s="110"/>
      <c r="D798" s="156"/>
      <c r="E798" s="111"/>
      <c r="F798" s="112"/>
      <c r="G798" s="113"/>
      <c r="H798" s="53">
        <f t="shared" si="1"/>
        <v>0</v>
      </c>
      <c r="I798" s="115"/>
      <c r="J798" s="115"/>
      <c r="K798" s="60">
        <f t="shared" si="2"/>
        <v>0</v>
      </c>
      <c r="L798" s="117"/>
    </row>
    <row r="799" ht="15.75" customHeight="1">
      <c r="A799" s="9"/>
      <c r="B799" s="164"/>
      <c r="C799" s="110"/>
      <c r="D799" s="156"/>
      <c r="E799" s="111"/>
      <c r="F799" s="112"/>
      <c r="G799" s="113"/>
      <c r="H799" s="53">
        <f t="shared" si="1"/>
        <v>0</v>
      </c>
      <c r="I799" s="115"/>
      <c r="J799" s="115"/>
      <c r="K799" s="60">
        <f t="shared" si="2"/>
        <v>0</v>
      </c>
      <c r="L799" s="117"/>
    </row>
    <row r="800" ht="15.75" customHeight="1">
      <c r="A800" s="9"/>
      <c r="B800" s="164"/>
      <c r="C800" s="110"/>
      <c r="D800" s="156"/>
      <c r="E800" s="111"/>
      <c r="F800" s="112"/>
      <c r="G800" s="113"/>
      <c r="H800" s="53">
        <f t="shared" si="1"/>
        <v>0</v>
      </c>
      <c r="I800" s="115"/>
      <c r="J800" s="115"/>
      <c r="K800" s="60">
        <f t="shared" si="2"/>
        <v>0</v>
      </c>
      <c r="L800" s="117"/>
    </row>
    <row r="801" ht="15.75" customHeight="1">
      <c r="A801" s="9"/>
      <c r="B801" s="164"/>
      <c r="C801" s="110"/>
      <c r="D801" s="156"/>
      <c r="E801" s="111"/>
      <c r="F801" s="112"/>
      <c r="G801" s="113"/>
      <c r="H801" s="53">
        <f t="shared" si="1"/>
        <v>0</v>
      </c>
      <c r="I801" s="115"/>
      <c r="J801" s="115"/>
      <c r="K801" s="60">
        <f t="shared" si="2"/>
        <v>0</v>
      </c>
      <c r="L801" s="117"/>
    </row>
    <row r="802" ht="15.75" customHeight="1">
      <c r="A802" s="9"/>
      <c r="B802" s="164"/>
      <c r="C802" s="110"/>
      <c r="D802" s="156"/>
      <c r="E802" s="111"/>
      <c r="F802" s="112"/>
      <c r="G802" s="113"/>
      <c r="H802" s="53">
        <f t="shared" si="1"/>
        <v>0</v>
      </c>
      <c r="I802" s="115"/>
      <c r="J802" s="115"/>
      <c r="K802" s="60">
        <f t="shared" si="2"/>
        <v>0</v>
      </c>
      <c r="L802" s="117"/>
    </row>
    <row r="803" ht="15.75" customHeight="1">
      <c r="A803" s="9"/>
      <c r="B803" s="164"/>
      <c r="C803" s="110"/>
      <c r="D803" s="156"/>
      <c r="E803" s="111"/>
      <c r="F803" s="112"/>
      <c r="G803" s="113"/>
      <c r="H803" s="53">
        <f t="shared" si="1"/>
        <v>0</v>
      </c>
      <c r="I803" s="115"/>
      <c r="J803" s="115"/>
      <c r="K803" s="60">
        <f t="shared" si="2"/>
        <v>0</v>
      </c>
      <c r="L803" s="117"/>
    </row>
    <row r="804" ht="15.75" customHeight="1">
      <c r="A804" s="9"/>
      <c r="B804" s="164"/>
      <c r="C804" s="110"/>
      <c r="D804" s="156"/>
      <c r="E804" s="111"/>
      <c r="F804" s="112"/>
      <c r="G804" s="113"/>
      <c r="H804" s="53">
        <f t="shared" si="1"/>
        <v>0</v>
      </c>
      <c r="I804" s="115"/>
      <c r="J804" s="115"/>
      <c r="K804" s="60">
        <f t="shared" si="2"/>
        <v>0</v>
      </c>
      <c r="L804" s="117"/>
    </row>
    <row r="805" ht="15.75" customHeight="1">
      <c r="A805" s="9"/>
      <c r="B805" s="164"/>
      <c r="C805" s="110"/>
      <c r="D805" s="156"/>
      <c r="E805" s="111"/>
      <c r="F805" s="112"/>
      <c r="G805" s="113"/>
      <c r="H805" s="53">
        <f t="shared" si="1"/>
        <v>0</v>
      </c>
      <c r="I805" s="115"/>
      <c r="J805" s="115"/>
      <c r="K805" s="60">
        <f t="shared" si="2"/>
        <v>0</v>
      </c>
      <c r="L805" s="117"/>
    </row>
    <row r="806" ht="15.75" customHeight="1">
      <c r="A806" s="9"/>
      <c r="B806" s="164"/>
      <c r="C806" s="110"/>
      <c r="D806" s="156"/>
      <c r="E806" s="111"/>
      <c r="F806" s="112"/>
      <c r="G806" s="113"/>
      <c r="H806" s="53">
        <f t="shared" si="1"/>
        <v>0</v>
      </c>
      <c r="I806" s="115"/>
      <c r="J806" s="115"/>
      <c r="K806" s="60">
        <f t="shared" si="2"/>
        <v>0</v>
      </c>
      <c r="L806" s="117"/>
    </row>
    <row r="807" ht="15.75" customHeight="1">
      <c r="A807" s="9"/>
      <c r="B807" s="164"/>
      <c r="C807" s="110"/>
      <c r="D807" s="156"/>
      <c r="E807" s="111"/>
      <c r="F807" s="112"/>
      <c r="G807" s="113"/>
      <c r="H807" s="53">
        <f t="shared" si="1"/>
        <v>0</v>
      </c>
      <c r="I807" s="115"/>
      <c r="J807" s="115"/>
      <c r="K807" s="60">
        <f t="shared" si="2"/>
        <v>0</v>
      </c>
      <c r="L807" s="117"/>
    </row>
    <row r="808" ht="15.75" customHeight="1">
      <c r="A808" s="9"/>
      <c r="B808" s="164"/>
      <c r="C808" s="110"/>
      <c r="D808" s="156"/>
      <c r="E808" s="111"/>
      <c r="F808" s="112"/>
      <c r="G808" s="113"/>
      <c r="H808" s="53">
        <f t="shared" si="1"/>
        <v>0</v>
      </c>
      <c r="I808" s="115"/>
      <c r="J808" s="115"/>
      <c r="K808" s="60">
        <f t="shared" si="2"/>
        <v>0</v>
      </c>
      <c r="L808" s="117"/>
    </row>
    <row r="809" ht="15.75" customHeight="1">
      <c r="A809" s="9"/>
      <c r="B809" s="164"/>
      <c r="C809" s="110"/>
      <c r="D809" s="156"/>
      <c r="E809" s="111"/>
      <c r="F809" s="112"/>
      <c r="G809" s="113"/>
      <c r="H809" s="53">
        <f t="shared" si="1"/>
        <v>0</v>
      </c>
      <c r="I809" s="115"/>
      <c r="J809" s="115"/>
      <c r="K809" s="60">
        <f t="shared" si="2"/>
        <v>0</v>
      </c>
      <c r="L809" s="117"/>
    </row>
    <row r="810" ht="15.75" customHeight="1">
      <c r="A810" s="9"/>
      <c r="B810" s="164"/>
      <c r="C810" s="110"/>
      <c r="D810" s="156"/>
      <c r="E810" s="111"/>
      <c r="F810" s="112"/>
      <c r="G810" s="113"/>
      <c r="H810" s="53">
        <f t="shared" si="1"/>
        <v>0</v>
      </c>
      <c r="I810" s="115"/>
      <c r="J810" s="115"/>
      <c r="K810" s="60">
        <f t="shared" si="2"/>
        <v>0</v>
      </c>
      <c r="L810" s="117"/>
    </row>
    <row r="811" ht="15.75" customHeight="1">
      <c r="A811" s="9"/>
      <c r="B811" s="164"/>
      <c r="C811" s="110"/>
      <c r="D811" s="156"/>
      <c r="E811" s="111"/>
      <c r="F811" s="112"/>
      <c r="G811" s="113"/>
      <c r="H811" s="53">
        <f t="shared" si="1"/>
        <v>0</v>
      </c>
      <c r="I811" s="115"/>
      <c r="J811" s="115"/>
      <c r="K811" s="60">
        <f t="shared" si="2"/>
        <v>0</v>
      </c>
      <c r="L811" s="117"/>
    </row>
    <row r="812" ht="15.75" customHeight="1">
      <c r="A812" s="9"/>
      <c r="B812" s="164"/>
      <c r="C812" s="110"/>
      <c r="D812" s="156"/>
      <c r="E812" s="111"/>
      <c r="F812" s="112"/>
      <c r="G812" s="113"/>
      <c r="H812" s="53">
        <f t="shared" si="1"/>
        <v>0</v>
      </c>
      <c r="I812" s="115"/>
      <c r="J812" s="115"/>
      <c r="K812" s="60">
        <f t="shared" si="2"/>
        <v>0</v>
      </c>
      <c r="L812" s="117"/>
    </row>
    <row r="813" ht="15.75" customHeight="1">
      <c r="A813" s="9"/>
      <c r="B813" s="164"/>
      <c r="C813" s="110"/>
      <c r="D813" s="156"/>
      <c r="E813" s="111"/>
      <c r="F813" s="112"/>
      <c r="G813" s="113"/>
      <c r="H813" s="53">
        <f t="shared" si="1"/>
        <v>0</v>
      </c>
      <c r="I813" s="115"/>
      <c r="J813" s="115"/>
      <c r="K813" s="60">
        <f t="shared" si="2"/>
        <v>0</v>
      </c>
      <c r="L813" s="117"/>
    </row>
    <row r="814" ht="15.75" customHeight="1">
      <c r="A814" s="9"/>
      <c r="B814" s="164"/>
      <c r="C814" s="110"/>
      <c r="D814" s="156"/>
      <c r="E814" s="111"/>
      <c r="F814" s="112"/>
      <c r="G814" s="113"/>
      <c r="H814" s="53">
        <f t="shared" si="1"/>
        <v>0</v>
      </c>
      <c r="I814" s="115"/>
      <c r="J814" s="115"/>
      <c r="K814" s="60">
        <f t="shared" si="2"/>
        <v>0</v>
      </c>
      <c r="L814" s="117"/>
    </row>
    <row r="815" ht="15.75" customHeight="1">
      <c r="A815" s="9"/>
      <c r="B815" s="164"/>
      <c r="C815" s="110"/>
      <c r="D815" s="156"/>
      <c r="E815" s="111"/>
      <c r="F815" s="112"/>
      <c r="G815" s="113"/>
      <c r="H815" s="53">
        <f t="shared" si="1"/>
        <v>0</v>
      </c>
      <c r="I815" s="115"/>
      <c r="J815" s="115"/>
      <c r="K815" s="60">
        <f t="shared" si="2"/>
        <v>0</v>
      </c>
      <c r="L815" s="117"/>
    </row>
    <row r="816" ht="15.75" customHeight="1">
      <c r="A816" s="9"/>
      <c r="B816" s="164"/>
      <c r="C816" s="110"/>
      <c r="D816" s="156"/>
      <c r="E816" s="111"/>
      <c r="F816" s="112"/>
      <c r="G816" s="113"/>
      <c r="H816" s="53">
        <f t="shared" si="1"/>
        <v>0</v>
      </c>
      <c r="I816" s="115"/>
      <c r="J816" s="115"/>
      <c r="K816" s="60">
        <f t="shared" si="2"/>
        <v>0</v>
      </c>
      <c r="L816" s="117"/>
    </row>
    <row r="817" ht="15.75" customHeight="1">
      <c r="A817" s="9"/>
      <c r="B817" s="164"/>
      <c r="C817" s="110"/>
      <c r="D817" s="156"/>
      <c r="E817" s="111"/>
      <c r="F817" s="112"/>
      <c r="G817" s="113"/>
      <c r="H817" s="53">
        <f t="shared" si="1"/>
        <v>0</v>
      </c>
      <c r="I817" s="115"/>
      <c r="J817" s="115"/>
      <c r="K817" s="60">
        <f t="shared" si="2"/>
        <v>0</v>
      </c>
      <c r="L817" s="117"/>
    </row>
    <row r="818" ht="15.75" customHeight="1">
      <c r="A818" s="9"/>
      <c r="B818" s="164"/>
      <c r="C818" s="110"/>
      <c r="D818" s="156"/>
      <c r="E818" s="111"/>
      <c r="F818" s="112"/>
      <c r="G818" s="113"/>
      <c r="H818" s="53">
        <f t="shared" si="1"/>
        <v>0</v>
      </c>
      <c r="I818" s="115"/>
      <c r="J818" s="115"/>
      <c r="K818" s="60">
        <f t="shared" si="2"/>
        <v>0</v>
      </c>
      <c r="L818" s="117"/>
    </row>
    <row r="819" ht="15.75" customHeight="1">
      <c r="A819" s="9"/>
      <c r="B819" s="164"/>
      <c r="C819" s="110"/>
      <c r="D819" s="156"/>
      <c r="E819" s="111"/>
      <c r="F819" s="112"/>
      <c r="G819" s="113"/>
      <c r="H819" s="53">
        <f t="shared" si="1"/>
        <v>0</v>
      </c>
      <c r="I819" s="115"/>
      <c r="J819" s="115"/>
      <c r="K819" s="60">
        <f t="shared" si="2"/>
        <v>0</v>
      </c>
      <c r="L819" s="117"/>
    </row>
    <row r="820" ht="15.75" customHeight="1">
      <c r="A820" s="9"/>
      <c r="B820" s="164"/>
      <c r="C820" s="110"/>
      <c r="D820" s="156"/>
      <c r="E820" s="111"/>
      <c r="F820" s="112"/>
      <c r="G820" s="113"/>
      <c r="H820" s="53">
        <f t="shared" si="1"/>
        <v>0</v>
      </c>
      <c r="I820" s="115"/>
      <c r="J820" s="115"/>
      <c r="K820" s="60">
        <f t="shared" si="2"/>
        <v>0</v>
      </c>
      <c r="L820" s="117"/>
    </row>
    <row r="821" ht="15.75" customHeight="1">
      <c r="A821" s="9"/>
      <c r="B821" s="164"/>
      <c r="C821" s="110"/>
      <c r="D821" s="156"/>
      <c r="E821" s="111"/>
      <c r="F821" s="112"/>
      <c r="G821" s="113"/>
      <c r="H821" s="53">
        <f t="shared" si="1"/>
        <v>0</v>
      </c>
      <c r="I821" s="115"/>
      <c r="J821" s="115"/>
      <c r="K821" s="60">
        <f t="shared" si="2"/>
        <v>0</v>
      </c>
      <c r="L821" s="117"/>
    </row>
    <row r="822" ht="15.75" customHeight="1">
      <c r="A822" s="9"/>
      <c r="B822" s="164"/>
      <c r="C822" s="110"/>
      <c r="D822" s="156"/>
      <c r="E822" s="111"/>
      <c r="F822" s="112"/>
      <c r="G822" s="113"/>
      <c r="H822" s="53">
        <f t="shared" si="1"/>
        <v>0</v>
      </c>
      <c r="I822" s="115"/>
      <c r="J822" s="115"/>
      <c r="K822" s="60">
        <f t="shared" si="2"/>
        <v>0</v>
      </c>
      <c r="L822" s="117"/>
    </row>
    <row r="823" ht="15.75" customHeight="1">
      <c r="A823" s="9"/>
      <c r="B823" s="164"/>
      <c r="C823" s="110"/>
      <c r="D823" s="156"/>
      <c r="E823" s="111"/>
      <c r="F823" s="112"/>
      <c r="G823" s="113"/>
      <c r="H823" s="53">
        <f t="shared" si="1"/>
        <v>0</v>
      </c>
      <c r="I823" s="115"/>
      <c r="J823" s="115"/>
      <c r="K823" s="60">
        <f t="shared" si="2"/>
        <v>0</v>
      </c>
      <c r="L823" s="117"/>
    </row>
    <row r="824" ht="15.75" customHeight="1">
      <c r="A824" s="9"/>
      <c r="B824" s="164"/>
      <c r="C824" s="110"/>
      <c r="D824" s="156"/>
      <c r="E824" s="111"/>
      <c r="F824" s="112"/>
      <c r="G824" s="113"/>
      <c r="H824" s="53">
        <f t="shared" si="1"/>
        <v>0</v>
      </c>
      <c r="I824" s="115"/>
      <c r="J824" s="115"/>
      <c r="K824" s="60">
        <f t="shared" si="2"/>
        <v>0</v>
      </c>
      <c r="L824" s="117"/>
    </row>
    <row r="825" ht="15.75" customHeight="1">
      <c r="A825" s="9"/>
      <c r="B825" s="164"/>
      <c r="C825" s="110"/>
      <c r="D825" s="156"/>
      <c r="E825" s="111"/>
      <c r="F825" s="112"/>
      <c r="G825" s="113"/>
      <c r="H825" s="53">
        <f t="shared" si="1"/>
        <v>0</v>
      </c>
      <c r="I825" s="115"/>
      <c r="J825" s="115"/>
      <c r="K825" s="60">
        <f t="shared" si="2"/>
        <v>0</v>
      </c>
      <c r="L825" s="117"/>
    </row>
    <row r="826" ht="15.75" customHeight="1">
      <c r="A826" s="9"/>
      <c r="B826" s="164"/>
      <c r="C826" s="110"/>
      <c r="D826" s="156"/>
      <c r="E826" s="111"/>
      <c r="F826" s="112"/>
      <c r="G826" s="113"/>
      <c r="H826" s="53">
        <f t="shared" si="1"/>
        <v>0</v>
      </c>
      <c r="I826" s="115"/>
      <c r="J826" s="115"/>
      <c r="K826" s="60">
        <f t="shared" si="2"/>
        <v>0</v>
      </c>
      <c r="L826" s="117"/>
    </row>
    <row r="827" ht="15.75" customHeight="1">
      <c r="A827" s="9"/>
      <c r="B827" s="164"/>
      <c r="C827" s="110"/>
      <c r="D827" s="156"/>
      <c r="E827" s="111"/>
      <c r="F827" s="112"/>
      <c r="G827" s="113"/>
      <c r="H827" s="53">
        <f t="shared" si="1"/>
        <v>0</v>
      </c>
      <c r="I827" s="115"/>
      <c r="J827" s="115"/>
      <c r="K827" s="60">
        <f t="shared" si="2"/>
        <v>0</v>
      </c>
      <c r="L827" s="117"/>
    </row>
    <row r="828" ht="15.75" customHeight="1">
      <c r="A828" s="9"/>
      <c r="B828" s="164"/>
      <c r="C828" s="110"/>
      <c r="D828" s="156"/>
      <c r="E828" s="111"/>
      <c r="F828" s="112"/>
      <c r="G828" s="113"/>
      <c r="H828" s="53">
        <f t="shared" si="1"/>
        <v>0</v>
      </c>
      <c r="I828" s="115"/>
      <c r="J828" s="115"/>
      <c r="K828" s="60">
        <f t="shared" si="2"/>
        <v>0</v>
      </c>
      <c r="L828" s="117"/>
    </row>
    <row r="829" ht="15.75" customHeight="1">
      <c r="A829" s="9"/>
      <c r="B829" s="164"/>
      <c r="C829" s="110"/>
      <c r="D829" s="156"/>
      <c r="E829" s="111"/>
      <c r="F829" s="112"/>
      <c r="G829" s="113"/>
      <c r="H829" s="53">
        <f t="shared" si="1"/>
        <v>0</v>
      </c>
      <c r="I829" s="115"/>
      <c r="J829" s="115"/>
      <c r="K829" s="60">
        <f t="shared" si="2"/>
        <v>0</v>
      </c>
      <c r="L829" s="117"/>
    </row>
    <row r="830" ht="15.75" customHeight="1">
      <c r="A830" s="9"/>
      <c r="B830" s="164"/>
      <c r="C830" s="110"/>
      <c r="D830" s="156"/>
      <c r="E830" s="111"/>
      <c r="F830" s="112"/>
      <c r="G830" s="113"/>
      <c r="H830" s="53">
        <f t="shared" si="1"/>
        <v>0</v>
      </c>
      <c r="I830" s="115"/>
      <c r="J830" s="115"/>
      <c r="K830" s="60">
        <f t="shared" si="2"/>
        <v>0</v>
      </c>
      <c r="L830" s="117"/>
    </row>
    <row r="831" ht="15.75" customHeight="1">
      <c r="A831" s="9"/>
      <c r="B831" s="164"/>
      <c r="C831" s="110"/>
      <c r="D831" s="156"/>
      <c r="E831" s="111"/>
      <c r="F831" s="112"/>
      <c r="G831" s="113"/>
      <c r="H831" s="53">
        <f t="shared" si="1"/>
        <v>0</v>
      </c>
      <c r="I831" s="115"/>
      <c r="J831" s="115"/>
      <c r="K831" s="60">
        <f t="shared" si="2"/>
        <v>0</v>
      </c>
      <c r="L831" s="117"/>
    </row>
    <row r="832" ht="15.75" customHeight="1">
      <c r="A832" s="9"/>
      <c r="B832" s="164"/>
      <c r="C832" s="110"/>
      <c r="D832" s="156"/>
      <c r="E832" s="111"/>
      <c r="F832" s="112"/>
      <c r="G832" s="113"/>
      <c r="H832" s="53">
        <f t="shared" si="1"/>
        <v>0</v>
      </c>
      <c r="I832" s="115"/>
      <c r="J832" s="115"/>
      <c r="K832" s="60">
        <f t="shared" si="2"/>
        <v>0</v>
      </c>
      <c r="L832" s="117"/>
    </row>
    <row r="833" ht="15.75" customHeight="1">
      <c r="A833" s="9"/>
      <c r="B833" s="164"/>
      <c r="C833" s="110"/>
      <c r="D833" s="156"/>
      <c r="E833" s="111"/>
      <c r="F833" s="112"/>
      <c r="G833" s="113"/>
      <c r="H833" s="53">
        <f t="shared" si="1"/>
        <v>0</v>
      </c>
      <c r="I833" s="115"/>
      <c r="J833" s="115"/>
      <c r="K833" s="60">
        <f t="shared" si="2"/>
        <v>0</v>
      </c>
      <c r="L833" s="117"/>
    </row>
    <row r="834" ht="15.75" customHeight="1">
      <c r="A834" s="9"/>
      <c r="B834" s="164"/>
      <c r="C834" s="110"/>
      <c r="D834" s="156"/>
      <c r="E834" s="111"/>
      <c r="F834" s="112"/>
      <c r="G834" s="113"/>
      <c r="H834" s="53">
        <f t="shared" si="1"/>
        <v>0</v>
      </c>
      <c r="I834" s="115"/>
      <c r="J834" s="115"/>
      <c r="K834" s="60">
        <f t="shared" si="2"/>
        <v>0</v>
      </c>
      <c r="L834" s="117"/>
    </row>
    <row r="835" ht="15.75" customHeight="1">
      <c r="A835" s="9"/>
      <c r="B835" s="164"/>
      <c r="C835" s="110"/>
      <c r="D835" s="156"/>
      <c r="E835" s="111"/>
      <c r="F835" s="112"/>
      <c r="G835" s="113"/>
      <c r="H835" s="53">
        <f t="shared" si="1"/>
        <v>0</v>
      </c>
      <c r="I835" s="115"/>
      <c r="J835" s="115"/>
      <c r="K835" s="60">
        <f t="shared" si="2"/>
        <v>0</v>
      </c>
      <c r="L835" s="117"/>
    </row>
    <row r="836" ht="15.75" customHeight="1">
      <c r="A836" s="9"/>
      <c r="B836" s="164"/>
      <c r="C836" s="110"/>
      <c r="D836" s="156"/>
      <c r="E836" s="111"/>
      <c r="F836" s="112"/>
      <c r="G836" s="113"/>
      <c r="H836" s="53">
        <f t="shared" si="1"/>
        <v>0</v>
      </c>
      <c r="I836" s="115"/>
      <c r="J836" s="115"/>
      <c r="K836" s="60">
        <f t="shared" si="2"/>
        <v>0</v>
      </c>
      <c r="L836" s="117"/>
    </row>
    <row r="837" ht="15.75" customHeight="1">
      <c r="A837" s="9"/>
      <c r="B837" s="164"/>
      <c r="C837" s="110"/>
      <c r="D837" s="156"/>
      <c r="E837" s="111"/>
      <c r="F837" s="112"/>
      <c r="G837" s="113"/>
      <c r="H837" s="53">
        <f t="shared" si="1"/>
        <v>0</v>
      </c>
      <c r="I837" s="115"/>
      <c r="J837" s="115"/>
      <c r="K837" s="60">
        <f t="shared" si="2"/>
        <v>0</v>
      </c>
      <c r="L837" s="117"/>
    </row>
    <row r="838" ht="15.75" customHeight="1">
      <c r="A838" s="9"/>
      <c r="B838" s="164"/>
      <c r="C838" s="110"/>
      <c r="D838" s="156"/>
      <c r="E838" s="111"/>
      <c r="F838" s="112"/>
      <c r="G838" s="113"/>
      <c r="H838" s="53">
        <f t="shared" si="1"/>
        <v>0</v>
      </c>
      <c r="I838" s="115"/>
      <c r="J838" s="115"/>
      <c r="K838" s="60">
        <f t="shared" si="2"/>
        <v>0</v>
      </c>
      <c r="L838" s="117"/>
    </row>
    <row r="839" ht="15.75" customHeight="1">
      <c r="A839" s="9"/>
      <c r="B839" s="164"/>
      <c r="C839" s="110"/>
      <c r="D839" s="156"/>
      <c r="E839" s="111"/>
      <c r="F839" s="112"/>
      <c r="G839" s="113"/>
      <c r="H839" s="53">
        <f t="shared" si="1"/>
        <v>0</v>
      </c>
      <c r="I839" s="115"/>
      <c r="J839" s="115"/>
      <c r="K839" s="60">
        <f t="shared" si="2"/>
        <v>0</v>
      </c>
      <c r="L839" s="117"/>
    </row>
    <row r="840" ht="15.75" customHeight="1">
      <c r="A840" s="9"/>
      <c r="B840" s="164"/>
      <c r="C840" s="110"/>
      <c r="D840" s="156"/>
      <c r="E840" s="111"/>
      <c r="F840" s="112"/>
      <c r="G840" s="113"/>
      <c r="H840" s="53">
        <f t="shared" si="1"/>
        <v>0</v>
      </c>
      <c r="I840" s="115"/>
      <c r="J840" s="115"/>
      <c r="K840" s="60">
        <f t="shared" si="2"/>
        <v>0</v>
      </c>
      <c r="L840" s="117"/>
    </row>
    <row r="841" ht="15.75" customHeight="1">
      <c r="A841" s="9"/>
      <c r="B841" s="164"/>
      <c r="C841" s="110"/>
      <c r="D841" s="156"/>
      <c r="E841" s="111"/>
      <c r="F841" s="112"/>
      <c r="G841" s="113"/>
      <c r="H841" s="53">
        <f t="shared" si="1"/>
        <v>0</v>
      </c>
      <c r="I841" s="115"/>
      <c r="J841" s="115"/>
      <c r="K841" s="60">
        <f t="shared" si="2"/>
        <v>0</v>
      </c>
      <c r="L841" s="117"/>
    </row>
    <row r="842" ht="15.75" customHeight="1">
      <c r="A842" s="9"/>
      <c r="B842" s="164"/>
      <c r="C842" s="110"/>
      <c r="D842" s="156"/>
      <c r="E842" s="111"/>
      <c r="F842" s="112"/>
      <c r="G842" s="113"/>
      <c r="H842" s="53">
        <f t="shared" si="1"/>
        <v>0</v>
      </c>
      <c r="I842" s="115"/>
      <c r="J842" s="115"/>
      <c r="K842" s="60">
        <f t="shared" si="2"/>
        <v>0</v>
      </c>
      <c r="L842" s="117"/>
    </row>
    <row r="843" ht="15.75" customHeight="1">
      <c r="A843" s="9"/>
      <c r="B843" s="164"/>
      <c r="C843" s="110"/>
      <c r="D843" s="156"/>
      <c r="E843" s="111"/>
      <c r="F843" s="112"/>
      <c r="G843" s="113"/>
      <c r="H843" s="53">
        <f t="shared" si="1"/>
        <v>0</v>
      </c>
      <c r="I843" s="115"/>
      <c r="J843" s="115"/>
      <c r="K843" s="60">
        <f t="shared" si="2"/>
        <v>0</v>
      </c>
      <c r="L843" s="117"/>
    </row>
    <row r="844" ht="15.75" customHeight="1">
      <c r="A844" s="9"/>
      <c r="B844" s="164"/>
      <c r="C844" s="110"/>
      <c r="D844" s="156"/>
      <c r="E844" s="111"/>
      <c r="F844" s="112"/>
      <c r="G844" s="113"/>
      <c r="H844" s="53">
        <f t="shared" si="1"/>
        <v>0</v>
      </c>
      <c r="I844" s="115"/>
      <c r="J844" s="115"/>
      <c r="K844" s="60">
        <f t="shared" si="2"/>
        <v>0</v>
      </c>
      <c r="L844" s="117"/>
    </row>
    <row r="845" ht="15.75" customHeight="1">
      <c r="A845" s="9"/>
      <c r="B845" s="164"/>
      <c r="C845" s="110"/>
      <c r="D845" s="156"/>
      <c r="E845" s="111"/>
      <c r="F845" s="112"/>
      <c r="G845" s="113"/>
      <c r="H845" s="53">
        <f t="shared" si="1"/>
        <v>0</v>
      </c>
      <c r="I845" s="115"/>
      <c r="J845" s="115"/>
      <c r="K845" s="60">
        <f t="shared" si="2"/>
        <v>0</v>
      </c>
      <c r="L845" s="117"/>
    </row>
    <row r="846" ht="15.75" customHeight="1">
      <c r="A846" s="9"/>
      <c r="B846" s="164"/>
      <c r="C846" s="110"/>
      <c r="D846" s="156"/>
      <c r="E846" s="111"/>
      <c r="F846" s="112"/>
      <c r="G846" s="113"/>
      <c r="H846" s="53">
        <f t="shared" si="1"/>
        <v>0</v>
      </c>
      <c r="I846" s="115"/>
      <c r="J846" s="115"/>
      <c r="K846" s="60">
        <f t="shared" si="2"/>
        <v>0</v>
      </c>
      <c r="L846" s="117"/>
    </row>
    <row r="847" ht="15.75" customHeight="1">
      <c r="A847" s="9"/>
      <c r="B847" s="164"/>
      <c r="C847" s="110"/>
      <c r="D847" s="156"/>
      <c r="E847" s="111"/>
      <c r="F847" s="112"/>
      <c r="G847" s="113"/>
      <c r="H847" s="53">
        <f t="shared" si="1"/>
        <v>0</v>
      </c>
      <c r="I847" s="115"/>
      <c r="J847" s="115"/>
      <c r="K847" s="60">
        <f t="shared" si="2"/>
        <v>0</v>
      </c>
      <c r="L847" s="117"/>
    </row>
    <row r="848" ht="15.75" customHeight="1">
      <c r="A848" s="9"/>
      <c r="B848" s="164"/>
      <c r="C848" s="110"/>
      <c r="D848" s="156"/>
      <c r="E848" s="111"/>
      <c r="F848" s="112"/>
      <c r="G848" s="113"/>
      <c r="H848" s="53">
        <f t="shared" si="1"/>
        <v>0</v>
      </c>
      <c r="I848" s="115"/>
      <c r="J848" s="115"/>
      <c r="K848" s="60">
        <f t="shared" si="2"/>
        <v>0</v>
      </c>
      <c r="L848" s="117"/>
    </row>
    <row r="849" ht="15.75" customHeight="1">
      <c r="A849" s="9"/>
      <c r="B849" s="164"/>
      <c r="C849" s="110"/>
      <c r="D849" s="156"/>
      <c r="E849" s="111"/>
      <c r="F849" s="112"/>
      <c r="G849" s="113"/>
      <c r="H849" s="53">
        <f t="shared" si="1"/>
        <v>0</v>
      </c>
      <c r="I849" s="115"/>
      <c r="J849" s="115"/>
      <c r="K849" s="60">
        <f t="shared" si="2"/>
        <v>0</v>
      </c>
      <c r="L849" s="117"/>
    </row>
    <row r="850" ht="15.75" customHeight="1">
      <c r="A850" s="9"/>
      <c r="B850" s="164"/>
      <c r="C850" s="110"/>
      <c r="D850" s="156"/>
      <c r="E850" s="111"/>
      <c r="F850" s="112"/>
      <c r="G850" s="113"/>
      <c r="H850" s="53">
        <f t="shared" si="1"/>
        <v>0</v>
      </c>
      <c r="I850" s="115"/>
      <c r="J850" s="115"/>
      <c r="K850" s="60">
        <f t="shared" si="2"/>
        <v>0</v>
      </c>
      <c r="L850" s="117"/>
    </row>
    <row r="851" ht="15.75" customHeight="1">
      <c r="A851" s="9"/>
      <c r="B851" s="164"/>
      <c r="C851" s="110"/>
      <c r="D851" s="156"/>
      <c r="E851" s="111"/>
      <c r="F851" s="112"/>
      <c r="G851" s="113"/>
      <c r="H851" s="53">
        <f t="shared" si="1"/>
        <v>0</v>
      </c>
      <c r="I851" s="115"/>
      <c r="J851" s="115"/>
      <c r="K851" s="60">
        <f t="shared" si="2"/>
        <v>0</v>
      </c>
      <c r="L851" s="117"/>
    </row>
    <row r="852" ht="15.75" customHeight="1">
      <c r="A852" s="9"/>
      <c r="B852" s="164"/>
      <c r="C852" s="110"/>
      <c r="D852" s="156"/>
      <c r="E852" s="111"/>
      <c r="F852" s="112"/>
      <c r="G852" s="113"/>
      <c r="H852" s="53">
        <f t="shared" si="1"/>
        <v>0</v>
      </c>
      <c r="I852" s="115"/>
      <c r="J852" s="115"/>
      <c r="K852" s="60">
        <f t="shared" si="2"/>
        <v>0</v>
      </c>
      <c r="L852" s="117"/>
    </row>
    <row r="853" ht="15.75" customHeight="1">
      <c r="A853" s="9"/>
      <c r="B853" s="164"/>
      <c r="C853" s="110"/>
      <c r="D853" s="156"/>
      <c r="E853" s="111"/>
      <c r="F853" s="112"/>
      <c r="G853" s="113"/>
      <c r="H853" s="53">
        <f t="shared" si="1"/>
        <v>0</v>
      </c>
      <c r="I853" s="115"/>
      <c r="J853" s="115"/>
      <c r="K853" s="60">
        <f t="shared" si="2"/>
        <v>0</v>
      </c>
      <c r="L853" s="117"/>
    </row>
    <row r="854" ht="15.75" customHeight="1">
      <c r="A854" s="9"/>
      <c r="B854" s="164"/>
      <c r="C854" s="110"/>
      <c r="D854" s="156"/>
      <c r="E854" s="111"/>
      <c r="F854" s="112"/>
      <c r="G854" s="113"/>
      <c r="H854" s="53">
        <f t="shared" si="1"/>
        <v>0</v>
      </c>
      <c r="I854" s="115"/>
      <c r="J854" s="115"/>
      <c r="K854" s="60">
        <f t="shared" si="2"/>
        <v>0</v>
      </c>
      <c r="L854" s="117"/>
    </row>
    <row r="855" ht="15.75" customHeight="1">
      <c r="A855" s="9"/>
      <c r="B855" s="164"/>
      <c r="C855" s="110"/>
      <c r="D855" s="156"/>
      <c r="E855" s="111"/>
      <c r="F855" s="112"/>
      <c r="G855" s="113"/>
      <c r="H855" s="53">
        <f t="shared" si="1"/>
        <v>0</v>
      </c>
      <c r="I855" s="115"/>
      <c r="J855" s="115"/>
      <c r="K855" s="60">
        <f t="shared" si="2"/>
        <v>0</v>
      </c>
      <c r="L855" s="117"/>
    </row>
    <row r="856" ht="15.75" customHeight="1">
      <c r="A856" s="9"/>
      <c r="B856" s="164"/>
      <c r="C856" s="110"/>
      <c r="D856" s="156"/>
      <c r="E856" s="111"/>
      <c r="F856" s="112"/>
      <c r="G856" s="113"/>
      <c r="H856" s="53">
        <f t="shared" si="1"/>
        <v>0</v>
      </c>
      <c r="I856" s="115"/>
      <c r="J856" s="115"/>
      <c r="K856" s="60">
        <f t="shared" si="2"/>
        <v>0</v>
      </c>
      <c r="L856" s="117"/>
    </row>
    <row r="857" ht="15.75" customHeight="1">
      <c r="A857" s="9"/>
      <c r="B857" s="164"/>
      <c r="C857" s="110"/>
      <c r="D857" s="156"/>
      <c r="E857" s="111"/>
      <c r="F857" s="112"/>
      <c r="G857" s="113"/>
      <c r="H857" s="53">
        <f t="shared" si="1"/>
        <v>0</v>
      </c>
      <c r="I857" s="115"/>
      <c r="J857" s="115"/>
      <c r="K857" s="60">
        <f t="shared" si="2"/>
        <v>0</v>
      </c>
      <c r="L857" s="117"/>
    </row>
    <row r="858" ht="15.75" customHeight="1">
      <c r="A858" s="9"/>
      <c r="B858" s="164"/>
      <c r="C858" s="110"/>
      <c r="D858" s="156"/>
      <c r="E858" s="111"/>
      <c r="F858" s="112"/>
      <c r="G858" s="113"/>
      <c r="H858" s="53">
        <f t="shared" si="1"/>
        <v>0</v>
      </c>
      <c r="I858" s="115"/>
      <c r="J858" s="115"/>
      <c r="K858" s="60">
        <f t="shared" si="2"/>
        <v>0</v>
      </c>
      <c r="L858" s="117"/>
    </row>
    <row r="859" ht="15.75" customHeight="1">
      <c r="A859" s="9"/>
      <c r="B859" s="164"/>
      <c r="C859" s="110"/>
      <c r="D859" s="156"/>
      <c r="E859" s="111"/>
      <c r="F859" s="112"/>
      <c r="G859" s="113"/>
      <c r="H859" s="53">
        <f t="shared" si="1"/>
        <v>0</v>
      </c>
      <c r="I859" s="115"/>
      <c r="J859" s="115"/>
      <c r="K859" s="60">
        <f t="shared" si="2"/>
        <v>0</v>
      </c>
      <c r="L859" s="117"/>
    </row>
    <row r="860" ht="15.75" customHeight="1">
      <c r="A860" s="9"/>
      <c r="B860" s="164"/>
      <c r="C860" s="110"/>
      <c r="D860" s="156"/>
      <c r="E860" s="111"/>
      <c r="F860" s="112"/>
      <c r="G860" s="113"/>
      <c r="H860" s="53">
        <f t="shared" si="1"/>
        <v>0</v>
      </c>
      <c r="I860" s="115"/>
      <c r="J860" s="115"/>
      <c r="K860" s="60">
        <f t="shared" si="2"/>
        <v>0</v>
      </c>
      <c r="L860" s="117"/>
    </row>
    <row r="861" ht="15.75" customHeight="1">
      <c r="A861" s="9"/>
      <c r="B861" s="164"/>
      <c r="C861" s="110"/>
      <c r="D861" s="156"/>
      <c r="E861" s="111"/>
      <c r="F861" s="112"/>
      <c r="G861" s="113"/>
      <c r="H861" s="53">
        <f t="shared" si="1"/>
        <v>0</v>
      </c>
      <c r="I861" s="115"/>
      <c r="J861" s="115"/>
      <c r="K861" s="60">
        <f t="shared" si="2"/>
        <v>0</v>
      </c>
      <c r="L861" s="117"/>
    </row>
    <row r="862" ht="15.75" customHeight="1">
      <c r="A862" s="9"/>
      <c r="B862" s="164"/>
      <c r="C862" s="110"/>
      <c r="D862" s="156"/>
      <c r="E862" s="111"/>
      <c r="F862" s="112"/>
      <c r="G862" s="113"/>
      <c r="H862" s="53">
        <f t="shared" si="1"/>
        <v>0</v>
      </c>
      <c r="I862" s="115"/>
      <c r="J862" s="115"/>
      <c r="K862" s="60">
        <f t="shared" si="2"/>
        <v>0</v>
      </c>
      <c r="L862" s="117"/>
    </row>
    <row r="863" ht="15.75" customHeight="1">
      <c r="A863" s="9"/>
      <c r="B863" s="164"/>
      <c r="C863" s="110"/>
      <c r="D863" s="156"/>
      <c r="E863" s="111"/>
      <c r="F863" s="112"/>
      <c r="G863" s="113"/>
      <c r="H863" s="53">
        <f t="shared" si="1"/>
        <v>0</v>
      </c>
      <c r="I863" s="115"/>
      <c r="J863" s="115"/>
      <c r="K863" s="60">
        <f t="shared" si="2"/>
        <v>0</v>
      </c>
      <c r="L863" s="117"/>
    </row>
    <row r="864" ht="15.75" customHeight="1">
      <c r="A864" s="9"/>
      <c r="B864" s="164"/>
      <c r="C864" s="110"/>
      <c r="D864" s="156"/>
      <c r="E864" s="111"/>
      <c r="F864" s="112"/>
      <c r="G864" s="113"/>
      <c r="H864" s="53">
        <f t="shared" si="1"/>
        <v>0</v>
      </c>
      <c r="I864" s="115"/>
      <c r="J864" s="115"/>
      <c r="K864" s="60">
        <f t="shared" si="2"/>
        <v>0</v>
      </c>
      <c r="L864" s="117"/>
    </row>
    <row r="865" ht="15.75" customHeight="1">
      <c r="A865" s="9"/>
      <c r="B865" s="164"/>
      <c r="C865" s="110"/>
      <c r="D865" s="156"/>
      <c r="E865" s="111"/>
      <c r="F865" s="112"/>
      <c r="G865" s="113"/>
      <c r="H865" s="53">
        <f t="shared" si="1"/>
        <v>0</v>
      </c>
      <c r="I865" s="115"/>
      <c r="J865" s="115"/>
      <c r="K865" s="60">
        <f t="shared" si="2"/>
        <v>0</v>
      </c>
      <c r="L865" s="117"/>
    </row>
    <row r="866" ht="15.75" customHeight="1">
      <c r="A866" s="9"/>
      <c r="B866" s="164"/>
      <c r="C866" s="110"/>
      <c r="D866" s="156"/>
      <c r="E866" s="111"/>
      <c r="F866" s="112"/>
      <c r="G866" s="113"/>
      <c r="H866" s="53">
        <f t="shared" si="1"/>
        <v>0</v>
      </c>
      <c r="I866" s="115"/>
      <c r="J866" s="115"/>
      <c r="K866" s="60">
        <f t="shared" si="2"/>
        <v>0</v>
      </c>
      <c r="L866" s="117"/>
    </row>
    <row r="867" ht="15.75" customHeight="1">
      <c r="A867" s="9"/>
      <c r="B867" s="164"/>
      <c r="C867" s="110"/>
      <c r="D867" s="156"/>
      <c r="E867" s="111"/>
      <c r="F867" s="112"/>
      <c r="G867" s="113"/>
      <c r="H867" s="53">
        <f t="shared" si="1"/>
        <v>0</v>
      </c>
      <c r="I867" s="115"/>
      <c r="J867" s="115"/>
      <c r="K867" s="60">
        <f t="shared" si="2"/>
        <v>0</v>
      </c>
      <c r="L867" s="117"/>
    </row>
    <row r="868" ht="15.75" customHeight="1">
      <c r="A868" s="9"/>
      <c r="B868" s="164"/>
      <c r="C868" s="110"/>
      <c r="D868" s="156"/>
      <c r="E868" s="111"/>
      <c r="F868" s="112"/>
      <c r="G868" s="113"/>
      <c r="H868" s="53">
        <f t="shared" si="1"/>
        <v>0</v>
      </c>
      <c r="I868" s="115"/>
      <c r="J868" s="115"/>
      <c r="K868" s="60">
        <f t="shared" si="2"/>
        <v>0</v>
      </c>
      <c r="L868" s="117"/>
    </row>
    <row r="869" ht="15.75" customHeight="1">
      <c r="A869" s="9"/>
      <c r="B869" s="164"/>
      <c r="C869" s="110"/>
      <c r="D869" s="156"/>
      <c r="E869" s="111"/>
      <c r="F869" s="112"/>
      <c r="G869" s="113"/>
      <c r="H869" s="53">
        <f t="shared" si="1"/>
        <v>0</v>
      </c>
      <c r="I869" s="115"/>
      <c r="J869" s="115"/>
      <c r="K869" s="60">
        <f t="shared" si="2"/>
        <v>0</v>
      </c>
      <c r="L869" s="117"/>
    </row>
    <row r="870" ht="15.75" customHeight="1">
      <c r="A870" s="9"/>
      <c r="B870" s="164"/>
      <c r="C870" s="110"/>
      <c r="D870" s="156"/>
      <c r="E870" s="111"/>
      <c r="F870" s="112"/>
      <c r="G870" s="113"/>
      <c r="H870" s="53">
        <f t="shared" si="1"/>
        <v>0</v>
      </c>
      <c r="I870" s="115"/>
      <c r="J870" s="115"/>
      <c r="K870" s="60">
        <f t="shared" si="2"/>
        <v>0</v>
      </c>
      <c r="L870" s="117"/>
    </row>
    <row r="871" ht="15.75" customHeight="1">
      <c r="A871" s="9"/>
      <c r="B871" s="164"/>
      <c r="C871" s="110"/>
      <c r="D871" s="156"/>
      <c r="E871" s="111"/>
      <c r="F871" s="112"/>
      <c r="G871" s="113"/>
      <c r="H871" s="53">
        <f t="shared" si="1"/>
        <v>0</v>
      </c>
      <c r="I871" s="115"/>
      <c r="J871" s="115"/>
      <c r="K871" s="60">
        <f t="shared" si="2"/>
        <v>0</v>
      </c>
      <c r="L871" s="117"/>
    </row>
    <row r="872" ht="15.75" customHeight="1">
      <c r="A872" s="9"/>
      <c r="B872" s="164"/>
      <c r="C872" s="110"/>
      <c r="D872" s="156"/>
      <c r="E872" s="111"/>
      <c r="F872" s="112"/>
      <c r="G872" s="113"/>
      <c r="H872" s="53">
        <f t="shared" si="1"/>
        <v>0</v>
      </c>
      <c r="I872" s="115"/>
      <c r="J872" s="115"/>
      <c r="K872" s="60">
        <f t="shared" si="2"/>
        <v>0</v>
      </c>
      <c r="L872" s="117"/>
    </row>
    <row r="873" ht="15.75" customHeight="1">
      <c r="A873" s="9"/>
      <c r="B873" s="164"/>
      <c r="C873" s="110"/>
      <c r="D873" s="156"/>
      <c r="E873" s="111"/>
      <c r="F873" s="112"/>
      <c r="G873" s="113"/>
      <c r="H873" s="53">
        <f t="shared" si="1"/>
        <v>0</v>
      </c>
      <c r="I873" s="115"/>
      <c r="J873" s="115"/>
      <c r="K873" s="60">
        <f t="shared" si="2"/>
        <v>0</v>
      </c>
      <c r="L873" s="117"/>
    </row>
    <row r="874" ht="15.75" customHeight="1">
      <c r="A874" s="9"/>
      <c r="B874" s="164"/>
      <c r="C874" s="110"/>
      <c r="D874" s="156"/>
      <c r="E874" s="111"/>
      <c r="F874" s="112"/>
      <c r="G874" s="113"/>
      <c r="H874" s="53">
        <f t="shared" si="1"/>
        <v>0</v>
      </c>
      <c r="I874" s="115"/>
      <c r="J874" s="115"/>
      <c r="K874" s="60">
        <f t="shared" si="2"/>
        <v>0</v>
      </c>
      <c r="L874" s="117"/>
    </row>
    <row r="875" ht="15.75" customHeight="1">
      <c r="A875" s="9"/>
      <c r="B875" s="164"/>
      <c r="C875" s="110"/>
      <c r="D875" s="156"/>
      <c r="E875" s="111"/>
      <c r="F875" s="112"/>
      <c r="G875" s="113"/>
      <c r="H875" s="53">
        <f t="shared" si="1"/>
        <v>0</v>
      </c>
      <c r="I875" s="115"/>
      <c r="J875" s="115"/>
      <c r="K875" s="60">
        <f t="shared" si="2"/>
        <v>0</v>
      </c>
      <c r="L875" s="117"/>
    </row>
    <row r="876" ht="15.75" customHeight="1">
      <c r="A876" s="9"/>
      <c r="B876" s="164"/>
      <c r="C876" s="110"/>
      <c r="D876" s="156"/>
      <c r="E876" s="111"/>
      <c r="F876" s="112"/>
      <c r="G876" s="113"/>
      <c r="H876" s="53">
        <f t="shared" si="1"/>
        <v>0</v>
      </c>
      <c r="I876" s="115"/>
      <c r="J876" s="115"/>
      <c r="K876" s="60">
        <f t="shared" si="2"/>
        <v>0</v>
      </c>
      <c r="L876" s="117"/>
    </row>
    <row r="877" ht="15.75" customHeight="1">
      <c r="A877" s="9"/>
      <c r="B877" s="164"/>
      <c r="C877" s="110"/>
      <c r="D877" s="156"/>
      <c r="E877" s="111"/>
      <c r="F877" s="112"/>
      <c r="G877" s="113"/>
      <c r="H877" s="53">
        <f t="shared" si="1"/>
        <v>0</v>
      </c>
      <c r="I877" s="115"/>
      <c r="J877" s="115"/>
      <c r="K877" s="60">
        <f t="shared" si="2"/>
        <v>0</v>
      </c>
      <c r="L877" s="117"/>
    </row>
    <row r="878" ht="15.75" customHeight="1">
      <c r="A878" s="9"/>
      <c r="B878" s="164"/>
      <c r="C878" s="110"/>
      <c r="D878" s="156"/>
      <c r="E878" s="111"/>
      <c r="F878" s="112"/>
      <c r="G878" s="113"/>
      <c r="H878" s="53">
        <f t="shared" si="1"/>
        <v>0</v>
      </c>
      <c r="I878" s="115"/>
      <c r="J878" s="115"/>
      <c r="K878" s="60">
        <f t="shared" si="2"/>
        <v>0</v>
      </c>
      <c r="L878" s="117"/>
    </row>
    <row r="879" ht="15.75" customHeight="1">
      <c r="A879" s="9"/>
      <c r="B879" s="164"/>
      <c r="C879" s="110"/>
      <c r="D879" s="156"/>
      <c r="E879" s="111"/>
      <c r="F879" s="112"/>
      <c r="G879" s="113"/>
      <c r="H879" s="53">
        <f t="shared" si="1"/>
        <v>0</v>
      </c>
      <c r="I879" s="115"/>
      <c r="J879" s="115"/>
      <c r="K879" s="60">
        <f t="shared" si="2"/>
        <v>0</v>
      </c>
      <c r="L879" s="117"/>
    </row>
    <row r="880" ht="15.75" customHeight="1">
      <c r="A880" s="9"/>
      <c r="B880" s="164"/>
      <c r="C880" s="110"/>
      <c r="D880" s="156"/>
      <c r="E880" s="111"/>
      <c r="F880" s="112"/>
      <c r="G880" s="113"/>
      <c r="H880" s="53">
        <f t="shared" si="1"/>
        <v>0</v>
      </c>
      <c r="I880" s="115"/>
      <c r="J880" s="115"/>
      <c r="K880" s="60">
        <f t="shared" si="2"/>
        <v>0</v>
      </c>
      <c r="L880" s="117"/>
    </row>
    <row r="881" ht="15.75" customHeight="1">
      <c r="A881" s="9"/>
      <c r="B881" s="164"/>
      <c r="C881" s="110"/>
      <c r="D881" s="156"/>
      <c r="E881" s="111"/>
      <c r="F881" s="112"/>
      <c r="G881" s="113"/>
      <c r="H881" s="53">
        <f t="shared" si="1"/>
        <v>0</v>
      </c>
      <c r="I881" s="115"/>
      <c r="J881" s="115"/>
      <c r="K881" s="60">
        <f t="shared" si="2"/>
        <v>0</v>
      </c>
      <c r="L881" s="117"/>
    </row>
    <row r="882" ht="15.75" customHeight="1">
      <c r="A882" s="9"/>
      <c r="B882" s="164"/>
      <c r="C882" s="110"/>
      <c r="D882" s="156"/>
      <c r="E882" s="111"/>
      <c r="F882" s="112"/>
      <c r="G882" s="113"/>
      <c r="H882" s="53">
        <f t="shared" si="1"/>
        <v>0</v>
      </c>
      <c r="I882" s="115"/>
      <c r="J882" s="115"/>
      <c r="K882" s="60">
        <f t="shared" si="2"/>
        <v>0</v>
      </c>
      <c r="L882" s="117"/>
    </row>
    <row r="883" ht="15.75" customHeight="1">
      <c r="A883" s="9"/>
      <c r="B883" s="164"/>
      <c r="C883" s="110"/>
      <c r="D883" s="156"/>
      <c r="E883" s="111"/>
      <c r="F883" s="112"/>
      <c r="G883" s="113"/>
      <c r="H883" s="53">
        <f t="shared" si="1"/>
        <v>0</v>
      </c>
      <c r="I883" s="115"/>
      <c r="J883" s="115"/>
      <c r="K883" s="60">
        <f t="shared" si="2"/>
        <v>0</v>
      </c>
      <c r="L883" s="117"/>
    </row>
    <row r="884" ht="15.75" customHeight="1">
      <c r="A884" s="9"/>
      <c r="B884" s="164"/>
      <c r="C884" s="110"/>
      <c r="D884" s="156"/>
      <c r="E884" s="111"/>
      <c r="F884" s="112"/>
      <c r="G884" s="113"/>
      <c r="H884" s="53">
        <f t="shared" si="1"/>
        <v>0</v>
      </c>
      <c r="I884" s="115"/>
      <c r="J884" s="115"/>
      <c r="K884" s="60">
        <f t="shared" si="2"/>
        <v>0</v>
      </c>
      <c r="L884" s="117"/>
    </row>
    <row r="885" ht="15.75" customHeight="1">
      <c r="A885" s="9"/>
      <c r="B885" s="164"/>
      <c r="C885" s="110"/>
      <c r="D885" s="156"/>
      <c r="E885" s="111"/>
      <c r="F885" s="112"/>
      <c r="G885" s="113"/>
      <c r="H885" s="53">
        <f t="shared" si="1"/>
        <v>0</v>
      </c>
      <c r="I885" s="115"/>
      <c r="J885" s="115"/>
      <c r="K885" s="60">
        <f t="shared" si="2"/>
        <v>0</v>
      </c>
      <c r="L885" s="117"/>
    </row>
    <row r="886" ht="15.75" customHeight="1">
      <c r="A886" s="9"/>
      <c r="B886" s="164"/>
      <c r="C886" s="110"/>
      <c r="D886" s="156"/>
      <c r="E886" s="111"/>
      <c r="F886" s="112"/>
      <c r="G886" s="113"/>
      <c r="H886" s="53">
        <f t="shared" si="1"/>
        <v>0</v>
      </c>
      <c r="I886" s="115"/>
      <c r="J886" s="115"/>
      <c r="K886" s="60">
        <f t="shared" si="2"/>
        <v>0</v>
      </c>
      <c r="L886" s="117"/>
    </row>
    <row r="887" ht="15.75" customHeight="1">
      <c r="A887" s="9"/>
      <c r="B887" s="164"/>
      <c r="C887" s="110"/>
      <c r="D887" s="156"/>
      <c r="E887" s="111"/>
      <c r="F887" s="112"/>
      <c r="G887" s="113"/>
      <c r="H887" s="53">
        <f t="shared" si="1"/>
        <v>0</v>
      </c>
      <c r="I887" s="115"/>
      <c r="J887" s="115"/>
      <c r="K887" s="60">
        <f t="shared" si="2"/>
        <v>0</v>
      </c>
      <c r="L887" s="117"/>
    </row>
    <row r="888" ht="15.75" customHeight="1">
      <c r="A888" s="9"/>
      <c r="B888" s="164"/>
      <c r="C888" s="110"/>
      <c r="D888" s="156"/>
      <c r="E888" s="111"/>
      <c r="F888" s="112"/>
      <c r="G888" s="113"/>
      <c r="H888" s="53">
        <f t="shared" si="1"/>
        <v>0</v>
      </c>
      <c r="I888" s="115"/>
      <c r="J888" s="115"/>
      <c r="K888" s="60">
        <f t="shared" si="2"/>
        <v>0</v>
      </c>
      <c r="L888" s="117"/>
    </row>
    <row r="889" ht="15.75" customHeight="1">
      <c r="A889" s="186"/>
      <c r="B889" s="164"/>
      <c r="C889" s="110"/>
      <c r="D889" s="156"/>
      <c r="E889" s="111"/>
      <c r="F889" s="110"/>
      <c r="G889" s="110"/>
      <c r="H889" s="53">
        <f t="shared" si="1"/>
        <v>0</v>
      </c>
      <c r="I889" s="110"/>
      <c r="J889" s="110"/>
      <c r="K889" s="60">
        <f t="shared" si="2"/>
        <v>0</v>
      </c>
      <c r="L889" s="117"/>
    </row>
    <row r="890" ht="15.75" customHeight="1">
      <c r="A890" s="186"/>
      <c r="B890" s="164"/>
      <c r="C890" s="110"/>
      <c r="D890" s="156"/>
      <c r="E890" s="111"/>
      <c r="F890" s="110"/>
      <c r="G890" s="110"/>
      <c r="H890" s="53">
        <f t="shared" si="1"/>
        <v>0</v>
      </c>
      <c r="I890" s="110"/>
      <c r="J890" s="110"/>
      <c r="K890" s="60">
        <f t="shared" si="2"/>
        <v>0</v>
      </c>
      <c r="L890" s="117"/>
    </row>
    <row r="891" ht="15.75" customHeight="1">
      <c r="A891" s="186"/>
      <c r="B891" s="164"/>
      <c r="C891" s="110"/>
      <c r="D891" s="156"/>
      <c r="E891" s="111"/>
      <c r="F891" s="110"/>
      <c r="G891" s="110"/>
      <c r="H891" s="53">
        <f t="shared" si="1"/>
        <v>0</v>
      </c>
      <c r="I891" s="110"/>
      <c r="J891" s="110"/>
      <c r="K891" s="60">
        <f t="shared" si="2"/>
        <v>0</v>
      </c>
      <c r="L891" s="117"/>
    </row>
    <row r="892" ht="15.75" customHeight="1">
      <c r="A892" s="186"/>
      <c r="B892" s="164"/>
      <c r="C892" s="110"/>
      <c r="D892" s="156"/>
      <c r="E892" s="111"/>
      <c r="F892" s="110"/>
      <c r="G892" s="110"/>
      <c r="H892" s="53">
        <f t="shared" si="1"/>
        <v>0</v>
      </c>
      <c r="I892" s="110"/>
      <c r="J892" s="110"/>
      <c r="K892" s="60">
        <f t="shared" si="2"/>
        <v>0</v>
      </c>
      <c r="L892" s="117"/>
    </row>
    <row r="893" ht="15.75" customHeight="1">
      <c r="A893" s="186"/>
      <c r="B893" s="164"/>
      <c r="C893" s="110"/>
      <c r="D893" s="156"/>
      <c r="E893" s="111"/>
      <c r="F893" s="110"/>
      <c r="G893" s="110"/>
      <c r="H893" s="53">
        <f t="shared" si="1"/>
        <v>0</v>
      </c>
      <c r="I893" s="110"/>
      <c r="J893" s="110"/>
      <c r="K893" s="60">
        <f t="shared" si="2"/>
        <v>0</v>
      </c>
      <c r="L893" s="117"/>
    </row>
    <row r="894" ht="15.75" customHeight="1">
      <c r="A894" s="186"/>
      <c r="B894" s="164"/>
      <c r="C894" s="110"/>
      <c r="D894" s="156"/>
      <c r="E894" s="111"/>
      <c r="F894" s="110"/>
      <c r="G894" s="110"/>
      <c r="H894" s="53">
        <f t="shared" si="1"/>
        <v>0</v>
      </c>
      <c r="I894" s="110"/>
      <c r="J894" s="110"/>
      <c r="K894" s="60">
        <f t="shared" si="2"/>
        <v>0</v>
      </c>
      <c r="L894" s="117"/>
    </row>
    <row r="895" ht="15.75" customHeight="1">
      <c r="A895" s="186"/>
      <c r="B895" s="164"/>
      <c r="C895" s="110"/>
      <c r="D895" s="156"/>
      <c r="E895" s="111"/>
      <c r="F895" s="110"/>
      <c r="G895" s="110"/>
      <c r="H895" s="53">
        <f t="shared" si="1"/>
        <v>0</v>
      </c>
      <c r="I895" s="110"/>
      <c r="J895" s="110"/>
      <c r="K895" s="60">
        <f t="shared" si="2"/>
        <v>0</v>
      </c>
      <c r="L895" s="117"/>
    </row>
    <row r="896" ht="15.75" customHeight="1">
      <c r="A896" s="186"/>
      <c r="B896" s="164"/>
      <c r="C896" s="110"/>
      <c r="D896" s="156"/>
      <c r="E896" s="111"/>
      <c r="F896" s="110"/>
      <c r="G896" s="110"/>
      <c r="H896" s="53">
        <f t="shared" si="1"/>
        <v>0</v>
      </c>
      <c r="I896" s="110"/>
      <c r="J896" s="110"/>
      <c r="K896" s="60">
        <f t="shared" si="2"/>
        <v>0</v>
      </c>
      <c r="L896" s="117"/>
    </row>
    <row r="897" ht="15.75" customHeight="1">
      <c r="A897" s="186"/>
      <c r="B897" s="164"/>
      <c r="C897" s="110"/>
      <c r="D897" s="156"/>
      <c r="E897" s="111"/>
      <c r="F897" s="110"/>
      <c r="G897" s="110"/>
      <c r="H897" s="53">
        <f t="shared" si="1"/>
        <v>0</v>
      </c>
      <c r="I897" s="110"/>
      <c r="J897" s="110"/>
      <c r="K897" s="60">
        <f t="shared" si="2"/>
        <v>0</v>
      </c>
      <c r="L897" s="117"/>
    </row>
    <row r="898" ht="15.75" customHeight="1">
      <c r="A898" s="186"/>
      <c r="B898" s="164"/>
      <c r="C898" s="110"/>
      <c r="D898" s="156"/>
      <c r="E898" s="111"/>
      <c r="F898" s="110"/>
      <c r="G898" s="110"/>
      <c r="H898" s="53">
        <f t="shared" si="1"/>
        <v>0</v>
      </c>
      <c r="I898" s="110"/>
      <c r="J898" s="110"/>
      <c r="K898" s="60">
        <f t="shared" si="2"/>
        <v>0</v>
      </c>
      <c r="L898" s="117"/>
    </row>
    <row r="899" ht="15.75" customHeight="1">
      <c r="A899" s="186"/>
      <c r="B899" s="164"/>
      <c r="C899" s="110"/>
      <c r="D899" s="156"/>
      <c r="E899" s="111"/>
      <c r="F899" s="110"/>
      <c r="G899" s="110"/>
      <c r="H899" s="53">
        <f t="shared" si="1"/>
        <v>0</v>
      </c>
      <c r="I899" s="110"/>
      <c r="J899" s="110"/>
      <c r="K899" s="60">
        <f t="shared" si="2"/>
        <v>0</v>
      </c>
      <c r="L899" s="117"/>
    </row>
    <row r="900" ht="15.75" customHeight="1">
      <c r="A900" s="186"/>
      <c r="B900" s="164"/>
      <c r="C900" s="110"/>
      <c r="D900" s="156"/>
      <c r="E900" s="111"/>
      <c r="F900" s="110"/>
      <c r="G900" s="110"/>
      <c r="H900" s="53">
        <f t="shared" si="1"/>
        <v>0</v>
      </c>
      <c r="I900" s="110"/>
      <c r="J900" s="110"/>
      <c r="K900" s="60">
        <f t="shared" si="2"/>
        <v>0</v>
      </c>
      <c r="L900" s="117"/>
    </row>
    <row r="901" ht="15.75" customHeight="1">
      <c r="A901" s="186"/>
      <c r="B901" s="164"/>
      <c r="C901" s="110"/>
      <c r="D901" s="156"/>
      <c r="E901" s="111"/>
      <c r="F901" s="110"/>
      <c r="G901" s="110"/>
      <c r="H901" s="53">
        <f t="shared" si="1"/>
        <v>0</v>
      </c>
      <c r="I901" s="110"/>
      <c r="J901" s="110"/>
      <c r="K901" s="60">
        <f t="shared" si="2"/>
        <v>0</v>
      </c>
      <c r="L901" s="117"/>
    </row>
    <row r="902" ht="15.75" customHeight="1">
      <c r="A902" s="186"/>
      <c r="B902" s="164"/>
      <c r="C902" s="110"/>
      <c r="D902" s="156"/>
      <c r="E902" s="111"/>
      <c r="F902" s="110"/>
      <c r="G902" s="110"/>
      <c r="H902" s="53">
        <f t="shared" si="1"/>
        <v>0</v>
      </c>
      <c r="I902" s="110"/>
      <c r="J902" s="110"/>
      <c r="K902" s="60">
        <f t="shared" si="2"/>
        <v>0</v>
      </c>
      <c r="L902" s="117"/>
    </row>
  </sheetData>
  <autoFilter ref="$B$1:$L$902"/>
  <dataValidations>
    <dataValidation type="list" allowBlank="1" showErrorMessage="1" sqref="E2:E902">
      <formula1>"Tanga Maju,Cós Laser,Tanga Laser"</formula1>
    </dataValidation>
    <dataValidation type="list" allowBlank="1" showErrorMessage="1" sqref="I2:I902">
      <formula1>"Pago,Aguardando Pagamento"</formula1>
    </dataValidation>
    <dataValidation type="list" allowBlank="1" showErrorMessage="1" sqref="L2:L902">
      <formula1>"Janeiro,Fevereiro,Março,Abril,Maio,Junho,Julho,Agosto,Setembro,Outubro,Novembro,Dezembro"</formula1>
    </dataValidation>
    <dataValidation type="list" allowBlank="1" showErrorMessage="1" sqref="J2:J902">
      <formula1>"2,00%,1,50%,1,00%"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83F04"/>
    <outlinePr summaryBelow="0" summaryRight="0"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17.5"/>
    <col customWidth="1" min="3" max="3" width="15.63"/>
    <col customWidth="1" min="4" max="4" width="23.75"/>
    <col customWidth="1" min="5" max="5" width="24.88"/>
    <col customWidth="1" min="6" max="6" width="16.13"/>
    <col customWidth="1" min="7" max="7" width="16.38"/>
    <col customWidth="1" min="8" max="8" width="15.38"/>
    <col customWidth="1" min="9" max="9" width="21.63"/>
    <col customWidth="1" min="10" max="10" width="19.63"/>
    <col customWidth="1" min="11" max="11" width="18.63"/>
    <col customWidth="1" min="12" max="12" width="19.13"/>
  </cols>
  <sheetData>
    <row r="1" ht="24.0" customHeight="1">
      <c r="A1" s="9"/>
      <c r="B1" s="14" t="s">
        <v>21</v>
      </c>
      <c r="C1" s="17" t="s">
        <v>22</v>
      </c>
      <c r="D1" s="17" t="s">
        <v>3</v>
      </c>
      <c r="E1" s="17" t="s">
        <v>8</v>
      </c>
      <c r="F1" s="17" t="s">
        <v>24</v>
      </c>
      <c r="G1" s="17" t="s">
        <v>7</v>
      </c>
      <c r="H1" s="17" t="s">
        <v>10</v>
      </c>
      <c r="I1" s="25" t="s">
        <v>25</v>
      </c>
      <c r="J1" s="25" t="s">
        <v>11</v>
      </c>
      <c r="K1" s="17" t="s">
        <v>16</v>
      </c>
      <c r="L1" s="29" t="s">
        <v>13</v>
      </c>
    </row>
    <row r="2" ht="15.75" customHeight="1">
      <c r="A2" s="9"/>
      <c r="B2" s="67">
        <v>46056.0</v>
      </c>
      <c r="C2" s="39"/>
      <c r="D2" s="188" t="s">
        <v>60</v>
      </c>
      <c r="E2" s="35" t="s">
        <v>62</v>
      </c>
      <c r="F2" s="43">
        <v>23.9</v>
      </c>
      <c r="G2" s="44">
        <v>37.54</v>
      </c>
      <c r="H2" s="53">
        <f t="shared" ref="H2:H898" si="1">F2*G2</f>
        <v>897.206</v>
      </c>
      <c r="I2" s="56" t="s">
        <v>36</v>
      </c>
      <c r="J2" s="57">
        <v>0.01</v>
      </c>
      <c r="K2" s="60">
        <f t="shared" ref="K2:K898" si="2">H2*J2</f>
        <v>8.97206</v>
      </c>
      <c r="L2" s="64" t="s">
        <v>46</v>
      </c>
    </row>
    <row r="3" ht="15.75" customHeight="1">
      <c r="A3" s="9"/>
      <c r="B3" s="67">
        <v>46057.0</v>
      </c>
      <c r="C3" s="39">
        <v>42177.0</v>
      </c>
      <c r="D3" s="188" t="s">
        <v>60</v>
      </c>
      <c r="E3" s="35" t="s">
        <v>98</v>
      </c>
      <c r="F3" s="43">
        <v>13.6</v>
      </c>
      <c r="G3" s="44">
        <v>60.0</v>
      </c>
      <c r="H3" s="53">
        <f t="shared" si="1"/>
        <v>816</v>
      </c>
      <c r="I3" s="56" t="s">
        <v>36</v>
      </c>
      <c r="J3" s="57">
        <v>0.0736</v>
      </c>
      <c r="K3" s="60">
        <f t="shared" si="2"/>
        <v>60.0576</v>
      </c>
      <c r="L3" s="64" t="s">
        <v>42</v>
      </c>
    </row>
    <row r="4" ht="15.75" customHeight="1">
      <c r="A4" s="9"/>
      <c r="B4" s="130"/>
      <c r="C4" s="181"/>
      <c r="D4" s="188" t="s">
        <v>99</v>
      </c>
      <c r="E4" s="35" t="s">
        <v>4</v>
      </c>
      <c r="F4" s="43">
        <v>3919.0</v>
      </c>
      <c r="G4" s="44">
        <v>100.0</v>
      </c>
      <c r="H4" s="53">
        <f t="shared" si="1"/>
        <v>391900</v>
      </c>
      <c r="I4" s="56" t="s">
        <v>36</v>
      </c>
      <c r="J4" s="57">
        <v>0.01</v>
      </c>
      <c r="K4" s="60">
        <f t="shared" si="2"/>
        <v>3919</v>
      </c>
      <c r="L4" s="64" t="s">
        <v>46</v>
      </c>
    </row>
    <row r="5" ht="15.75" customHeight="1">
      <c r="A5" s="9"/>
      <c r="B5" s="130"/>
      <c r="C5" s="181"/>
      <c r="D5" s="188" t="s">
        <v>100</v>
      </c>
      <c r="E5" s="35" t="s">
        <v>101</v>
      </c>
      <c r="F5" s="43">
        <v>4.79</v>
      </c>
      <c r="G5" s="44">
        <v>10000.0</v>
      </c>
      <c r="H5" s="53">
        <f t="shared" si="1"/>
        <v>47900</v>
      </c>
      <c r="I5" s="56" t="s">
        <v>36</v>
      </c>
      <c r="J5" s="57">
        <v>0.01</v>
      </c>
      <c r="K5" s="60">
        <f t="shared" si="2"/>
        <v>479</v>
      </c>
      <c r="L5" s="64" t="s">
        <v>46</v>
      </c>
    </row>
    <row r="6" ht="15.75" customHeight="1">
      <c r="A6" s="9"/>
      <c r="B6" s="67">
        <v>46153.0</v>
      </c>
      <c r="C6" s="39">
        <v>35452.0</v>
      </c>
      <c r="D6" s="188" t="s">
        <v>30</v>
      </c>
      <c r="E6" s="35" t="s">
        <v>32</v>
      </c>
      <c r="F6" s="43">
        <v>28.1</v>
      </c>
      <c r="G6" s="44">
        <v>56.18</v>
      </c>
      <c r="H6" s="53">
        <f t="shared" si="1"/>
        <v>1578.658</v>
      </c>
      <c r="I6" s="56" t="s">
        <v>36</v>
      </c>
      <c r="J6" s="57">
        <v>0.032</v>
      </c>
      <c r="K6" s="60">
        <f t="shared" si="2"/>
        <v>50.517056</v>
      </c>
      <c r="L6" s="64"/>
    </row>
    <row r="7" ht="15.75" customHeight="1">
      <c r="A7" s="9"/>
      <c r="B7" s="67">
        <v>46153.0</v>
      </c>
      <c r="C7" s="39">
        <v>35463.0</v>
      </c>
      <c r="D7" s="188" t="s">
        <v>30</v>
      </c>
      <c r="E7" s="35" t="s">
        <v>32</v>
      </c>
      <c r="F7" s="43">
        <v>29.9</v>
      </c>
      <c r="G7" s="44">
        <v>38.38</v>
      </c>
      <c r="H7" s="53">
        <f t="shared" si="1"/>
        <v>1147.562</v>
      </c>
      <c r="I7" s="56" t="s">
        <v>36</v>
      </c>
      <c r="J7" s="57">
        <v>0.0</v>
      </c>
      <c r="K7" s="60">
        <f t="shared" si="2"/>
        <v>0</v>
      </c>
      <c r="L7" s="64"/>
    </row>
    <row r="8" ht="15.75" customHeight="1">
      <c r="A8" s="9"/>
      <c r="B8" s="67">
        <v>46154.0</v>
      </c>
      <c r="C8" s="39">
        <v>35508.0</v>
      </c>
      <c r="D8" s="188" t="s">
        <v>102</v>
      </c>
      <c r="E8" s="35" t="s">
        <v>103</v>
      </c>
      <c r="F8" s="43">
        <v>74.35</v>
      </c>
      <c r="G8" s="44">
        <v>3.6</v>
      </c>
      <c r="H8" s="53">
        <f t="shared" si="1"/>
        <v>267.66</v>
      </c>
      <c r="I8" s="56" t="s">
        <v>36</v>
      </c>
      <c r="J8" s="57">
        <v>0.0744</v>
      </c>
      <c r="K8" s="60">
        <f t="shared" si="2"/>
        <v>19.913904</v>
      </c>
      <c r="L8" s="64"/>
    </row>
    <row r="9" ht="15.75" customHeight="1">
      <c r="A9" s="9"/>
      <c r="B9" s="67">
        <v>46155.0</v>
      </c>
      <c r="C9" s="39">
        <v>35525.0</v>
      </c>
      <c r="D9" s="188" t="s">
        <v>104</v>
      </c>
      <c r="E9" s="35" t="s">
        <v>32</v>
      </c>
      <c r="F9" s="43">
        <v>28.0</v>
      </c>
      <c r="G9" s="44">
        <v>109.36</v>
      </c>
      <c r="H9" s="53">
        <f t="shared" si="1"/>
        <v>3062.08</v>
      </c>
      <c r="I9" s="56" t="s">
        <v>36</v>
      </c>
      <c r="J9" s="57">
        <v>0.0294</v>
      </c>
      <c r="K9" s="60">
        <f t="shared" si="2"/>
        <v>90.025152</v>
      </c>
      <c r="L9" s="64"/>
    </row>
    <row r="10" ht="15.75" customHeight="1">
      <c r="A10" s="9"/>
      <c r="B10" s="105">
        <v>46161.0</v>
      </c>
      <c r="C10" s="39">
        <v>35668.0</v>
      </c>
      <c r="D10" s="199" t="s">
        <v>30</v>
      </c>
      <c r="E10" s="35" t="s">
        <v>32</v>
      </c>
      <c r="F10" s="108">
        <v>28.1</v>
      </c>
      <c r="G10" s="106">
        <v>56.98</v>
      </c>
      <c r="H10" s="53">
        <f t="shared" si="1"/>
        <v>1601.138</v>
      </c>
      <c r="I10" s="56" t="s">
        <v>36</v>
      </c>
      <c r="J10" s="57">
        <v>0.032</v>
      </c>
      <c r="K10" s="60">
        <f t="shared" si="2"/>
        <v>51.236416</v>
      </c>
      <c r="L10" s="64"/>
    </row>
    <row r="11" ht="15.75" customHeight="1">
      <c r="A11" s="9"/>
      <c r="B11" s="105">
        <v>46161.0</v>
      </c>
      <c r="C11" s="39">
        <v>35668.0</v>
      </c>
      <c r="D11" s="199" t="s">
        <v>30</v>
      </c>
      <c r="E11" s="35" t="s">
        <v>32</v>
      </c>
      <c r="F11" s="108">
        <v>28.9</v>
      </c>
      <c r="G11" s="106">
        <v>196.55</v>
      </c>
      <c r="H11" s="53">
        <f t="shared" si="1"/>
        <v>5680.295</v>
      </c>
      <c r="I11" s="56" t="s">
        <v>36</v>
      </c>
      <c r="J11" s="57">
        <v>0.0</v>
      </c>
      <c r="K11" s="60">
        <f t="shared" si="2"/>
        <v>0</v>
      </c>
      <c r="L11" s="117"/>
    </row>
    <row r="12" ht="15.75" customHeight="1">
      <c r="A12" s="9"/>
      <c r="B12" s="105">
        <v>46168.0</v>
      </c>
      <c r="C12" s="39">
        <v>35857.0</v>
      </c>
      <c r="D12" s="199" t="s">
        <v>30</v>
      </c>
      <c r="E12" s="35" t="s">
        <v>32</v>
      </c>
      <c r="F12" s="108">
        <v>28.1</v>
      </c>
      <c r="G12" s="106">
        <v>57.81</v>
      </c>
      <c r="H12" s="53">
        <f t="shared" si="1"/>
        <v>1624.461</v>
      </c>
      <c r="I12" s="56" t="s">
        <v>36</v>
      </c>
      <c r="J12" s="57">
        <v>0.032</v>
      </c>
      <c r="K12" s="60">
        <f t="shared" si="2"/>
        <v>51.982752</v>
      </c>
      <c r="L12" s="64"/>
    </row>
    <row r="13" ht="15.75" customHeight="1">
      <c r="A13" s="9"/>
      <c r="B13" s="105">
        <v>46197.0</v>
      </c>
      <c r="C13" s="56">
        <v>36659.0</v>
      </c>
      <c r="D13" s="199" t="s">
        <v>104</v>
      </c>
      <c r="E13" s="35" t="s">
        <v>32</v>
      </c>
      <c r="F13" s="108">
        <v>28.0</v>
      </c>
      <c r="G13" s="113">
        <f>19.65+18.52+19.29+19.06</f>
        <v>76.52</v>
      </c>
      <c r="H13" s="53">
        <f t="shared" si="1"/>
        <v>2142.56</v>
      </c>
      <c r="I13" s="56" t="s">
        <v>36</v>
      </c>
      <c r="J13" s="57">
        <v>0.0294</v>
      </c>
      <c r="K13" s="60">
        <f t="shared" si="2"/>
        <v>62.991264</v>
      </c>
      <c r="L13" s="117"/>
    </row>
    <row r="14" ht="15.75" customHeight="1">
      <c r="A14" s="9"/>
      <c r="B14" s="105">
        <v>46210.0</v>
      </c>
      <c r="C14" s="110"/>
      <c r="D14" s="199" t="s">
        <v>30</v>
      </c>
      <c r="E14" s="35" t="s">
        <v>32</v>
      </c>
      <c r="F14" s="108">
        <v>28.1</v>
      </c>
      <c r="G14" s="106">
        <v>55.78</v>
      </c>
      <c r="H14" s="53">
        <f t="shared" si="1"/>
        <v>1567.418</v>
      </c>
      <c r="I14" s="56" t="s">
        <v>36</v>
      </c>
      <c r="J14" s="57">
        <v>0.0272</v>
      </c>
      <c r="K14" s="60">
        <f t="shared" si="2"/>
        <v>42.6337696</v>
      </c>
      <c r="L14" s="117"/>
    </row>
    <row r="15" ht="15.75" customHeight="1">
      <c r="A15" s="9"/>
      <c r="B15" s="105">
        <v>46210.0</v>
      </c>
      <c r="C15" s="110"/>
      <c r="D15" s="199" t="s">
        <v>30</v>
      </c>
      <c r="E15" s="35" t="s">
        <v>91</v>
      </c>
      <c r="F15" s="108">
        <v>26.9</v>
      </c>
      <c r="G15" s="106">
        <v>111.2</v>
      </c>
      <c r="H15" s="53">
        <f t="shared" si="1"/>
        <v>2991.28</v>
      </c>
      <c r="I15" s="56" t="s">
        <v>36</v>
      </c>
      <c r="J15" s="57"/>
      <c r="K15" s="60">
        <f t="shared" si="2"/>
        <v>0</v>
      </c>
      <c r="L15" s="117"/>
    </row>
    <row r="16" ht="15.75" customHeight="1">
      <c r="A16" s="9"/>
      <c r="B16" s="105">
        <v>46212.0</v>
      </c>
      <c r="C16" s="110"/>
      <c r="D16" s="199" t="s">
        <v>105</v>
      </c>
      <c r="E16" s="35" t="s">
        <v>91</v>
      </c>
      <c r="F16" s="108">
        <v>26.9</v>
      </c>
      <c r="G16" s="106">
        <v>87.73</v>
      </c>
      <c r="H16" s="53">
        <f t="shared" si="1"/>
        <v>2359.937</v>
      </c>
      <c r="I16" s="56" t="s">
        <v>36</v>
      </c>
      <c r="J16" s="57"/>
      <c r="K16" s="60">
        <f t="shared" si="2"/>
        <v>0</v>
      </c>
      <c r="L16" s="117"/>
    </row>
    <row r="17" ht="15.75" customHeight="1">
      <c r="A17" s="9"/>
      <c r="B17" s="105">
        <v>46224.0</v>
      </c>
      <c r="C17" s="110"/>
      <c r="D17" s="199" t="s">
        <v>30</v>
      </c>
      <c r="E17" s="35" t="s">
        <v>32</v>
      </c>
      <c r="F17" s="108">
        <v>28.1</v>
      </c>
      <c r="G17" s="106">
        <v>57.87</v>
      </c>
      <c r="H17" s="53">
        <f t="shared" si="1"/>
        <v>1626.147</v>
      </c>
      <c r="I17" s="56" t="s">
        <v>36</v>
      </c>
      <c r="J17" s="57">
        <v>0.0285</v>
      </c>
      <c r="K17" s="60">
        <f t="shared" si="2"/>
        <v>46.3451895</v>
      </c>
      <c r="L17" s="117"/>
    </row>
    <row r="18" ht="15.75" customHeight="1">
      <c r="A18" s="9"/>
      <c r="B18" s="130"/>
      <c r="C18" s="111"/>
      <c r="D18" s="199" t="s">
        <v>30</v>
      </c>
      <c r="E18" s="35" t="s">
        <v>32</v>
      </c>
      <c r="F18" s="183">
        <v>28.1</v>
      </c>
      <c r="G18" s="184">
        <v>58.25</v>
      </c>
      <c r="H18" s="53">
        <f t="shared" si="1"/>
        <v>1636.825</v>
      </c>
      <c r="I18" s="56" t="s">
        <v>36</v>
      </c>
      <c r="J18" s="57">
        <v>0.0285</v>
      </c>
      <c r="K18" s="60">
        <f t="shared" si="2"/>
        <v>46.6495125</v>
      </c>
      <c r="L18" s="117"/>
    </row>
    <row r="19" ht="15.75" customHeight="1">
      <c r="A19" s="9"/>
      <c r="B19" s="130"/>
      <c r="C19" s="111"/>
      <c r="D19" s="200" t="s">
        <v>106</v>
      </c>
      <c r="E19" s="35" t="s">
        <v>91</v>
      </c>
      <c r="F19" s="183">
        <v>26.9</v>
      </c>
      <c r="G19" s="184">
        <v>80.0</v>
      </c>
      <c r="H19" s="53">
        <f t="shared" si="1"/>
        <v>2152</v>
      </c>
      <c r="I19" s="56" t="s">
        <v>36</v>
      </c>
      <c r="J19" s="57"/>
      <c r="K19" s="60">
        <f t="shared" si="2"/>
        <v>0</v>
      </c>
      <c r="L19" s="117"/>
    </row>
    <row r="20" ht="15.75" customHeight="1">
      <c r="A20" s="9"/>
      <c r="B20" s="130"/>
      <c r="C20" s="111"/>
      <c r="D20" s="200" t="s">
        <v>30</v>
      </c>
      <c r="E20" s="35" t="s">
        <v>32</v>
      </c>
      <c r="F20" s="183">
        <v>28.1</v>
      </c>
      <c r="G20" s="134">
        <f>19.74+19.58+19.08</f>
        <v>58.4</v>
      </c>
      <c r="H20" s="53">
        <f t="shared" si="1"/>
        <v>1641.04</v>
      </c>
      <c r="I20" s="56" t="s">
        <v>36</v>
      </c>
      <c r="J20" s="57">
        <v>0.0285</v>
      </c>
      <c r="K20" s="60">
        <f t="shared" si="2"/>
        <v>46.76964</v>
      </c>
      <c r="L20" s="117"/>
    </row>
    <row r="21" ht="15.75" customHeight="1">
      <c r="A21" s="9"/>
      <c r="B21" s="138"/>
      <c r="C21" s="111"/>
      <c r="D21" s="131"/>
      <c r="E21" s="35"/>
      <c r="F21" s="53"/>
      <c r="G21" s="134"/>
      <c r="H21" s="53">
        <f t="shared" si="1"/>
        <v>0</v>
      </c>
      <c r="I21" s="115"/>
      <c r="J21" s="57"/>
      <c r="K21" s="60">
        <f t="shared" si="2"/>
        <v>0</v>
      </c>
      <c r="L21" s="117"/>
    </row>
    <row r="22" ht="15.75" customHeight="1">
      <c r="A22" s="9"/>
      <c r="B22" s="130"/>
      <c r="C22" s="111"/>
      <c r="D22" s="131"/>
      <c r="E22" s="35"/>
      <c r="F22" s="53"/>
      <c r="G22" s="134"/>
      <c r="H22" s="53">
        <f t="shared" si="1"/>
        <v>0</v>
      </c>
      <c r="I22" s="115"/>
      <c r="J22" s="57"/>
      <c r="K22" s="60">
        <f t="shared" si="2"/>
        <v>0</v>
      </c>
      <c r="L22" s="117"/>
    </row>
    <row r="23" ht="15.75" customHeight="1">
      <c r="A23" s="9"/>
      <c r="B23" s="130"/>
      <c r="C23" s="111"/>
      <c r="D23" s="131"/>
      <c r="E23" s="35"/>
      <c r="F23" s="53"/>
      <c r="G23" s="134"/>
      <c r="H23" s="53">
        <f t="shared" si="1"/>
        <v>0</v>
      </c>
      <c r="I23" s="115"/>
      <c r="J23" s="57"/>
      <c r="K23" s="60">
        <f t="shared" si="2"/>
        <v>0</v>
      </c>
      <c r="L23" s="117"/>
    </row>
    <row r="24" ht="15.75" customHeight="1">
      <c r="A24" s="9"/>
      <c r="B24" s="130"/>
      <c r="C24" s="111"/>
      <c r="D24" s="131"/>
      <c r="E24" s="35"/>
      <c r="F24" s="53"/>
      <c r="G24" s="134"/>
      <c r="H24" s="53">
        <f t="shared" si="1"/>
        <v>0</v>
      </c>
      <c r="I24" s="115"/>
      <c r="J24" s="57"/>
      <c r="K24" s="60">
        <f t="shared" si="2"/>
        <v>0</v>
      </c>
      <c r="L24" s="117"/>
    </row>
    <row r="25" ht="15.75" customHeight="1">
      <c r="A25" s="9"/>
      <c r="B25" s="130"/>
      <c r="C25" s="111"/>
      <c r="D25" s="131"/>
      <c r="E25" s="35"/>
      <c r="F25" s="53"/>
      <c r="G25" s="134"/>
      <c r="H25" s="53">
        <f t="shared" si="1"/>
        <v>0</v>
      </c>
      <c r="I25" s="115"/>
      <c r="J25" s="57"/>
      <c r="K25" s="60">
        <f t="shared" si="2"/>
        <v>0</v>
      </c>
      <c r="L25" s="117"/>
    </row>
    <row r="26" ht="15.75" customHeight="1">
      <c r="A26" s="9"/>
      <c r="B26" s="130"/>
      <c r="C26" s="111"/>
      <c r="D26" s="131"/>
      <c r="E26" s="35"/>
      <c r="F26" s="53"/>
      <c r="G26" s="134"/>
      <c r="H26" s="53">
        <f t="shared" si="1"/>
        <v>0</v>
      </c>
      <c r="I26" s="115"/>
      <c r="J26" s="57"/>
      <c r="K26" s="60">
        <f t="shared" si="2"/>
        <v>0</v>
      </c>
      <c r="L26" s="117"/>
    </row>
    <row r="27" ht="15.75" customHeight="1">
      <c r="A27" s="9"/>
      <c r="B27" s="130"/>
      <c r="C27" s="111"/>
      <c r="D27" s="131"/>
      <c r="E27" s="35"/>
      <c r="F27" s="53"/>
      <c r="G27" s="134"/>
      <c r="H27" s="53">
        <f t="shared" si="1"/>
        <v>0</v>
      </c>
      <c r="I27" s="115"/>
      <c r="J27" s="57"/>
      <c r="K27" s="60">
        <f t="shared" si="2"/>
        <v>0</v>
      </c>
      <c r="L27" s="117"/>
    </row>
    <row r="28" ht="15.75" customHeight="1">
      <c r="A28" s="9"/>
      <c r="B28" s="130"/>
      <c r="C28" s="111"/>
      <c r="D28" s="131"/>
      <c r="E28" s="35"/>
      <c r="F28" s="53"/>
      <c r="G28" s="134"/>
      <c r="H28" s="53">
        <f t="shared" si="1"/>
        <v>0</v>
      </c>
      <c r="I28" s="115"/>
      <c r="J28" s="57"/>
      <c r="K28" s="60">
        <f t="shared" si="2"/>
        <v>0</v>
      </c>
      <c r="L28" s="117"/>
    </row>
    <row r="29" ht="15.75" customHeight="1">
      <c r="A29" s="9"/>
      <c r="B29" s="130"/>
      <c r="C29" s="111"/>
      <c r="D29" s="131"/>
      <c r="E29" s="35"/>
      <c r="F29" s="53"/>
      <c r="G29" s="134"/>
      <c r="H29" s="53">
        <f t="shared" si="1"/>
        <v>0</v>
      </c>
      <c r="I29" s="115"/>
      <c r="J29" s="57"/>
      <c r="K29" s="60">
        <f t="shared" si="2"/>
        <v>0</v>
      </c>
      <c r="L29" s="117"/>
    </row>
    <row r="30" ht="15.75" customHeight="1">
      <c r="A30" s="9"/>
      <c r="B30" s="130"/>
      <c r="C30" s="111"/>
      <c r="D30" s="131"/>
      <c r="E30" s="35"/>
      <c r="F30" s="53"/>
      <c r="G30" s="134"/>
      <c r="H30" s="53">
        <f t="shared" si="1"/>
        <v>0</v>
      </c>
      <c r="I30" s="115"/>
      <c r="J30" s="57"/>
      <c r="K30" s="60">
        <f t="shared" si="2"/>
        <v>0</v>
      </c>
      <c r="L30" s="117"/>
    </row>
    <row r="31" ht="15.75" customHeight="1">
      <c r="A31" s="9"/>
      <c r="B31" s="130"/>
      <c r="C31" s="111"/>
      <c r="D31" s="131"/>
      <c r="E31" s="35"/>
      <c r="F31" s="53"/>
      <c r="G31" s="134"/>
      <c r="H31" s="53">
        <f t="shared" si="1"/>
        <v>0</v>
      </c>
      <c r="I31" s="115"/>
      <c r="J31" s="57"/>
      <c r="K31" s="60">
        <f t="shared" si="2"/>
        <v>0</v>
      </c>
      <c r="L31" s="117"/>
    </row>
    <row r="32" ht="15.75" customHeight="1">
      <c r="A32" s="9"/>
      <c r="B32" s="155"/>
      <c r="C32" s="111"/>
      <c r="D32" s="131"/>
      <c r="E32" s="35"/>
      <c r="F32" s="53"/>
      <c r="G32" s="134"/>
      <c r="H32" s="53">
        <f t="shared" si="1"/>
        <v>0</v>
      </c>
      <c r="I32" s="115"/>
      <c r="J32" s="57"/>
      <c r="K32" s="60">
        <f t="shared" si="2"/>
        <v>0</v>
      </c>
      <c r="L32" s="117"/>
    </row>
    <row r="33" ht="15.75" customHeight="1">
      <c r="A33" s="9" t="s">
        <v>37</v>
      </c>
      <c r="B33" s="109"/>
      <c r="C33" s="110"/>
      <c r="D33" s="156"/>
      <c r="E33" s="35"/>
      <c r="F33" s="112"/>
      <c r="G33" s="113"/>
      <c r="H33" s="53">
        <f t="shared" si="1"/>
        <v>0</v>
      </c>
      <c r="I33" s="115"/>
      <c r="J33" s="57"/>
      <c r="K33" s="60">
        <f t="shared" si="2"/>
        <v>0</v>
      </c>
      <c r="L33" s="117"/>
    </row>
    <row r="34" ht="15.75" customHeight="1">
      <c r="A34" s="9"/>
      <c r="B34" s="109"/>
      <c r="C34" s="110"/>
      <c r="D34" s="156"/>
      <c r="E34" s="35"/>
      <c r="F34" s="112"/>
      <c r="G34" s="113"/>
      <c r="H34" s="53">
        <f t="shared" si="1"/>
        <v>0</v>
      </c>
      <c r="I34" s="115"/>
      <c r="J34" s="57"/>
      <c r="K34" s="60">
        <f t="shared" si="2"/>
        <v>0</v>
      </c>
      <c r="L34" s="117"/>
    </row>
    <row r="35" ht="15.75" customHeight="1">
      <c r="A35" s="9"/>
      <c r="B35" s="109"/>
      <c r="C35" s="110"/>
      <c r="D35" s="156"/>
      <c r="E35" s="35"/>
      <c r="F35" s="112"/>
      <c r="G35" s="113"/>
      <c r="H35" s="53">
        <f t="shared" si="1"/>
        <v>0</v>
      </c>
      <c r="I35" s="115"/>
      <c r="J35" s="57"/>
      <c r="K35" s="60">
        <f t="shared" si="2"/>
        <v>0</v>
      </c>
      <c r="L35" s="117"/>
    </row>
    <row r="36" ht="15.75" customHeight="1">
      <c r="A36" s="9">
        <v>2025.0</v>
      </c>
      <c r="B36" s="109"/>
      <c r="C36" s="110"/>
      <c r="D36" s="156"/>
      <c r="E36" s="35"/>
      <c r="F36" s="112"/>
      <c r="G36" s="113"/>
      <c r="H36" s="53">
        <f t="shared" si="1"/>
        <v>0</v>
      </c>
      <c r="I36" s="115"/>
      <c r="J36" s="57"/>
      <c r="K36" s="60">
        <f t="shared" si="2"/>
        <v>0</v>
      </c>
      <c r="L36" s="117"/>
    </row>
    <row r="37" ht="15.75" customHeight="1">
      <c r="A37" s="9"/>
      <c r="B37" s="109"/>
      <c r="C37" s="110"/>
      <c r="D37" s="156"/>
      <c r="E37" s="35"/>
      <c r="F37" s="112"/>
      <c r="G37" s="113"/>
      <c r="H37" s="53">
        <f t="shared" si="1"/>
        <v>0</v>
      </c>
      <c r="I37" s="115"/>
      <c r="J37" s="57"/>
      <c r="K37" s="60">
        <f t="shared" si="2"/>
        <v>0</v>
      </c>
      <c r="L37" s="117"/>
    </row>
    <row r="38" ht="15.75" customHeight="1">
      <c r="A38" s="9"/>
      <c r="B38" s="163"/>
      <c r="C38" s="110"/>
      <c r="D38" s="156"/>
      <c r="E38" s="35"/>
      <c r="F38" s="112"/>
      <c r="G38" s="113"/>
      <c r="H38" s="53">
        <f t="shared" si="1"/>
        <v>0</v>
      </c>
      <c r="I38" s="115"/>
      <c r="J38" s="57"/>
      <c r="K38" s="60">
        <f t="shared" si="2"/>
        <v>0</v>
      </c>
      <c r="L38" s="117"/>
    </row>
    <row r="39" ht="15.75" customHeight="1">
      <c r="A39" s="9"/>
      <c r="B39" s="164"/>
      <c r="C39" s="110"/>
      <c r="D39" s="156"/>
      <c r="E39" s="35"/>
      <c r="F39" s="112"/>
      <c r="G39" s="113"/>
      <c r="H39" s="53">
        <f t="shared" si="1"/>
        <v>0</v>
      </c>
      <c r="I39" s="115"/>
      <c r="J39" s="57"/>
      <c r="K39" s="60">
        <f t="shared" si="2"/>
        <v>0</v>
      </c>
      <c r="L39" s="117"/>
    </row>
    <row r="40" ht="15.75" customHeight="1">
      <c r="A40" s="9"/>
      <c r="B40" s="164"/>
      <c r="C40" s="110"/>
      <c r="D40" s="156"/>
      <c r="E40" s="35"/>
      <c r="F40" s="112"/>
      <c r="G40" s="113"/>
      <c r="H40" s="53">
        <f t="shared" si="1"/>
        <v>0</v>
      </c>
      <c r="I40" s="115"/>
      <c r="J40" s="57"/>
      <c r="K40" s="60">
        <f t="shared" si="2"/>
        <v>0</v>
      </c>
      <c r="L40" s="117"/>
    </row>
    <row r="41" ht="15.75" customHeight="1">
      <c r="A41" s="9"/>
      <c r="B41" s="164"/>
      <c r="C41" s="110"/>
      <c r="D41" s="156"/>
      <c r="E41" s="35"/>
      <c r="F41" s="112"/>
      <c r="G41" s="113"/>
      <c r="H41" s="53">
        <f t="shared" si="1"/>
        <v>0</v>
      </c>
      <c r="I41" s="115"/>
      <c r="J41" s="57"/>
      <c r="K41" s="60">
        <f t="shared" si="2"/>
        <v>0</v>
      </c>
      <c r="L41" s="117"/>
    </row>
    <row r="42" ht="15.75" customHeight="1">
      <c r="A42" s="9"/>
      <c r="B42" s="164"/>
      <c r="C42" s="110"/>
      <c r="D42" s="156"/>
      <c r="E42" s="35"/>
      <c r="F42" s="112"/>
      <c r="G42" s="113"/>
      <c r="H42" s="53">
        <f t="shared" si="1"/>
        <v>0</v>
      </c>
      <c r="I42" s="115"/>
      <c r="J42" s="57"/>
      <c r="K42" s="60">
        <f t="shared" si="2"/>
        <v>0</v>
      </c>
      <c r="L42" s="117"/>
    </row>
    <row r="43" ht="15.75" customHeight="1">
      <c r="A43" s="9"/>
      <c r="B43" s="164"/>
      <c r="C43" s="110"/>
      <c r="D43" s="156"/>
      <c r="E43" s="35"/>
      <c r="F43" s="112"/>
      <c r="G43" s="113"/>
      <c r="H43" s="53">
        <f t="shared" si="1"/>
        <v>0</v>
      </c>
      <c r="I43" s="115"/>
      <c r="J43" s="57"/>
      <c r="K43" s="60">
        <f t="shared" si="2"/>
        <v>0</v>
      </c>
      <c r="L43" s="117"/>
    </row>
    <row r="44" ht="15.75" customHeight="1">
      <c r="A44" s="9"/>
      <c r="B44" s="164"/>
      <c r="C44" s="110"/>
      <c r="D44" s="156"/>
      <c r="E44" s="35"/>
      <c r="F44" s="112"/>
      <c r="G44" s="113"/>
      <c r="H44" s="53">
        <f t="shared" si="1"/>
        <v>0</v>
      </c>
      <c r="I44" s="115"/>
      <c r="J44" s="57"/>
      <c r="K44" s="60">
        <f t="shared" si="2"/>
        <v>0</v>
      </c>
      <c r="L44" s="117"/>
    </row>
    <row r="45" ht="15.75" customHeight="1">
      <c r="A45" s="9"/>
      <c r="B45" s="164"/>
      <c r="C45" s="110"/>
      <c r="D45" s="156"/>
      <c r="E45" s="35"/>
      <c r="F45" s="112"/>
      <c r="G45" s="113"/>
      <c r="H45" s="53">
        <f t="shared" si="1"/>
        <v>0</v>
      </c>
      <c r="I45" s="115"/>
      <c r="J45" s="57"/>
      <c r="K45" s="60">
        <f t="shared" si="2"/>
        <v>0</v>
      </c>
      <c r="L45" s="117"/>
    </row>
    <row r="46" ht="15.75" customHeight="1">
      <c r="A46" s="9"/>
      <c r="B46" s="164"/>
      <c r="C46" s="110"/>
      <c r="D46" s="156"/>
      <c r="E46" s="35"/>
      <c r="F46" s="112"/>
      <c r="G46" s="113"/>
      <c r="H46" s="53">
        <f t="shared" si="1"/>
        <v>0</v>
      </c>
      <c r="I46" s="115"/>
      <c r="J46" s="57"/>
      <c r="K46" s="60">
        <f t="shared" si="2"/>
        <v>0</v>
      </c>
      <c r="L46" s="117"/>
    </row>
    <row r="47" ht="15.75" customHeight="1">
      <c r="A47" s="9"/>
      <c r="B47" s="164"/>
      <c r="C47" s="110"/>
      <c r="D47" s="156"/>
      <c r="E47" s="35"/>
      <c r="F47" s="112"/>
      <c r="G47" s="113"/>
      <c r="H47" s="53">
        <f t="shared" si="1"/>
        <v>0</v>
      </c>
      <c r="I47" s="115"/>
      <c r="J47" s="57"/>
      <c r="K47" s="60">
        <f t="shared" si="2"/>
        <v>0</v>
      </c>
      <c r="L47" s="117"/>
    </row>
    <row r="48" ht="15.75" customHeight="1">
      <c r="A48" s="9"/>
      <c r="B48" s="164"/>
      <c r="C48" s="110"/>
      <c r="D48" s="156"/>
      <c r="E48" s="35"/>
      <c r="F48" s="112"/>
      <c r="G48" s="113"/>
      <c r="H48" s="53">
        <f t="shared" si="1"/>
        <v>0</v>
      </c>
      <c r="I48" s="115"/>
      <c r="J48" s="57"/>
      <c r="K48" s="60">
        <f t="shared" si="2"/>
        <v>0</v>
      </c>
      <c r="L48" s="117"/>
    </row>
    <row r="49" ht="15.75" customHeight="1">
      <c r="A49" s="9"/>
      <c r="B49" s="164"/>
      <c r="C49" s="110"/>
      <c r="D49" s="156"/>
      <c r="E49" s="35"/>
      <c r="F49" s="112"/>
      <c r="G49" s="113"/>
      <c r="H49" s="53">
        <f t="shared" si="1"/>
        <v>0</v>
      </c>
      <c r="I49" s="115"/>
      <c r="J49" s="57"/>
      <c r="K49" s="60">
        <f t="shared" si="2"/>
        <v>0</v>
      </c>
      <c r="L49" s="117"/>
    </row>
    <row r="50" ht="15.75" customHeight="1">
      <c r="A50" s="9"/>
      <c r="B50" s="164"/>
      <c r="C50" s="110"/>
      <c r="D50" s="156"/>
      <c r="E50" s="35"/>
      <c r="F50" s="112"/>
      <c r="G50" s="113"/>
      <c r="H50" s="53">
        <f t="shared" si="1"/>
        <v>0</v>
      </c>
      <c r="I50" s="115"/>
      <c r="J50" s="57"/>
      <c r="K50" s="60">
        <f t="shared" si="2"/>
        <v>0</v>
      </c>
      <c r="L50" s="117"/>
    </row>
    <row r="51" ht="15.75" customHeight="1">
      <c r="A51" s="9"/>
      <c r="B51" s="164"/>
      <c r="C51" s="110"/>
      <c r="D51" s="156"/>
      <c r="E51" s="35"/>
      <c r="F51" s="112"/>
      <c r="G51" s="113"/>
      <c r="H51" s="53">
        <f t="shared" si="1"/>
        <v>0</v>
      </c>
      <c r="I51" s="115"/>
      <c r="J51" s="57"/>
      <c r="K51" s="60">
        <f t="shared" si="2"/>
        <v>0</v>
      </c>
      <c r="L51" s="117"/>
    </row>
    <row r="52" ht="15.75" customHeight="1">
      <c r="A52" s="9"/>
      <c r="B52" s="164"/>
      <c r="C52" s="110"/>
      <c r="D52" s="156"/>
      <c r="E52" s="35"/>
      <c r="F52" s="112"/>
      <c r="G52" s="113"/>
      <c r="H52" s="53">
        <f t="shared" si="1"/>
        <v>0</v>
      </c>
      <c r="I52" s="115"/>
      <c r="J52" s="57"/>
      <c r="K52" s="60">
        <f t="shared" si="2"/>
        <v>0</v>
      </c>
      <c r="L52" s="117"/>
    </row>
    <row r="53" ht="15.75" customHeight="1">
      <c r="A53" s="9"/>
      <c r="B53" s="164"/>
      <c r="C53" s="110"/>
      <c r="D53" s="156"/>
      <c r="E53" s="35"/>
      <c r="F53" s="112"/>
      <c r="G53" s="113"/>
      <c r="H53" s="53">
        <f t="shared" si="1"/>
        <v>0</v>
      </c>
      <c r="I53" s="115"/>
      <c r="J53" s="57"/>
      <c r="K53" s="60">
        <f t="shared" si="2"/>
        <v>0</v>
      </c>
      <c r="L53" s="117"/>
    </row>
    <row r="54" ht="15.75" customHeight="1">
      <c r="A54" s="9"/>
      <c r="B54" s="164"/>
      <c r="C54" s="110"/>
      <c r="D54" s="156"/>
      <c r="E54" s="35"/>
      <c r="F54" s="112"/>
      <c r="G54" s="113"/>
      <c r="H54" s="53">
        <f t="shared" si="1"/>
        <v>0</v>
      </c>
      <c r="I54" s="115"/>
      <c r="J54" s="57"/>
      <c r="K54" s="60">
        <f t="shared" si="2"/>
        <v>0</v>
      </c>
      <c r="L54" s="117"/>
    </row>
    <row r="55" ht="15.75" customHeight="1">
      <c r="A55" s="9"/>
      <c r="B55" s="164"/>
      <c r="C55" s="110"/>
      <c r="D55" s="156"/>
      <c r="E55" s="35"/>
      <c r="F55" s="112"/>
      <c r="G55" s="113"/>
      <c r="H55" s="53">
        <f t="shared" si="1"/>
        <v>0</v>
      </c>
      <c r="I55" s="115"/>
      <c r="J55" s="57"/>
      <c r="K55" s="60">
        <f t="shared" si="2"/>
        <v>0</v>
      </c>
      <c r="L55" s="117"/>
    </row>
    <row r="56" ht="15.75" customHeight="1">
      <c r="A56" s="9"/>
      <c r="B56" s="164"/>
      <c r="C56" s="110"/>
      <c r="D56" s="156"/>
      <c r="E56" s="35"/>
      <c r="F56" s="112"/>
      <c r="G56" s="113"/>
      <c r="H56" s="53">
        <f t="shared" si="1"/>
        <v>0</v>
      </c>
      <c r="I56" s="115"/>
      <c r="J56" s="57"/>
      <c r="K56" s="60">
        <f t="shared" si="2"/>
        <v>0</v>
      </c>
      <c r="L56" s="117"/>
    </row>
    <row r="57" ht="15.75" customHeight="1">
      <c r="A57" s="9"/>
      <c r="B57" s="164"/>
      <c r="C57" s="110"/>
      <c r="D57" s="156"/>
      <c r="E57" s="35"/>
      <c r="F57" s="112"/>
      <c r="G57" s="113"/>
      <c r="H57" s="53">
        <f t="shared" si="1"/>
        <v>0</v>
      </c>
      <c r="I57" s="115"/>
      <c r="J57" s="57"/>
      <c r="K57" s="60">
        <f t="shared" si="2"/>
        <v>0</v>
      </c>
      <c r="L57" s="117"/>
    </row>
    <row r="58" ht="15.75" customHeight="1">
      <c r="A58" s="9"/>
      <c r="B58" s="164"/>
      <c r="C58" s="110"/>
      <c r="D58" s="156"/>
      <c r="E58" s="35"/>
      <c r="F58" s="112"/>
      <c r="G58" s="113"/>
      <c r="H58" s="53">
        <f t="shared" si="1"/>
        <v>0</v>
      </c>
      <c r="I58" s="115"/>
      <c r="J58" s="57"/>
      <c r="K58" s="60">
        <f t="shared" si="2"/>
        <v>0</v>
      </c>
      <c r="L58" s="117"/>
    </row>
    <row r="59" ht="15.75" customHeight="1">
      <c r="A59" s="9"/>
      <c r="B59" s="164"/>
      <c r="C59" s="110"/>
      <c r="D59" s="156"/>
      <c r="E59" s="35"/>
      <c r="F59" s="112"/>
      <c r="G59" s="113"/>
      <c r="H59" s="53">
        <f t="shared" si="1"/>
        <v>0</v>
      </c>
      <c r="I59" s="115"/>
      <c r="J59" s="57"/>
      <c r="K59" s="60">
        <f t="shared" si="2"/>
        <v>0</v>
      </c>
      <c r="L59" s="117"/>
    </row>
    <row r="60" ht="15.75" customHeight="1">
      <c r="A60" s="9"/>
      <c r="B60" s="164"/>
      <c r="C60" s="110"/>
      <c r="D60" s="156"/>
      <c r="E60" s="35"/>
      <c r="F60" s="112"/>
      <c r="G60" s="113"/>
      <c r="H60" s="53">
        <f t="shared" si="1"/>
        <v>0</v>
      </c>
      <c r="I60" s="115"/>
      <c r="J60" s="57"/>
      <c r="K60" s="60">
        <f t="shared" si="2"/>
        <v>0</v>
      </c>
      <c r="L60" s="117"/>
    </row>
    <row r="61" ht="15.75" customHeight="1">
      <c r="A61" s="9"/>
      <c r="B61" s="164"/>
      <c r="C61" s="110"/>
      <c r="D61" s="156"/>
      <c r="E61" s="35"/>
      <c r="F61" s="112"/>
      <c r="G61" s="113"/>
      <c r="H61" s="53">
        <f t="shared" si="1"/>
        <v>0</v>
      </c>
      <c r="I61" s="115"/>
      <c r="J61" s="57"/>
      <c r="K61" s="60">
        <f t="shared" si="2"/>
        <v>0</v>
      </c>
      <c r="L61" s="117"/>
    </row>
    <row r="62" ht="15.75" customHeight="1">
      <c r="A62" s="9"/>
      <c r="B62" s="164"/>
      <c r="C62" s="110"/>
      <c r="D62" s="156"/>
      <c r="E62" s="35"/>
      <c r="F62" s="112"/>
      <c r="G62" s="113"/>
      <c r="H62" s="53">
        <f t="shared" si="1"/>
        <v>0</v>
      </c>
      <c r="I62" s="115"/>
      <c r="J62" s="57"/>
      <c r="K62" s="60">
        <f t="shared" si="2"/>
        <v>0</v>
      </c>
      <c r="L62" s="117"/>
    </row>
    <row r="63" ht="15.75" customHeight="1">
      <c r="A63" s="9"/>
      <c r="B63" s="164"/>
      <c r="C63" s="110"/>
      <c r="D63" s="156"/>
      <c r="E63" s="35"/>
      <c r="F63" s="112"/>
      <c r="G63" s="113"/>
      <c r="H63" s="53">
        <f t="shared" si="1"/>
        <v>0</v>
      </c>
      <c r="I63" s="115"/>
      <c r="J63" s="57"/>
      <c r="K63" s="60">
        <f t="shared" si="2"/>
        <v>0</v>
      </c>
      <c r="L63" s="117"/>
    </row>
    <row r="64" ht="15.75" customHeight="1">
      <c r="A64" s="9"/>
      <c r="B64" s="164"/>
      <c r="C64" s="110"/>
      <c r="D64" s="156"/>
      <c r="E64" s="35"/>
      <c r="F64" s="112"/>
      <c r="G64" s="113"/>
      <c r="H64" s="53">
        <f t="shared" si="1"/>
        <v>0</v>
      </c>
      <c r="I64" s="115"/>
      <c r="J64" s="57"/>
      <c r="K64" s="60">
        <f t="shared" si="2"/>
        <v>0</v>
      </c>
      <c r="L64" s="117"/>
    </row>
    <row r="65" ht="15.75" customHeight="1">
      <c r="A65" s="9"/>
      <c r="B65" s="164"/>
      <c r="C65" s="110"/>
      <c r="D65" s="156"/>
      <c r="E65" s="35"/>
      <c r="F65" s="112"/>
      <c r="G65" s="113"/>
      <c r="H65" s="53">
        <f t="shared" si="1"/>
        <v>0</v>
      </c>
      <c r="I65" s="115"/>
      <c r="J65" s="57"/>
      <c r="K65" s="60">
        <f t="shared" si="2"/>
        <v>0</v>
      </c>
      <c r="L65" s="117"/>
    </row>
    <row r="66" ht="15.75" customHeight="1">
      <c r="A66" s="9"/>
      <c r="B66" s="164"/>
      <c r="C66" s="110"/>
      <c r="D66" s="156"/>
      <c r="E66" s="35"/>
      <c r="F66" s="112"/>
      <c r="G66" s="113"/>
      <c r="H66" s="53">
        <f t="shared" si="1"/>
        <v>0</v>
      </c>
      <c r="I66" s="115"/>
      <c r="J66" s="57"/>
      <c r="K66" s="60">
        <f t="shared" si="2"/>
        <v>0</v>
      </c>
      <c r="L66" s="117"/>
    </row>
    <row r="67" ht="15.75" customHeight="1">
      <c r="A67" s="9"/>
      <c r="B67" s="164"/>
      <c r="C67" s="110"/>
      <c r="D67" s="156"/>
      <c r="E67" s="35"/>
      <c r="F67" s="112"/>
      <c r="G67" s="113"/>
      <c r="H67" s="53">
        <f t="shared" si="1"/>
        <v>0</v>
      </c>
      <c r="I67" s="115"/>
      <c r="J67" s="57"/>
      <c r="K67" s="60">
        <f t="shared" si="2"/>
        <v>0</v>
      </c>
      <c r="L67" s="117"/>
    </row>
    <row r="68" ht="15.75" customHeight="1">
      <c r="A68" s="9"/>
      <c r="B68" s="164"/>
      <c r="C68" s="110"/>
      <c r="D68" s="156"/>
      <c r="E68" s="35"/>
      <c r="F68" s="112"/>
      <c r="G68" s="113"/>
      <c r="H68" s="53">
        <f t="shared" si="1"/>
        <v>0</v>
      </c>
      <c r="I68" s="115"/>
      <c r="J68" s="57"/>
      <c r="K68" s="60">
        <f t="shared" si="2"/>
        <v>0</v>
      </c>
      <c r="L68" s="117"/>
    </row>
    <row r="69" ht="15.75" customHeight="1">
      <c r="A69" s="9"/>
      <c r="B69" s="164"/>
      <c r="C69" s="110"/>
      <c r="D69" s="156"/>
      <c r="E69" s="35"/>
      <c r="F69" s="112"/>
      <c r="G69" s="113"/>
      <c r="H69" s="53">
        <f t="shared" si="1"/>
        <v>0</v>
      </c>
      <c r="I69" s="115"/>
      <c r="J69" s="57"/>
      <c r="K69" s="60">
        <f t="shared" si="2"/>
        <v>0</v>
      </c>
      <c r="L69" s="117"/>
    </row>
    <row r="70" ht="15.75" customHeight="1">
      <c r="A70" s="9"/>
      <c r="B70" s="164"/>
      <c r="C70" s="110"/>
      <c r="D70" s="156"/>
      <c r="E70" s="35"/>
      <c r="F70" s="112"/>
      <c r="G70" s="113"/>
      <c r="H70" s="53">
        <f t="shared" si="1"/>
        <v>0</v>
      </c>
      <c r="I70" s="115"/>
      <c r="J70" s="57"/>
      <c r="K70" s="60">
        <f t="shared" si="2"/>
        <v>0</v>
      </c>
      <c r="L70" s="117"/>
    </row>
    <row r="71" ht="15.75" customHeight="1">
      <c r="A71" s="9"/>
      <c r="B71" s="164"/>
      <c r="C71" s="110"/>
      <c r="D71" s="156"/>
      <c r="E71" s="35"/>
      <c r="F71" s="112"/>
      <c r="G71" s="113"/>
      <c r="H71" s="53">
        <f t="shared" si="1"/>
        <v>0</v>
      </c>
      <c r="I71" s="115"/>
      <c r="J71" s="57"/>
      <c r="K71" s="60">
        <f t="shared" si="2"/>
        <v>0</v>
      </c>
      <c r="L71" s="117"/>
    </row>
    <row r="72" ht="15.75" customHeight="1">
      <c r="A72" s="9"/>
      <c r="B72" s="164"/>
      <c r="C72" s="110"/>
      <c r="D72" s="156"/>
      <c r="E72" s="35"/>
      <c r="F72" s="112"/>
      <c r="G72" s="113"/>
      <c r="H72" s="53">
        <f t="shared" si="1"/>
        <v>0</v>
      </c>
      <c r="I72" s="115"/>
      <c r="J72" s="115"/>
      <c r="K72" s="60">
        <f t="shared" si="2"/>
        <v>0</v>
      </c>
      <c r="L72" s="117"/>
    </row>
    <row r="73" ht="15.75" customHeight="1">
      <c r="A73" s="9"/>
      <c r="B73" s="164"/>
      <c r="C73" s="110"/>
      <c r="D73" s="156"/>
      <c r="E73" s="35"/>
      <c r="F73" s="112"/>
      <c r="G73" s="113"/>
      <c r="H73" s="53">
        <f t="shared" si="1"/>
        <v>0</v>
      </c>
      <c r="I73" s="115"/>
      <c r="J73" s="115"/>
      <c r="K73" s="60">
        <f t="shared" si="2"/>
        <v>0</v>
      </c>
      <c r="L73" s="117"/>
    </row>
    <row r="74" ht="15.75" customHeight="1">
      <c r="A74" s="9"/>
      <c r="B74" s="164"/>
      <c r="C74" s="110"/>
      <c r="D74" s="156"/>
      <c r="E74" s="35"/>
      <c r="F74" s="112"/>
      <c r="G74" s="113"/>
      <c r="H74" s="53">
        <f t="shared" si="1"/>
        <v>0</v>
      </c>
      <c r="I74" s="115"/>
      <c r="J74" s="115"/>
      <c r="K74" s="60">
        <f t="shared" si="2"/>
        <v>0</v>
      </c>
      <c r="L74" s="117"/>
    </row>
    <row r="75" ht="15.75" customHeight="1">
      <c r="A75" s="9"/>
      <c r="B75" s="164"/>
      <c r="C75" s="110"/>
      <c r="D75" s="156"/>
      <c r="E75" s="35"/>
      <c r="F75" s="112"/>
      <c r="G75" s="113"/>
      <c r="H75" s="53">
        <f t="shared" si="1"/>
        <v>0</v>
      </c>
      <c r="I75" s="115"/>
      <c r="J75" s="115"/>
      <c r="K75" s="60">
        <f t="shared" si="2"/>
        <v>0</v>
      </c>
      <c r="L75" s="117"/>
    </row>
    <row r="76" ht="15.75" customHeight="1">
      <c r="A76" s="9"/>
      <c r="B76" s="164"/>
      <c r="C76" s="110"/>
      <c r="D76" s="156"/>
      <c r="E76" s="35"/>
      <c r="F76" s="112"/>
      <c r="G76" s="113"/>
      <c r="H76" s="53">
        <f t="shared" si="1"/>
        <v>0</v>
      </c>
      <c r="I76" s="115"/>
      <c r="J76" s="115"/>
      <c r="K76" s="60">
        <f t="shared" si="2"/>
        <v>0</v>
      </c>
      <c r="L76" s="117"/>
    </row>
    <row r="77" ht="15.75" customHeight="1">
      <c r="A77" s="9"/>
      <c r="B77" s="164"/>
      <c r="C77" s="110"/>
      <c r="D77" s="156"/>
      <c r="E77" s="35"/>
      <c r="F77" s="112"/>
      <c r="G77" s="113"/>
      <c r="H77" s="53">
        <f t="shared" si="1"/>
        <v>0</v>
      </c>
      <c r="I77" s="115"/>
      <c r="J77" s="115"/>
      <c r="K77" s="60">
        <f t="shared" si="2"/>
        <v>0</v>
      </c>
      <c r="L77" s="117"/>
    </row>
    <row r="78" ht="15.75" customHeight="1">
      <c r="A78" s="9"/>
      <c r="B78" s="164"/>
      <c r="C78" s="110"/>
      <c r="D78" s="156"/>
      <c r="E78" s="35"/>
      <c r="F78" s="112"/>
      <c r="G78" s="113"/>
      <c r="H78" s="53">
        <f t="shared" si="1"/>
        <v>0</v>
      </c>
      <c r="I78" s="115"/>
      <c r="J78" s="115"/>
      <c r="K78" s="60">
        <f t="shared" si="2"/>
        <v>0</v>
      </c>
      <c r="L78" s="117"/>
    </row>
    <row r="79" ht="15.75" customHeight="1">
      <c r="A79" s="9"/>
      <c r="B79" s="164"/>
      <c r="C79" s="110"/>
      <c r="D79" s="156"/>
      <c r="E79" s="35"/>
      <c r="F79" s="112"/>
      <c r="G79" s="113"/>
      <c r="H79" s="53">
        <f t="shared" si="1"/>
        <v>0</v>
      </c>
      <c r="I79" s="115"/>
      <c r="J79" s="115"/>
      <c r="K79" s="60">
        <f t="shared" si="2"/>
        <v>0</v>
      </c>
      <c r="L79" s="117"/>
    </row>
    <row r="80" ht="15.75" customHeight="1">
      <c r="A80" s="9"/>
      <c r="B80" s="164"/>
      <c r="C80" s="110"/>
      <c r="D80" s="156"/>
      <c r="E80" s="35"/>
      <c r="F80" s="112"/>
      <c r="G80" s="113"/>
      <c r="H80" s="53">
        <f t="shared" si="1"/>
        <v>0</v>
      </c>
      <c r="I80" s="115"/>
      <c r="J80" s="115"/>
      <c r="K80" s="60">
        <f t="shared" si="2"/>
        <v>0</v>
      </c>
      <c r="L80" s="117"/>
    </row>
    <row r="81" ht="15.75" customHeight="1">
      <c r="A81" s="9"/>
      <c r="B81" s="164"/>
      <c r="C81" s="110"/>
      <c r="D81" s="156"/>
      <c r="E81" s="35"/>
      <c r="F81" s="112"/>
      <c r="G81" s="113"/>
      <c r="H81" s="53">
        <f t="shared" si="1"/>
        <v>0</v>
      </c>
      <c r="I81" s="115"/>
      <c r="J81" s="115"/>
      <c r="K81" s="60">
        <f t="shared" si="2"/>
        <v>0</v>
      </c>
      <c r="L81" s="117"/>
    </row>
    <row r="82" ht="15.75" customHeight="1">
      <c r="A82" s="9"/>
      <c r="B82" s="164"/>
      <c r="C82" s="110"/>
      <c r="D82" s="156"/>
      <c r="E82" s="35"/>
      <c r="F82" s="112"/>
      <c r="G82" s="113"/>
      <c r="H82" s="53">
        <f t="shared" si="1"/>
        <v>0</v>
      </c>
      <c r="I82" s="115"/>
      <c r="J82" s="115"/>
      <c r="K82" s="60">
        <f t="shared" si="2"/>
        <v>0</v>
      </c>
      <c r="L82" s="117"/>
    </row>
    <row r="83" ht="15.75" customHeight="1">
      <c r="A83" s="9"/>
      <c r="B83" s="164"/>
      <c r="C83" s="110"/>
      <c r="D83" s="156"/>
      <c r="E83" s="35"/>
      <c r="F83" s="112"/>
      <c r="G83" s="113"/>
      <c r="H83" s="53">
        <f t="shared" si="1"/>
        <v>0</v>
      </c>
      <c r="I83" s="115"/>
      <c r="J83" s="115"/>
      <c r="K83" s="60">
        <f t="shared" si="2"/>
        <v>0</v>
      </c>
      <c r="L83" s="117"/>
    </row>
    <row r="84" ht="15.75" customHeight="1">
      <c r="A84" s="9"/>
      <c r="B84" s="164"/>
      <c r="C84" s="110"/>
      <c r="D84" s="156"/>
      <c r="E84" s="35"/>
      <c r="F84" s="112"/>
      <c r="G84" s="113"/>
      <c r="H84" s="53">
        <f t="shared" si="1"/>
        <v>0</v>
      </c>
      <c r="I84" s="115"/>
      <c r="J84" s="115"/>
      <c r="K84" s="60">
        <f t="shared" si="2"/>
        <v>0</v>
      </c>
      <c r="L84" s="117"/>
    </row>
    <row r="85" ht="15.75" customHeight="1">
      <c r="A85" s="9"/>
      <c r="B85" s="164"/>
      <c r="C85" s="110"/>
      <c r="D85" s="156"/>
      <c r="E85" s="35"/>
      <c r="F85" s="112"/>
      <c r="G85" s="113"/>
      <c r="H85" s="53">
        <f t="shared" si="1"/>
        <v>0</v>
      </c>
      <c r="I85" s="115"/>
      <c r="J85" s="115"/>
      <c r="K85" s="60">
        <f t="shared" si="2"/>
        <v>0</v>
      </c>
      <c r="L85" s="117"/>
    </row>
    <row r="86" ht="15.75" customHeight="1">
      <c r="A86" s="9"/>
      <c r="B86" s="164"/>
      <c r="C86" s="110"/>
      <c r="D86" s="156"/>
      <c r="E86" s="35"/>
      <c r="F86" s="112"/>
      <c r="G86" s="113"/>
      <c r="H86" s="53">
        <f t="shared" si="1"/>
        <v>0</v>
      </c>
      <c r="I86" s="115"/>
      <c r="J86" s="115"/>
      <c r="K86" s="60">
        <f t="shared" si="2"/>
        <v>0</v>
      </c>
      <c r="L86" s="117"/>
    </row>
    <row r="87" ht="15.75" customHeight="1">
      <c r="A87" s="9"/>
      <c r="B87" s="164"/>
      <c r="C87" s="110"/>
      <c r="D87" s="156"/>
      <c r="E87" s="35"/>
      <c r="F87" s="112"/>
      <c r="G87" s="113"/>
      <c r="H87" s="53">
        <f t="shared" si="1"/>
        <v>0</v>
      </c>
      <c r="I87" s="115"/>
      <c r="J87" s="115"/>
      <c r="K87" s="60">
        <f t="shared" si="2"/>
        <v>0</v>
      </c>
      <c r="L87" s="117"/>
    </row>
    <row r="88" ht="15.75" customHeight="1">
      <c r="A88" s="9"/>
      <c r="B88" s="164"/>
      <c r="C88" s="110"/>
      <c r="D88" s="156"/>
      <c r="E88" s="35"/>
      <c r="F88" s="112"/>
      <c r="G88" s="113"/>
      <c r="H88" s="53">
        <f t="shared" si="1"/>
        <v>0</v>
      </c>
      <c r="I88" s="115"/>
      <c r="J88" s="115"/>
      <c r="K88" s="60">
        <f t="shared" si="2"/>
        <v>0</v>
      </c>
      <c r="L88" s="117"/>
    </row>
    <row r="89" ht="15.75" customHeight="1">
      <c r="A89" s="9"/>
      <c r="B89" s="164"/>
      <c r="C89" s="110"/>
      <c r="D89" s="156"/>
      <c r="E89" s="35"/>
      <c r="F89" s="112"/>
      <c r="G89" s="113"/>
      <c r="H89" s="53">
        <f t="shared" si="1"/>
        <v>0</v>
      </c>
      <c r="I89" s="115"/>
      <c r="J89" s="115"/>
      <c r="K89" s="60">
        <f t="shared" si="2"/>
        <v>0</v>
      </c>
      <c r="L89" s="117"/>
    </row>
    <row r="90" ht="15.75" customHeight="1">
      <c r="A90" s="9"/>
      <c r="B90" s="164"/>
      <c r="C90" s="110"/>
      <c r="D90" s="156"/>
      <c r="E90" s="35"/>
      <c r="F90" s="112"/>
      <c r="G90" s="113"/>
      <c r="H90" s="53">
        <f t="shared" si="1"/>
        <v>0</v>
      </c>
      <c r="I90" s="115"/>
      <c r="J90" s="115"/>
      <c r="K90" s="60">
        <f t="shared" si="2"/>
        <v>0</v>
      </c>
      <c r="L90" s="117"/>
    </row>
    <row r="91" ht="15.75" customHeight="1">
      <c r="A91" s="9"/>
      <c r="B91" s="164"/>
      <c r="C91" s="110"/>
      <c r="D91" s="156"/>
      <c r="E91" s="35"/>
      <c r="F91" s="112"/>
      <c r="G91" s="113"/>
      <c r="H91" s="53">
        <f t="shared" si="1"/>
        <v>0</v>
      </c>
      <c r="I91" s="115"/>
      <c r="J91" s="115"/>
      <c r="K91" s="60">
        <f t="shared" si="2"/>
        <v>0</v>
      </c>
      <c r="L91" s="117"/>
    </row>
    <row r="92" ht="15.75" customHeight="1">
      <c r="A92" s="9"/>
      <c r="B92" s="164"/>
      <c r="C92" s="110"/>
      <c r="D92" s="156"/>
      <c r="E92" s="35"/>
      <c r="F92" s="112"/>
      <c r="G92" s="113"/>
      <c r="H92" s="53">
        <f t="shared" si="1"/>
        <v>0</v>
      </c>
      <c r="I92" s="115"/>
      <c r="J92" s="115"/>
      <c r="K92" s="60">
        <f t="shared" si="2"/>
        <v>0</v>
      </c>
      <c r="L92" s="117"/>
    </row>
    <row r="93" ht="15.75" customHeight="1">
      <c r="A93" s="9"/>
      <c r="B93" s="164"/>
      <c r="C93" s="110"/>
      <c r="D93" s="156"/>
      <c r="E93" s="35"/>
      <c r="F93" s="112"/>
      <c r="G93" s="113"/>
      <c r="H93" s="53">
        <f t="shared" si="1"/>
        <v>0</v>
      </c>
      <c r="I93" s="115"/>
      <c r="J93" s="115"/>
      <c r="K93" s="60">
        <f t="shared" si="2"/>
        <v>0</v>
      </c>
      <c r="L93" s="117"/>
    </row>
    <row r="94" ht="15.75" customHeight="1">
      <c r="A94" s="9"/>
      <c r="B94" s="164"/>
      <c r="C94" s="110"/>
      <c r="D94" s="156"/>
      <c r="E94" s="35"/>
      <c r="F94" s="112"/>
      <c r="G94" s="113"/>
      <c r="H94" s="53">
        <f t="shared" si="1"/>
        <v>0</v>
      </c>
      <c r="I94" s="115"/>
      <c r="J94" s="115"/>
      <c r="K94" s="60">
        <f t="shared" si="2"/>
        <v>0</v>
      </c>
      <c r="L94" s="117"/>
    </row>
    <row r="95" ht="15.75" customHeight="1">
      <c r="A95" s="9"/>
      <c r="B95" s="164"/>
      <c r="C95" s="110"/>
      <c r="D95" s="156"/>
      <c r="E95" s="35"/>
      <c r="F95" s="112"/>
      <c r="G95" s="113"/>
      <c r="H95" s="53">
        <f t="shared" si="1"/>
        <v>0</v>
      </c>
      <c r="I95" s="115"/>
      <c r="J95" s="115"/>
      <c r="K95" s="60">
        <f t="shared" si="2"/>
        <v>0</v>
      </c>
      <c r="L95" s="117"/>
    </row>
    <row r="96" ht="15.75" customHeight="1">
      <c r="A96" s="9"/>
      <c r="B96" s="164"/>
      <c r="C96" s="110"/>
      <c r="D96" s="156"/>
      <c r="E96" s="35"/>
      <c r="F96" s="112"/>
      <c r="G96" s="113"/>
      <c r="H96" s="53">
        <f t="shared" si="1"/>
        <v>0</v>
      </c>
      <c r="I96" s="115"/>
      <c r="J96" s="115"/>
      <c r="K96" s="60">
        <f t="shared" si="2"/>
        <v>0</v>
      </c>
      <c r="L96" s="117"/>
    </row>
    <row r="97" ht="15.75" customHeight="1">
      <c r="A97" s="9"/>
      <c r="B97" s="164"/>
      <c r="C97" s="110"/>
      <c r="D97" s="156"/>
      <c r="E97" s="35"/>
      <c r="F97" s="112"/>
      <c r="G97" s="113"/>
      <c r="H97" s="53">
        <f t="shared" si="1"/>
        <v>0</v>
      </c>
      <c r="I97" s="115"/>
      <c r="J97" s="115"/>
      <c r="K97" s="60">
        <f t="shared" si="2"/>
        <v>0</v>
      </c>
      <c r="L97" s="117"/>
    </row>
    <row r="98" ht="15.75" customHeight="1">
      <c r="A98" s="9"/>
      <c r="B98" s="164"/>
      <c r="C98" s="110"/>
      <c r="D98" s="156"/>
      <c r="E98" s="35"/>
      <c r="F98" s="112"/>
      <c r="G98" s="113"/>
      <c r="H98" s="53">
        <f t="shared" si="1"/>
        <v>0</v>
      </c>
      <c r="I98" s="115"/>
      <c r="J98" s="115"/>
      <c r="K98" s="60">
        <f t="shared" si="2"/>
        <v>0</v>
      </c>
      <c r="L98" s="117"/>
    </row>
    <row r="99" ht="15.75" customHeight="1">
      <c r="A99" s="9"/>
      <c r="B99" s="164"/>
      <c r="C99" s="110"/>
      <c r="D99" s="156"/>
      <c r="E99" s="35"/>
      <c r="F99" s="112"/>
      <c r="G99" s="113"/>
      <c r="H99" s="53">
        <f t="shared" si="1"/>
        <v>0</v>
      </c>
      <c r="I99" s="115"/>
      <c r="J99" s="115"/>
      <c r="K99" s="60">
        <f t="shared" si="2"/>
        <v>0</v>
      </c>
      <c r="L99" s="117"/>
    </row>
    <row r="100" ht="15.75" customHeight="1">
      <c r="A100" s="9"/>
      <c r="B100" s="164"/>
      <c r="C100" s="110"/>
      <c r="D100" s="156"/>
      <c r="E100" s="35"/>
      <c r="F100" s="112"/>
      <c r="G100" s="113"/>
      <c r="H100" s="53">
        <f t="shared" si="1"/>
        <v>0</v>
      </c>
      <c r="I100" s="115"/>
      <c r="J100" s="115"/>
      <c r="K100" s="60">
        <f t="shared" si="2"/>
        <v>0</v>
      </c>
      <c r="L100" s="117"/>
    </row>
    <row r="101" ht="15.75" customHeight="1">
      <c r="A101" s="9"/>
      <c r="B101" s="164"/>
      <c r="C101" s="110"/>
      <c r="D101" s="156"/>
      <c r="E101" s="35"/>
      <c r="F101" s="112"/>
      <c r="G101" s="113"/>
      <c r="H101" s="53">
        <f t="shared" si="1"/>
        <v>0</v>
      </c>
      <c r="I101" s="115"/>
      <c r="J101" s="115"/>
      <c r="K101" s="60">
        <f t="shared" si="2"/>
        <v>0</v>
      </c>
      <c r="L101" s="117"/>
    </row>
    <row r="102" ht="15.75" customHeight="1">
      <c r="A102" s="9"/>
      <c r="B102" s="164"/>
      <c r="C102" s="110"/>
      <c r="D102" s="156"/>
      <c r="E102" s="35"/>
      <c r="F102" s="112"/>
      <c r="G102" s="113"/>
      <c r="H102" s="53">
        <f t="shared" si="1"/>
        <v>0</v>
      </c>
      <c r="I102" s="115"/>
      <c r="J102" s="115"/>
      <c r="K102" s="60">
        <f t="shared" si="2"/>
        <v>0</v>
      </c>
      <c r="L102" s="117"/>
    </row>
    <row r="103" ht="15.75" customHeight="1">
      <c r="A103" s="9"/>
      <c r="B103" s="164"/>
      <c r="C103" s="110"/>
      <c r="D103" s="156"/>
      <c r="E103" s="35"/>
      <c r="F103" s="112"/>
      <c r="G103" s="113"/>
      <c r="H103" s="53">
        <f t="shared" si="1"/>
        <v>0</v>
      </c>
      <c r="I103" s="115"/>
      <c r="J103" s="115"/>
      <c r="K103" s="60">
        <f t="shared" si="2"/>
        <v>0</v>
      </c>
      <c r="L103" s="117"/>
    </row>
    <row r="104" ht="15.75" customHeight="1">
      <c r="A104" s="9"/>
      <c r="B104" s="164"/>
      <c r="C104" s="110"/>
      <c r="D104" s="156"/>
      <c r="E104" s="35"/>
      <c r="F104" s="112"/>
      <c r="G104" s="113"/>
      <c r="H104" s="53">
        <f t="shared" si="1"/>
        <v>0</v>
      </c>
      <c r="I104" s="115"/>
      <c r="J104" s="115"/>
      <c r="K104" s="60">
        <f t="shared" si="2"/>
        <v>0</v>
      </c>
      <c r="L104" s="117"/>
    </row>
    <row r="105" ht="15.75" customHeight="1">
      <c r="A105" s="9"/>
      <c r="B105" s="164"/>
      <c r="C105" s="110"/>
      <c r="D105" s="156"/>
      <c r="E105" s="35"/>
      <c r="F105" s="112"/>
      <c r="G105" s="113"/>
      <c r="H105" s="53">
        <f t="shared" si="1"/>
        <v>0</v>
      </c>
      <c r="I105" s="115"/>
      <c r="J105" s="115"/>
      <c r="K105" s="60">
        <f t="shared" si="2"/>
        <v>0</v>
      </c>
      <c r="L105" s="117"/>
    </row>
    <row r="106" ht="15.75" customHeight="1">
      <c r="A106" s="9"/>
      <c r="B106" s="164"/>
      <c r="C106" s="110"/>
      <c r="D106" s="156"/>
      <c r="E106" s="35"/>
      <c r="F106" s="112"/>
      <c r="G106" s="113"/>
      <c r="H106" s="53">
        <f t="shared" si="1"/>
        <v>0</v>
      </c>
      <c r="I106" s="115"/>
      <c r="J106" s="115"/>
      <c r="K106" s="60">
        <f t="shared" si="2"/>
        <v>0</v>
      </c>
      <c r="L106" s="117"/>
    </row>
    <row r="107" ht="15.75" customHeight="1">
      <c r="A107" s="9"/>
      <c r="B107" s="164"/>
      <c r="C107" s="110"/>
      <c r="D107" s="156"/>
      <c r="E107" s="35"/>
      <c r="F107" s="112"/>
      <c r="G107" s="113"/>
      <c r="H107" s="53">
        <f t="shared" si="1"/>
        <v>0</v>
      </c>
      <c r="I107" s="115"/>
      <c r="J107" s="115"/>
      <c r="K107" s="60">
        <f t="shared" si="2"/>
        <v>0</v>
      </c>
      <c r="L107" s="117"/>
    </row>
    <row r="108" ht="15.75" customHeight="1">
      <c r="A108" s="9"/>
      <c r="B108" s="164"/>
      <c r="C108" s="110"/>
      <c r="D108" s="156"/>
      <c r="E108" s="35"/>
      <c r="F108" s="112"/>
      <c r="G108" s="113"/>
      <c r="H108" s="53">
        <f t="shared" si="1"/>
        <v>0</v>
      </c>
      <c r="I108" s="115"/>
      <c r="J108" s="115"/>
      <c r="K108" s="60">
        <f t="shared" si="2"/>
        <v>0</v>
      </c>
      <c r="L108" s="117"/>
    </row>
    <row r="109" ht="15.75" customHeight="1">
      <c r="A109" s="9"/>
      <c r="B109" s="164"/>
      <c r="C109" s="110"/>
      <c r="D109" s="156"/>
      <c r="E109" s="35"/>
      <c r="F109" s="112"/>
      <c r="G109" s="113"/>
      <c r="H109" s="53">
        <f t="shared" si="1"/>
        <v>0</v>
      </c>
      <c r="I109" s="115"/>
      <c r="J109" s="115"/>
      <c r="K109" s="60">
        <f t="shared" si="2"/>
        <v>0</v>
      </c>
      <c r="L109" s="117"/>
    </row>
    <row r="110" ht="15.75" customHeight="1">
      <c r="A110" s="9"/>
      <c r="B110" s="164"/>
      <c r="C110" s="110"/>
      <c r="D110" s="156"/>
      <c r="E110" s="35"/>
      <c r="F110" s="112"/>
      <c r="G110" s="113"/>
      <c r="H110" s="53">
        <f t="shared" si="1"/>
        <v>0</v>
      </c>
      <c r="I110" s="115"/>
      <c r="J110" s="115"/>
      <c r="K110" s="60">
        <f t="shared" si="2"/>
        <v>0</v>
      </c>
      <c r="L110" s="117"/>
    </row>
    <row r="111" ht="15.75" customHeight="1">
      <c r="A111" s="9"/>
      <c r="B111" s="164"/>
      <c r="C111" s="110"/>
      <c r="D111" s="156"/>
      <c r="E111" s="35"/>
      <c r="F111" s="112"/>
      <c r="G111" s="113"/>
      <c r="H111" s="53">
        <f t="shared" si="1"/>
        <v>0</v>
      </c>
      <c r="I111" s="115"/>
      <c r="J111" s="115"/>
      <c r="K111" s="60">
        <f t="shared" si="2"/>
        <v>0</v>
      </c>
      <c r="L111" s="117"/>
    </row>
    <row r="112" ht="15.75" customHeight="1">
      <c r="A112" s="9"/>
      <c r="B112" s="164"/>
      <c r="C112" s="110"/>
      <c r="D112" s="156"/>
      <c r="E112" s="35"/>
      <c r="F112" s="112"/>
      <c r="G112" s="113"/>
      <c r="H112" s="53">
        <f t="shared" si="1"/>
        <v>0</v>
      </c>
      <c r="I112" s="115"/>
      <c r="J112" s="115"/>
      <c r="K112" s="60">
        <f t="shared" si="2"/>
        <v>0</v>
      </c>
      <c r="L112" s="117"/>
    </row>
    <row r="113" ht="15.75" customHeight="1">
      <c r="A113" s="9"/>
      <c r="B113" s="164"/>
      <c r="C113" s="110"/>
      <c r="D113" s="156"/>
      <c r="E113" s="35"/>
      <c r="F113" s="112"/>
      <c r="G113" s="113"/>
      <c r="H113" s="53">
        <f t="shared" si="1"/>
        <v>0</v>
      </c>
      <c r="I113" s="115"/>
      <c r="J113" s="115"/>
      <c r="K113" s="60">
        <f t="shared" si="2"/>
        <v>0</v>
      </c>
      <c r="L113" s="117"/>
    </row>
    <row r="114" ht="15.75" customHeight="1">
      <c r="A114" s="9"/>
      <c r="B114" s="164"/>
      <c r="C114" s="110"/>
      <c r="D114" s="156"/>
      <c r="E114" s="35"/>
      <c r="F114" s="112"/>
      <c r="G114" s="113"/>
      <c r="H114" s="53">
        <f t="shared" si="1"/>
        <v>0</v>
      </c>
      <c r="I114" s="115"/>
      <c r="J114" s="115"/>
      <c r="K114" s="60">
        <f t="shared" si="2"/>
        <v>0</v>
      </c>
      <c r="L114" s="117"/>
    </row>
    <row r="115" ht="15.75" customHeight="1">
      <c r="A115" s="9"/>
      <c r="B115" s="164"/>
      <c r="C115" s="110"/>
      <c r="D115" s="156"/>
      <c r="E115" s="35"/>
      <c r="F115" s="112"/>
      <c r="G115" s="113"/>
      <c r="H115" s="53">
        <f t="shared" si="1"/>
        <v>0</v>
      </c>
      <c r="I115" s="115"/>
      <c r="J115" s="115"/>
      <c r="K115" s="60">
        <f t="shared" si="2"/>
        <v>0</v>
      </c>
      <c r="L115" s="117"/>
    </row>
    <row r="116" ht="15.75" customHeight="1">
      <c r="A116" s="9"/>
      <c r="B116" s="164"/>
      <c r="C116" s="110"/>
      <c r="D116" s="156"/>
      <c r="E116" s="35"/>
      <c r="F116" s="112"/>
      <c r="G116" s="113"/>
      <c r="H116" s="53">
        <f t="shared" si="1"/>
        <v>0</v>
      </c>
      <c r="I116" s="115"/>
      <c r="J116" s="115"/>
      <c r="K116" s="60">
        <f t="shared" si="2"/>
        <v>0</v>
      </c>
      <c r="L116" s="117"/>
    </row>
    <row r="117" ht="15.75" customHeight="1">
      <c r="A117" s="9"/>
      <c r="B117" s="164"/>
      <c r="C117" s="110"/>
      <c r="D117" s="156"/>
      <c r="E117" s="35"/>
      <c r="F117" s="112"/>
      <c r="G117" s="113"/>
      <c r="H117" s="53">
        <f t="shared" si="1"/>
        <v>0</v>
      </c>
      <c r="I117" s="115"/>
      <c r="J117" s="115"/>
      <c r="K117" s="60">
        <f t="shared" si="2"/>
        <v>0</v>
      </c>
      <c r="L117" s="117"/>
    </row>
    <row r="118" ht="15.75" customHeight="1">
      <c r="A118" s="9"/>
      <c r="B118" s="164"/>
      <c r="C118" s="110"/>
      <c r="D118" s="156"/>
      <c r="E118" s="35"/>
      <c r="F118" s="112"/>
      <c r="G118" s="113"/>
      <c r="H118" s="53">
        <f t="shared" si="1"/>
        <v>0</v>
      </c>
      <c r="I118" s="115"/>
      <c r="J118" s="115"/>
      <c r="K118" s="60">
        <f t="shared" si="2"/>
        <v>0</v>
      </c>
      <c r="L118" s="117"/>
    </row>
    <row r="119" ht="15.75" customHeight="1">
      <c r="A119" s="9"/>
      <c r="B119" s="164"/>
      <c r="C119" s="110"/>
      <c r="D119" s="156"/>
      <c r="E119" s="35"/>
      <c r="F119" s="112"/>
      <c r="G119" s="113"/>
      <c r="H119" s="53">
        <f t="shared" si="1"/>
        <v>0</v>
      </c>
      <c r="I119" s="115"/>
      <c r="J119" s="115"/>
      <c r="K119" s="60">
        <f t="shared" si="2"/>
        <v>0</v>
      </c>
      <c r="L119" s="117"/>
    </row>
    <row r="120" ht="15.75" customHeight="1">
      <c r="A120" s="9"/>
      <c r="B120" s="164"/>
      <c r="C120" s="110"/>
      <c r="D120" s="156"/>
      <c r="E120" s="35"/>
      <c r="F120" s="112"/>
      <c r="G120" s="113"/>
      <c r="H120" s="53">
        <f t="shared" si="1"/>
        <v>0</v>
      </c>
      <c r="I120" s="115"/>
      <c r="J120" s="115"/>
      <c r="K120" s="60">
        <f t="shared" si="2"/>
        <v>0</v>
      </c>
      <c r="L120" s="117"/>
    </row>
    <row r="121" ht="15.75" customHeight="1">
      <c r="A121" s="9"/>
      <c r="B121" s="164"/>
      <c r="C121" s="110"/>
      <c r="D121" s="156"/>
      <c r="E121" s="35"/>
      <c r="F121" s="112"/>
      <c r="G121" s="113"/>
      <c r="H121" s="53">
        <f t="shared" si="1"/>
        <v>0</v>
      </c>
      <c r="I121" s="115"/>
      <c r="J121" s="115"/>
      <c r="K121" s="60">
        <f t="shared" si="2"/>
        <v>0</v>
      </c>
      <c r="L121" s="117"/>
    </row>
    <row r="122" ht="15.75" customHeight="1">
      <c r="A122" s="9"/>
      <c r="B122" s="164"/>
      <c r="C122" s="110"/>
      <c r="D122" s="156"/>
      <c r="E122" s="35"/>
      <c r="F122" s="112"/>
      <c r="G122" s="113"/>
      <c r="H122" s="53">
        <f t="shared" si="1"/>
        <v>0</v>
      </c>
      <c r="I122" s="115"/>
      <c r="J122" s="115"/>
      <c r="K122" s="60">
        <f t="shared" si="2"/>
        <v>0</v>
      </c>
      <c r="L122" s="117"/>
    </row>
    <row r="123" ht="15.75" customHeight="1">
      <c r="A123" s="9"/>
      <c r="B123" s="164"/>
      <c r="C123" s="110"/>
      <c r="D123" s="156"/>
      <c r="E123" s="35"/>
      <c r="F123" s="112"/>
      <c r="G123" s="113"/>
      <c r="H123" s="53">
        <f t="shared" si="1"/>
        <v>0</v>
      </c>
      <c r="I123" s="115"/>
      <c r="J123" s="115"/>
      <c r="K123" s="60">
        <f t="shared" si="2"/>
        <v>0</v>
      </c>
      <c r="L123" s="117"/>
    </row>
    <row r="124" ht="15.75" customHeight="1">
      <c r="A124" s="9"/>
      <c r="B124" s="164"/>
      <c r="C124" s="110"/>
      <c r="D124" s="156"/>
      <c r="E124" s="35"/>
      <c r="F124" s="112"/>
      <c r="G124" s="113"/>
      <c r="H124" s="53">
        <f t="shared" si="1"/>
        <v>0</v>
      </c>
      <c r="I124" s="115"/>
      <c r="J124" s="115"/>
      <c r="K124" s="60">
        <f t="shared" si="2"/>
        <v>0</v>
      </c>
      <c r="L124" s="117"/>
    </row>
    <row r="125" ht="15.75" customHeight="1">
      <c r="A125" s="9"/>
      <c r="B125" s="164"/>
      <c r="C125" s="110"/>
      <c r="D125" s="156"/>
      <c r="E125" s="35"/>
      <c r="F125" s="112"/>
      <c r="G125" s="113"/>
      <c r="H125" s="53">
        <f t="shared" si="1"/>
        <v>0</v>
      </c>
      <c r="I125" s="115"/>
      <c r="J125" s="115"/>
      <c r="K125" s="60">
        <f t="shared" si="2"/>
        <v>0</v>
      </c>
      <c r="L125" s="117"/>
    </row>
    <row r="126" ht="15.75" customHeight="1">
      <c r="A126" s="9"/>
      <c r="B126" s="164"/>
      <c r="C126" s="110"/>
      <c r="D126" s="156"/>
      <c r="E126" s="35"/>
      <c r="F126" s="112"/>
      <c r="G126" s="113"/>
      <c r="H126" s="53">
        <f t="shared" si="1"/>
        <v>0</v>
      </c>
      <c r="I126" s="115"/>
      <c r="J126" s="115"/>
      <c r="K126" s="60">
        <f t="shared" si="2"/>
        <v>0</v>
      </c>
      <c r="L126" s="117"/>
    </row>
    <row r="127" ht="15.75" customHeight="1">
      <c r="A127" s="9"/>
      <c r="B127" s="164"/>
      <c r="C127" s="110"/>
      <c r="D127" s="156"/>
      <c r="E127" s="35"/>
      <c r="F127" s="112"/>
      <c r="G127" s="113"/>
      <c r="H127" s="53">
        <f t="shared" si="1"/>
        <v>0</v>
      </c>
      <c r="I127" s="115"/>
      <c r="J127" s="115"/>
      <c r="K127" s="60">
        <f t="shared" si="2"/>
        <v>0</v>
      </c>
      <c r="L127" s="117"/>
    </row>
    <row r="128" ht="15.75" customHeight="1">
      <c r="A128" s="9"/>
      <c r="B128" s="164"/>
      <c r="C128" s="110"/>
      <c r="D128" s="156"/>
      <c r="E128" s="35"/>
      <c r="F128" s="112"/>
      <c r="G128" s="113"/>
      <c r="H128" s="53">
        <f t="shared" si="1"/>
        <v>0</v>
      </c>
      <c r="I128" s="115"/>
      <c r="J128" s="115"/>
      <c r="K128" s="60">
        <f t="shared" si="2"/>
        <v>0</v>
      </c>
      <c r="L128" s="117"/>
    </row>
    <row r="129" ht="15.75" customHeight="1">
      <c r="A129" s="9"/>
      <c r="B129" s="164"/>
      <c r="C129" s="110"/>
      <c r="D129" s="156"/>
      <c r="E129" s="35"/>
      <c r="F129" s="112"/>
      <c r="G129" s="113"/>
      <c r="H129" s="53">
        <f t="shared" si="1"/>
        <v>0</v>
      </c>
      <c r="I129" s="115"/>
      <c r="J129" s="115"/>
      <c r="K129" s="60">
        <f t="shared" si="2"/>
        <v>0</v>
      </c>
      <c r="L129" s="117"/>
    </row>
    <row r="130" ht="15.75" customHeight="1">
      <c r="A130" s="9"/>
      <c r="B130" s="164"/>
      <c r="C130" s="110"/>
      <c r="D130" s="156"/>
      <c r="E130" s="35"/>
      <c r="F130" s="112"/>
      <c r="G130" s="113"/>
      <c r="H130" s="53">
        <f t="shared" si="1"/>
        <v>0</v>
      </c>
      <c r="I130" s="115"/>
      <c r="J130" s="115"/>
      <c r="K130" s="60">
        <f t="shared" si="2"/>
        <v>0</v>
      </c>
      <c r="L130" s="117"/>
    </row>
    <row r="131" ht="15.75" customHeight="1">
      <c r="A131" s="9"/>
      <c r="B131" s="164"/>
      <c r="C131" s="110"/>
      <c r="D131" s="156"/>
      <c r="E131" s="35"/>
      <c r="F131" s="112"/>
      <c r="G131" s="113"/>
      <c r="H131" s="53">
        <f t="shared" si="1"/>
        <v>0</v>
      </c>
      <c r="I131" s="115"/>
      <c r="J131" s="115"/>
      <c r="K131" s="60">
        <f t="shared" si="2"/>
        <v>0</v>
      </c>
      <c r="L131" s="117"/>
    </row>
    <row r="132" ht="15.75" customHeight="1">
      <c r="A132" s="9"/>
      <c r="B132" s="164"/>
      <c r="C132" s="110"/>
      <c r="D132" s="156"/>
      <c r="E132" s="35"/>
      <c r="F132" s="112"/>
      <c r="G132" s="113"/>
      <c r="H132" s="53">
        <f t="shared" si="1"/>
        <v>0</v>
      </c>
      <c r="I132" s="115"/>
      <c r="J132" s="115"/>
      <c r="K132" s="60">
        <f t="shared" si="2"/>
        <v>0</v>
      </c>
      <c r="L132" s="117"/>
    </row>
    <row r="133" ht="15.75" customHeight="1">
      <c r="A133" s="9"/>
      <c r="B133" s="164"/>
      <c r="C133" s="110"/>
      <c r="D133" s="156"/>
      <c r="E133" s="35"/>
      <c r="F133" s="112"/>
      <c r="G133" s="113"/>
      <c r="H133" s="53">
        <f t="shared" si="1"/>
        <v>0</v>
      </c>
      <c r="I133" s="115"/>
      <c r="J133" s="115"/>
      <c r="K133" s="60">
        <f t="shared" si="2"/>
        <v>0</v>
      </c>
      <c r="L133" s="117"/>
    </row>
    <row r="134" ht="15.75" customHeight="1">
      <c r="A134" s="9"/>
      <c r="B134" s="164"/>
      <c r="C134" s="110"/>
      <c r="D134" s="156"/>
      <c r="E134" s="35"/>
      <c r="F134" s="112"/>
      <c r="G134" s="113"/>
      <c r="H134" s="53">
        <f t="shared" si="1"/>
        <v>0</v>
      </c>
      <c r="I134" s="115"/>
      <c r="J134" s="115"/>
      <c r="K134" s="60">
        <f t="shared" si="2"/>
        <v>0</v>
      </c>
      <c r="L134" s="117"/>
    </row>
    <row r="135" ht="15.75" customHeight="1">
      <c r="A135" s="9"/>
      <c r="B135" s="164"/>
      <c r="C135" s="110"/>
      <c r="D135" s="156"/>
      <c r="E135" s="35"/>
      <c r="F135" s="112"/>
      <c r="G135" s="113"/>
      <c r="H135" s="53">
        <f t="shared" si="1"/>
        <v>0</v>
      </c>
      <c r="I135" s="115"/>
      <c r="J135" s="115"/>
      <c r="K135" s="60">
        <f t="shared" si="2"/>
        <v>0</v>
      </c>
      <c r="L135" s="117"/>
    </row>
    <row r="136" ht="15.75" customHeight="1">
      <c r="A136" s="9"/>
      <c r="B136" s="164"/>
      <c r="C136" s="110"/>
      <c r="D136" s="156"/>
      <c r="E136" s="35"/>
      <c r="F136" s="112"/>
      <c r="G136" s="113"/>
      <c r="H136" s="53">
        <f t="shared" si="1"/>
        <v>0</v>
      </c>
      <c r="I136" s="115"/>
      <c r="J136" s="115"/>
      <c r="K136" s="60">
        <f t="shared" si="2"/>
        <v>0</v>
      </c>
      <c r="L136" s="117"/>
    </row>
    <row r="137" ht="15.75" customHeight="1">
      <c r="A137" s="9"/>
      <c r="B137" s="164"/>
      <c r="C137" s="110"/>
      <c r="D137" s="156"/>
      <c r="E137" s="35"/>
      <c r="F137" s="112"/>
      <c r="G137" s="113"/>
      <c r="H137" s="53">
        <f t="shared" si="1"/>
        <v>0</v>
      </c>
      <c r="I137" s="115"/>
      <c r="J137" s="115"/>
      <c r="K137" s="60">
        <f t="shared" si="2"/>
        <v>0</v>
      </c>
      <c r="L137" s="117"/>
    </row>
    <row r="138" ht="15.75" customHeight="1">
      <c r="A138" s="9"/>
      <c r="B138" s="164"/>
      <c r="C138" s="110"/>
      <c r="D138" s="156"/>
      <c r="E138" s="35"/>
      <c r="F138" s="112"/>
      <c r="G138" s="113"/>
      <c r="H138" s="53">
        <f t="shared" si="1"/>
        <v>0</v>
      </c>
      <c r="I138" s="115"/>
      <c r="J138" s="115"/>
      <c r="K138" s="60">
        <f t="shared" si="2"/>
        <v>0</v>
      </c>
      <c r="L138" s="117"/>
    </row>
    <row r="139" ht="15.75" customHeight="1">
      <c r="A139" s="9"/>
      <c r="B139" s="164"/>
      <c r="C139" s="110"/>
      <c r="D139" s="156"/>
      <c r="E139" s="35"/>
      <c r="F139" s="112"/>
      <c r="G139" s="113"/>
      <c r="H139" s="53">
        <f t="shared" si="1"/>
        <v>0</v>
      </c>
      <c r="I139" s="115"/>
      <c r="J139" s="115"/>
      <c r="K139" s="60">
        <f t="shared" si="2"/>
        <v>0</v>
      </c>
      <c r="L139" s="117"/>
    </row>
    <row r="140" ht="15.75" customHeight="1">
      <c r="A140" s="9"/>
      <c r="B140" s="164"/>
      <c r="C140" s="110"/>
      <c r="D140" s="156"/>
      <c r="E140" s="35"/>
      <c r="F140" s="112"/>
      <c r="G140" s="113"/>
      <c r="H140" s="53">
        <f t="shared" si="1"/>
        <v>0</v>
      </c>
      <c r="I140" s="115"/>
      <c r="J140" s="115"/>
      <c r="K140" s="60">
        <f t="shared" si="2"/>
        <v>0</v>
      </c>
      <c r="L140" s="117"/>
    </row>
    <row r="141" ht="15.75" customHeight="1">
      <c r="A141" s="9"/>
      <c r="B141" s="164"/>
      <c r="C141" s="110"/>
      <c r="D141" s="156"/>
      <c r="E141" s="35"/>
      <c r="F141" s="112"/>
      <c r="G141" s="113"/>
      <c r="H141" s="53">
        <f t="shared" si="1"/>
        <v>0</v>
      </c>
      <c r="I141" s="115"/>
      <c r="J141" s="115"/>
      <c r="K141" s="60">
        <f t="shared" si="2"/>
        <v>0</v>
      </c>
      <c r="L141" s="117"/>
    </row>
    <row r="142" ht="15.75" customHeight="1">
      <c r="A142" s="9"/>
      <c r="B142" s="164"/>
      <c r="C142" s="110"/>
      <c r="D142" s="156"/>
      <c r="E142" s="35"/>
      <c r="F142" s="112"/>
      <c r="G142" s="113"/>
      <c r="H142" s="53">
        <f t="shared" si="1"/>
        <v>0</v>
      </c>
      <c r="I142" s="115"/>
      <c r="J142" s="115"/>
      <c r="K142" s="60">
        <f t="shared" si="2"/>
        <v>0</v>
      </c>
      <c r="L142" s="117"/>
    </row>
    <row r="143" ht="15.75" customHeight="1">
      <c r="A143" s="9"/>
      <c r="B143" s="164"/>
      <c r="C143" s="110"/>
      <c r="D143" s="156"/>
      <c r="E143" s="35"/>
      <c r="F143" s="112"/>
      <c r="G143" s="113"/>
      <c r="H143" s="53">
        <f t="shared" si="1"/>
        <v>0</v>
      </c>
      <c r="I143" s="115"/>
      <c r="J143" s="115"/>
      <c r="K143" s="60">
        <f t="shared" si="2"/>
        <v>0</v>
      </c>
      <c r="L143" s="117"/>
    </row>
    <row r="144" ht="15.75" customHeight="1">
      <c r="A144" s="9"/>
      <c r="B144" s="164"/>
      <c r="C144" s="110"/>
      <c r="D144" s="156"/>
      <c r="E144" s="35"/>
      <c r="F144" s="112"/>
      <c r="G144" s="113"/>
      <c r="H144" s="53">
        <f t="shared" si="1"/>
        <v>0</v>
      </c>
      <c r="I144" s="115"/>
      <c r="J144" s="115"/>
      <c r="K144" s="60">
        <f t="shared" si="2"/>
        <v>0</v>
      </c>
      <c r="L144" s="117"/>
    </row>
    <row r="145" ht="15.75" customHeight="1">
      <c r="A145" s="9"/>
      <c r="B145" s="164"/>
      <c r="C145" s="110"/>
      <c r="D145" s="156"/>
      <c r="E145" s="35"/>
      <c r="F145" s="112"/>
      <c r="G145" s="113"/>
      <c r="H145" s="53">
        <f t="shared" si="1"/>
        <v>0</v>
      </c>
      <c r="I145" s="115"/>
      <c r="J145" s="115"/>
      <c r="K145" s="60">
        <f t="shared" si="2"/>
        <v>0</v>
      </c>
      <c r="L145" s="117"/>
    </row>
    <row r="146" ht="15.75" customHeight="1">
      <c r="A146" s="9"/>
      <c r="B146" s="164"/>
      <c r="C146" s="110"/>
      <c r="D146" s="156"/>
      <c r="E146" s="35"/>
      <c r="F146" s="112"/>
      <c r="G146" s="113"/>
      <c r="H146" s="53">
        <f t="shared" si="1"/>
        <v>0</v>
      </c>
      <c r="I146" s="115"/>
      <c r="J146" s="115"/>
      <c r="K146" s="60">
        <f t="shared" si="2"/>
        <v>0</v>
      </c>
      <c r="L146" s="117"/>
    </row>
    <row r="147" ht="15.75" customHeight="1">
      <c r="A147" s="9"/>
      <c r="B147" s="164"/>
      <c r="C147" s="110"/>
      <c r="D147" s="156"/>
      <c r="E147" s="35"/>
      <c r="F147" s="112"/>
      <c r="G147" s="113"/>
      <c r="H147" s="53">
        <f t="shared" si="1"/>
        <v>0</v>
      </c>
      <c r="I147" s="115"/>
      <c r="J147" s="115"/>
      <c r="K147" s="60">
        <f t="shared" si="2"/>
        <v>0</v>
      </c>
      <c r="L147" s="117"/>
    </row>
    <row r="148" ht="15.75" customHeight="1">
      <c r="A148" s="9"/>
      <c r="B148" s="164"/>
      <c r="C148" s="110"/>
      <c r="D148" s="156"/>
      <c r="E148" s="35"/>
      <c r="F148" s="112"/>
      <c r="G148" s="113"/>
      <c r="H148" s="53">
        <f t="shared" si="1"/>
        <v>0</v>
      </c>
      <c r="I148" s="115"/>
      <c r="J148" s="115"/>
      <c r="K148" s="60">
        <f t="shared" si="2"/>
        <v>0</v>
      </c>
      <c r="L148" s="117"/>
    </row>
    <row r="149" ht="15.75" customHeight="1">
      <c r="A149" s="9"/>
      <c r="B149" s="164"/>
      <c r="C149" s="110"/>
      <c r="D149" s="156"/>
      <c r="E149" s="35"/>
      <c r="F149" s="112"/>
      <c r="G149" s="113"/>
      <c r="H149" s="53">
        <f t="shared" si="1"/>
        <v>0</v>
      </c>
      <c r="I149" s="115"/>
      <c r="J149" s="115"/>
      <c r="K149" s="60">
        <f t="shared" si="2"/>
        <v>0</v>
      </c>
      <c r="L149" s="117"/>
    </row>
    <row r="150" ht="15.75" customHeight="1">
      <c r="A150" s="9"/>
      <c r="B150" s="164"/>
      <c r="C150" s="110"/>
      <c r="D150" s="156"/>
      <c r="E150" s="35"/>
      <c r="F150" s="112"/>
      <c r="G150" s="113"/>
      <c r="H150" s="53">
        <f t="shared" si="1"/>
        <v>0</v>
      </c>
      <c r="I150" s="115"/>
      <c r="J150" s="115"/>
      <c r="K150" s="60">
        <f t="shared" si="2"/>
        <v>0</v>
      </c>
      <c r="L150" s="117"/>
    </row>
    <row r="151" ht="15.75" customHeight="1">
      <c r="A151" s="9"/>
      <c r="B151" s="164"/>
      <c r="C151" s="110"/>
      <c r="D151" s="156"/>
      <c r="E151" s="35"/>
      <c r="F151" s="112"/>
      <c r="G151" s="113"/>
      <c r="H151" s="53">
        <f t="shared" si="1"/>
        <v>0</v>
      </c>
      <c r="I151" s="115"/>
      <c r="J151" s="115"/>
      <c r="K151" s="60">
        <f t="shared" si="2"/>
        <v>0</v>
      </c>
      <c r="L151" s="117"/>
    </row>
    <row r="152" ht="15.75" customHeight="1">
      <c r="A152" s="9"/>
      <c r="B152" s="164"/>
      <c r="C152" s="110"/>
      <c r="D152" s="156"/>
      <c r="E152" s="35"/>
      <c r="F152" s="112"/>
      <c r="G152" s="113"/>
      <c r="H152" s="53">
        <f t="shared" si="1"/>
        <v>0</v>
      </c>
      <c r="I152" s="115"/>
      <c r="J152" s="115"/>
      <c r="K152" s="60">
        <f t="shared" si="2"/>
        <v>0</v>
      </c>
      <c r="L152" s="117"/>
    </row>
    <row r="153" ht="15.75" customHeight="1">
      <c r="A153" s="9"/>
      <c r="B153" s="164"/>
      <c r="C153" s="110"/>
      <c r="D153" s="156"/>
      <c r="E153" s="35"/>
      <c r="F153" s="112"/>
      <c r="G153" s="113"/>
      <c r="H153" s="53">
        <f t="shared" si="1"/>
        <v>0</v>
      </c>
      <c r="I153" s="115"/>
      <c r="J153" s="115"/>
      <c r="K153" s="60">
        <f t="shared" si="2"/>
        <v>0</v>
      </c>
      <c r="L153" s="117"/>
    </row>
    <row r="154" ht="15.75" customHeight="1">
      <c r="A154" s="9"/>
      <c r="B154" s="164"/>
      <c r="C154" s="110"/>
      <c r="D154" s="156"/>
      <c r="E154" s="35"/>
      <c r="F154" s="112"/>
      <c r="G154" s="113"/>
      <c r="H154" s="53">
        <f t="shared" si="1"/>
        <v>0</v>
      </c>
      <c r="I154" s="115"/>
      <c r="J154" s="115"/>
      <c r="K154" s="60">
        <f t="shared" si="2"/>
        <v>0</v>
      </c>
      <c r="L154" s="117"/>
    </row>
    <row r="155" ht="15.75" customHeight="1">
      <c r="A155" s="9"/>
      <c r="B155" s="164"/>
      <c r="C155" s="110"/>
      <c r="D155" s="156"/>
      <c r="E155" s="35"/>
      <c r="F155" s="112"/>
      <c r="G155" s="113"/>
      <c r="H155" s="53">
        <f t="shared" si="1"/>
        <v>0</v>
      </c>
      <c r="I155" s="115"/>
      <c r="J155" s="115"/>
      <c r="K155" s="60">
        <f t="shared" si="2"/>
        <v>0</v>
      </c>
      <c r="L155" s="117"/>
    </row>
    <row r="156" ht="15.75" customHeight="1">
      <c r="A156" s="9"/>
      <c r="B156" s="164"/>
      <c r="C156" s="110"/>
      <c r="D156" s="156"/>
      <c r="E156" s="35"/>
      <c r="F156" s="112"/>
      <c r="G156" s="113"/>
      <c r="H156" s="53">
        <f t="shared" si="1"/>
        <v>0</v>
      </c>
      <c r="I156" s="115"/>
      <c r="J156" s="115"/>
      <c r="K156" s="60">
        <f t="shared" si="2"/>
        <v>0</v>
      </c>
      <c r="L156" s="117"/>
    </row>
    <row r="157" ht="15.75" customHeight="1">
      <c r="A157" s="9"/>
      <c r="B157" s="164"/>
      <c r="C157" s="110"/>
      <c r="D157" s="156"/>
      <c r="E157" s="35"/>
      <c r="F157" s="112"/>
      <c r="G157" s="113"/>
      <c r="H157" s="53">
        <f t="shared" si="1"/>
        <v>0</v>
      </c>
      <c r="I157" s="115"/>
      <c r="J157" s="115"/>
      <c r="K157" s="60">
        <f t="shared" si="2"/>
        <v>0</v>
      </c>
      <c r="L157" s="117"/>
    </row>
    <row r="158" ht="15.75" customHeight="1">
      <c r="A158" s="9"/>
      <c r="B158" s="164"/>
      <c r="C158" s="110"/>
      <c r="D158" s="156"/>
      <c r="E158" s="35"/>
      <c r="F158" s="112"/>
      <c r="G158" s="113"/>
      <c r="H158" s="53">
        <f t="shared" si="1"/>
        <v>0</v>
      </c>
      <c r="I158" s="115"/>
      <c r="J158" s="115"/>
      <c r="K158" s="60">
        <f t="shared" si="2"/>
        <v>0</v>
      </c>
      <c r="L158" s="117"/>
    </row>
    <row r="159" ht="15.75" customHeight="1">
      <c r="A159" s="9"/>
      <c r="B159" s="164"/>
      <c r="C159" s="110"/>
      <c r="D159" s="156"/>
      <c r="E159" s="35"/>
      <c r="F159" s="112"/>
      <c r="G159" s="113"/>
      <c r="H159" s="53">
        <f t="shared" si="1"/>
        <v>0</v>
      </c>
      <c r="I159" s="115"/>
      <c r="J159" s="115"/>
      <c r="K159" s="60">
        <f t="shared" si="2"/>
        <v>0</v>
      </c>
      <c r="L159" s="117"/>
    </row>
    <row r="160" ht="15.75" customHeight="1">
      <c r="A160" s="9"/>
      <c r="B160" s="164"/>
      <c r="C160" s="110"/>
      <c r="D160" s="156"/>
      <c r="E160" s="35"/>
      <c r="F160" s="112"/>
      <c r="G160" s="113"/>
      <c r="H160" s="53">
        <f t="shared" si="1"/>
        <v>0</v>
      </c>
      <c r="I160" s="115"/>
      <c r="J160" s="115"/>
      <c r="K160" s="60">
        <f t="shared" si="2"/>
        <v>0</v>
      </c>
      <c r="L160" s="117"/>
    </row>
    <row r="161" ht="15.75" customHeight="1">
      <c r="A161" s="9"/>
      <c r="B161" s="164"/>
      <c r="C161" s="110"/>
      <c r="D161" s="156"/>
      <c r="E161" s="35"/>
      <c r="F161" s="112"/>
      <c r="G161" s="113"/>
      <c r="H161" s="53">
        <f t="shared" si="1"/>
        <v>0</v>
      </c>
      <c r="I161" s="115"/>
      <c r="J161" s="115"/>
      <c r="K161" s="60">
        <f t="shared" si="2"/>
        <v>0</v>
      </c>
      <c r="L161" s="117"/>
    </row>
    <row r="162" ht="15.75" customHeight="1">
      <c r="A162" s="9"/>
      <c r="B162" s="164"/>
      <c r="C162" s="110"/>
      <c r="D162" s="156"/>
      <c r="E162" s="35"/>
      <c r="F162" s="112"/>
      <c r="G162" s="113"/>
      <c r="H162" s="53">
        <f t="shared" si="1"/>
        <v>0</v>
      </c>
      <c r="I162" s="115"/>
      <c r="J162" s="115"/>
      <c r="K162" s="60">
        <f t="shared" si="2"/>
        <v>0</v>
      </c>
      <c r="L162" s="117"/>
    </row>
    <row r="163" ht="15.75" customHeight="1">
      <c r="A163" s="9"/>
      <c r="B163" s="164"/>
      <c r="C163" s="110"/>
      <c r="D163" s="156"/>
      <c r="E163" s="35"/>
      <c r="F163" s="112"/>
      <c r="G163" s="113"/>
      <c r="H163" s="53">
        <f t="shared" si="1"/>
        <v>0</v>
      </c>
      <c r="I163" s="115"/>
      <c r="J163" s="115"/>
      <c r="K163" s="60">
        <f t="shared" si="2"/>
        <v>0</v>
      </c>
      <c r="L163" s="117"/>
    </row>
    <row r="164" ht="15.75" customHeight="1">
      <c r="A164" s="9"/>
      <c r="B164" s="164"/>
      <c r="C164" s="110"/>
      <c r="D164" s="156"/>
      <c r="E164" s="35"/>
      <c r="F164" s="112"/>
      <c r="G164" s="113"/>
      <c r="H164" s="53">
        <f t="shared" si="1"/>
        <v>0</v>
      </c>
      <c r="I164" s="115"/>
      <c r="J164" s="115"/>
      <c r="K164" s="60">
        <f t="shared" si="2"/>
        <v>0</v>
      </c>
      <c r="L164" s="117"/>
    </row>
    <row r="165" ht="15.75" customHeight="1">
      <c r="A165" s="9"/>
      <c r="B165" s="164"/>
      <c r="C165" s="110"/>
      <c r="D165" s="156"/>
      <c r="E165" s="35"/>
      <c r="F165" s="112"/>
      <c r="G165" s="113"/>
      <c r="H165" s="53">
        <f t="shared" si="1"/>
        <v>0</v>
      </c>
      <c r="I165" s="115"/>
      <c r="J165" s="115"/>
      <c r="K165" s="60">
        <f t="shared" si="2"/>
        <v>0</v>
      </c>
      <c r="L165" s="117"/>
    </row>
    <row r="166" ht="15.75" customHeight="1">
      <c r="A166" s="9"/>
      <c r="B166" s="164"/>
      <c r="C166" s="110"/>
      <c r="D166" s="156"/>
      <c r="E166" s="35"/>
      <c r="F166" s="112"/>
      <c r="G166" s="113"/>
      <c r="H166" s="53">
        <f t="shared" si="1"/>
        <v>0</v>
      </c>
      <c r="I166" s="115"/>
      <c r="J166" s="115"/>
      <c r="K166" s="60">
        <f t="shared" si="2"/>
        <v>0</v>
      </c>
      <c r="L166" s="117"/>
    </row>
    <row r="167" ht="15.75" customHeight="1">
      <c r="A167" s="9"/>
      <c r="B167" s="164"/>
      <c r="C167" s="110"/>
      <c r="D167" s="156"/>
      <c r="E167" s="35"/>
      <c r="F167" s="112"/>
      <c r="G167" s="113"/>
      <c r="H167" s="53">
        <f t="shared" si="1"/>
        <v>0</v>
      </c>
      <c r="I167" s="115"/>
      <c r="J167" s="115"/>
      <c r="K167" s="60">
        <f t="shared" si="2"/>
        <v>0</v>
      </c>
      <c r="L167" s="117"/>
    </row>
    <row r="168" ht="15.75" customHeight="1">
      <c r="A168" s="9"/>
      <c r="B168" s="164"/>
      <c r="C168" s="110"/>
      <c r="D168" s="156"/>
      <c r="E168" s="35"/>
      <c r="F168" s="112"/>
      <c r="G168" s="113"/>
      <c r="H168" s="53">
        <f t="shared" si="1"/>
        <v>0</v>
      </c>
      <c r="I168" s="115"/>
      <c r="J168" s="115"/>
      <c r="K168" s="60">
        <f t="shared" si="2"/>
        <v>0</v>
      </c>
      <c r="L168" s="117"/>
    </row>
    <row r="169" ht="15.75" customHeight="1">
      <c r="A169" s="9"/>
      <c r="B169" s="164"/>
      <c r="C169" s="110"/>
      <c r="D169" s="156"/>
      <c r="E169" s="35"/>
      <c r="F169" s="112"/>
      <c r="G169" s="113"/>
      <c r="H169" s="53">
        <f t="shared" si="1"/>
        <v>0</v>
      </c>
      <c r="I169" s="115"/>
      <c r="J169" s="115"/>
      <c r="K169" s="60">
        <f t="shared" si="2"/>
        <v>0</v>
      </c>
      <c r="L169" s="117"/>
    </row>
    <row r="170" ht="15.75" customHeight="1">
      <c r="A170" s="9"/>
      <c r="B170" s="164"/>
      <c r="C170" s="110"/>
      <c r="D170" s="156"/>
      <c r="E170" s="35"/>
      <c r="F170" s="112"/>
      <c r="G170" s="113"/>
      <c r="H170" s="53">
        <f t="shared" si="1"/>
        <v>0</v>
      </c>
      <c r="I170" s="115"/>
      <c r="J170" s="115"/>
      <c r="K170" s="60">
        <f t="shared" si="2"/>
        <v>0</v>
      </c>
      <c r="L170" s="117"/>
    </row>
    <row r="171" ht="15.75" customHeight="1">
      <c r="A171" s="9"/>
      <c r="B171" s="164"/>
      <c r="C171" s="110"/>
      <c r="D171" s="156"/>
      <c r="E171" s="35"/>
      <c r="F171" s="112"/>
      <c r="G171" s="113"/>
      <c r="H171" s="53">
        <f t="shared" si="1"/>
        <v>0</v>
      </c>
      <c r="I171" s="115"/>
      <c r="J171" s="115"/>
      <c r="K171" s="60">
        <f t="shared" si="2"/>
        <v>0</v>
      </c>
      <c r="L171" s="117"/>
    </row>
    <row r="172" ht="15.75" customHeight="1">
      <c r="A172" s="9"/>
      <c r="B172" s="164"/>
      <c r="C172" s="110"/>
      <c r="D172" s="156"/>
      <c r="E172" s="35"/>
      <c r="F172" s="112"/>
      <c r="G172" s="113"/>
      <c r="H172" s="53">
        <f t="shared" si="1"/>
        <v>0</v>
      </c>
      <c r="I172" s="115"/>
      <c r="J172" s="115"/>
      <c r="K172" s="60">
        <f t="shared" si="2"/>
        <v>0</v>
      </c>
      <c r="L172" s="117"/>
    </row>
    <row r="173" ht="15.75" customHeight="1">
      <c r="A173" s="9"/>
      <c r="B173" s="164"/>
      <c r="C173" s="110"/>
      <c r="D173" s="156"/>
      <c r="E173" s="35"/>
      <c r="F173" s="112"/>
      <c r="G173" s="113"/>
      <c r="H173" s="53">
        <f t="shared" si="1"/>
        <v>0</v>
      </c>
      <c r="I173" s="115"/>
      <c r="J173" s="115"/>
      <c r="K173" s="60">
        <f t="shared" si="2"/>
        <v>0</v>
      </c>
      <c r="L173" s="117"/>
    </row>
    <row r="174" ht="15.75" customHeight="1">
      <c r="A174" s="9"/>
      <c r="B174" s="164"/>
      <c r="C174" s="110"/>
      <c r="D174" s="156"/>
      <c r="E174" s="35"/>
      <c r="F174" s="112"/>
      <c r="G174" s="113"/>
      <c r="H174" s="53">
        <f t="shared" si="1"/>
        <v>0</v>
      </c>
      <c r="I174" s="115"/>
      <c r="J174" s="115"/>
      <c r="K174" s="60">
        <f t="shared" si="2"/>
        <v>0</v>
      </c>
      <c r="L174" s="117"/>
    </row>
    <row r="175" ht="15.75" customHeight="1">
      <c r="A175" s="9"/>
      <c r="B175" s="164"/>
      <c r="C175" s="110"/>
      <c r="D175" s="156"/>
      <c r="E175" s="35"/>
      <c r="F175" s="112"/>
      <c r="G175" s="113"/>
      <c r="H175" s="53">
        <f t="shared" si="1"/>
        <v>0</v>
      </c>
      <c r="I175" s="115"/>
      <c r="J175" s="115"/>
      <c r="K175" s="60">
        <f t="shared" si="2"/>
        <v>0</v>
      </c>
      <c r="L175" s="117"/>
    </row>
    <row r="176" ht="15.75" customHeight="1">
      <c r="A176" s="9"/>
      <c r="B176" s="164"/>
      <c r="C176" s="110"/>
      <c r="D176" s="156"/>
      <c r="E176" s="35"/>
      <c r="F176" s="112"/>
      <c r="G176" s="113"/>
      <c r="H176" s="53">
        <f t="shared" si="1"/>
        <v>0</v>
      </c>
      <c r="I176" s="115"/>
      <c r="J176" s="115"/>
      <c r="K176" s="60">
        <f t="shared" si="2"/>
        <v>0</v>
      </c>
      <c r="L176" s="117"/>
    </row>
    <row r="177" ht="15.75" customHeight="1">
      <c r="A177" s="9"/>
      <c r="B177" s="164"/>
      <c r="C177" s="110"/>
      <c r="D177" s="156"/>
      <c r="E177" s="35"/>
      <c r="F177" s="112"/>
      <c r="G177" s="113"/>
      <c r="H177" s="53">
        <f t="shared" si="1"/>
        <v>0</v>
      </c>
      <c r="I177" s="115"/>
      <c r="J177" s="115"/>
      <c r="K177" s="60">
        <f t="shared" si="2"/>
        <v>0</v>
      </c>
      <c r="L177" s="117"/>
    </row>
    <row r="178" ht="15.75" customHeight="1">
      <c r="A178" s="9"/>
      <c r="B178" s="164"/>
      <c r="C178" s="110"/>
      <c r="D178" s="156"/>
      <c r="E178" s="35"/>
      <c r="F178" s="112"/>
      <c r="G178" s="113"/>
      <c r="H178" s="53">
        <f t="shared" si="1"/>
        <v>0</v>
      </c>
      <c r="I178" s="115"/>
      <c r="J178" s="115"/>
      <c r="K178" s="60">
        <f t="shared" si="2"/>
        <v>0</v>
      </c>
      <c r="L178" s="117"/>
    </row>
    <row r="179" ht="15.75" customHeight="1">
      <c r="A179" s="9"/>
      <c r="B179" s="164"/>
      <c r="C179" s="110"/>
      <c r="D179" s="156"/>
      <c r="E179" s="35"/>
      <c r="F179" s="112"/>
      <c r="G179" s="113"/>
      <c r="H179" s="53">
        <f t="shared" si="1"/>
        <v>0</v>
      </c>
      <c r="I179" s="115"/>
      <c r="J179" s="115"/>
      <c r="K179" s="60">
        <f t="shared" si="2"/>
        <v>0</v>
      </c>
      <c r="L179" s="117"/>
    </row>
    <row r="180" ht="15.75" customHeight="1">
      <c r="A180" s="9"/>
      <c r="B180" s="164"/>
      <c r="C180" s="110"/>
      <c r="D180" s="156"/>
      <c r="E180" s="35"/>
      <c r="F180" s="112"/>
      <c r="G180" s="113"/>
      <c r="H180" s="53">
        <f t="shared" si="1"/>
        <v>0</v>
      </c>
      <c r="I180" s="115"/>
      <c r="J180" s="115"/>
      <c r="K180" s="60">
        <f t="shared" si="2"/>
        <v>0</v>
      </c>
      <c r="L180" s="117"/>
    </row>
    <row r="181" ht="15.75" customHeight="1">
      <c r="A181" s="9"/>
      <c r="B181" s="164"/>
      <c r="C181" s="110"/>
      <c r="D181" s="156"/>
      <c r="E181" s="35"/>
      <c r="F181" s="112"/>
      <c r="G181" s="113"/>
      <c r="H181" s="53">
        <f t="shared" si="1"/>
        <v>0</v>
      </c>
      <c r="I181" s="115"/>
      <c r="J181" s="115"/>
      <c r="K181" s="60">
        <f t="shared" si="2"/>
        <v>0</v>
      </c>
      <c r="L181" s="117"/>
    </row>
    <row r="182" ht="15.75" customHeight="1">
      <c r="A182" s="9"/>
      <c r="B182" s="164"/>
      <c r="C182" s="110"/>
      <c r="D182" s="156"/>
      <c r="E182" s="35"/>
      <c r="F182" s="112"/>
      <c r="G182" s="113"/>
      <c r="H182" s="53">
        <f t="shared" si="1"/>
        <v>0</v>
      </c>
      <c r="I182" s="115"/>
      <c r="J182" s="115"/>
      <c r="K182" s="60">
        <f t="shared" si="2"/>
        <v>0</v>
      </c>
      <c r="L182" s="117"/>
    </row>
    <row r="183" ht="15.75" customHeight="1">
      <c r="A183" s="9"/>
      <c r="B183" s="164"/>
      <c r="C183" s="110"/>
      <c r="D183" s="156"/>
      <c r="E183" s="35"/>
      <c r="F183" s="112"/>
      <c r="G183" s="113"/>
      <c r="H183" s="53">
        <f t="shared" si="1"/>
        <v>0</v>
      </c>
      <c r="I183" s="115"/>
      <c r="J183" s="115"/>
      <c r="K183" s="60">
        <f t="shared" si="2"/>
        <v>0</v>
      </c>
      <c r="L183" s="117"/>
    </row>
    <row r="184" ht="15.75" customHeight="1">
      <c r="A184" s="9"/>
      <c r="B184" s="164"/>
      <c r="C184" s="110"/>
      <c r="D184" s="156"/>
      <c r="E184" s="35"/>
      <c r="F184" s="112"/>
      <c r="G184" s="113"/>
      <c r="H184" s="53">
        <f t="shared" si="1"/>
        <v>0</v>
      </c>
      <c r="I184" s="115"/>
      <c r="J184" s="115"/>
      <c r="K184" s="60">
        <f t="shared" si="2"/>
        <v>0</v>
      </c>
      <c r="L184" s="117"/>
    </row>
    <row r="185" ht="15.75" customHeight="1">
      <c r="A185" s="9"/>
      <c r="B185" s="164"/>
      <c r="C185" s="110"/>
      <c r="D185" s="156"/>
      <c r="E185" s="35"/>
      <c r="F185" s="112"/>
      <c r="G185" s="113"/>
      <c r="H185" s="53">
        <f t="shared" si="1"/>
        <v>0</v>
      </c>
      <c r="I185" s="115"/>
      <c r="J185" s="115"/>
      <c r="K185" s="60">
        <f t="shared" si="2"/>
        <v>0</v>
      </c>
      <c r="L185" s="117"/>
    </row>
    <row r="186" ht="15.75" customHeight="1">
      <c r="A186" s="9"/>
      <c r="B186" s="164"/>
      <c r="C186" s="110"/>
      <c r="D186" s="156"/>
      <c r="E186" s="35"/>
      <c r="F186" s="112"/>
      <c r="G186" s="113"/>
      <c r="H186" s="53">
        <f t="shared" si="1"/>
        <v>0</v>
      </c>
      <c r="I186" s="115"/>
      <c r="J186" s="115"/>
      <c r="K186" s="60">
        <f t="shared" si="2"/>
        <v>0</v>
      </c>
      <c r="L186" s="117"/>
    </row>
    <row r="187" ht="15.75" customHeight="1">
      <c r="A187" s="9"/>
      <c r="B187" s="164"/>
      <c r="C187" s="110"/>
      <c r="D187" s="156"/>
      <c r="E187" s="35"/>
      <c r="F187" s="112"/>
      <c r="G187" s="113"/>
      <c r="H187" s="53">
        <f t="shared" si="1"/>
        <v>0</v>
      </c>
      <c r="I187" s="115"/>
      <c r="J187" s="115"/>
      <c r="K187" s="60">
        <f t="shared" si="2"/>
        <v>0</v>
      </c>
      <c r="L187" s="117"/>
    </row>
    <row r="188" ht="15.75" customHeight="1">
      <c r="A188" s="9"/>
      <c r="B188" s="164"/>
      <c r="C188" s="110"/>
      <c r="D188" s="156"/>
      <c r="E188" s="35"/>
      <c r="F188" s="112"/>
      <c r="G188" s="113"/>
      <c r="H188" s="53">
        <f t="shared" si="1"/>
        <v>0</v>
      </c>
      <c r="I188" s="115"/>
      <c r="J188" s="115"/>
      <c r="K188" s="60">
        <f t="shared" si="2"/>
        <v>0</v>
      </c>
      <c r="L188" s="117"/>
    </row>
    <row r="189" ht="15.75" customHeight="1">
      <c r="A189" s="9"/>
      <c r="B189" s="164"/>
      <c r="C189" s="110"/>
      <c r="D189" s="156"/>
      <c r="E189" s="35"/>
      <c r="F189" s="112"/>
      <c r="G189" s="113"/>
      <c r="H189" s="53">
        <f t="shared" si="1"/>
        <v>0</v>
      </c>
      <c r="I189" s="115"/>
      <c r="J189" s="115"/>
      <c r="K189" s="60">
        <f t="shared" si="2"/>
        <v>0</v>
      </c>
      <c r="L189" s="117"/>
    </row>
    <row r="190" ht="15.75" customHeight="1">
      <c r="A190" s="9"/>
      <c r="B190" s="164"/>
      <c r="C190" s="110"/>
      <c r="D190" s="156"/>
      <c r="E190" s="35"/>
      <c r="F190" s="112"/>
      <c r="G190" s="113"/>
      <c r="H190" s="53">
        <f t="shared" si="1"/>
        <v>0</v>
      </c>
      <c r="I190" s="115"/>
      <c r="J190" s="115"/>
      <c r="K190" s="60">
        <f t="shared" si="2"/>
        <v>0</v>
      </c>
      <c r="L190" s="117"/>
    </row>
    <row r="191" ht="15.75" customHeight="1">
      <c r="A191" s="9"/>
      <c r="B191" s="164"/>
      <c r="C191" s="110"/>
      <c r="D191" s="156"/>
      <c r="E191" s="35"/>
      <c r="F191" s="112"/>
      <c r="G191" s="113"/>
      <c r="H191" s="53">
        <f t="shared" si="1"/>
        <v>0</v>
      </c>
      <c r="I191" s="115"/>
      <c r="J191" s="115"/>
      <c r="K191" s="60">
        <f t="shared" si="2"/>
        <v>0</v>
      </c>
      <c r="L191" s="117"/>
    </row>
    <row r="192" ht="15.75" customHeight="1">
      <c r="A192" s="9"/>
      <c r="B192" s="164"/>
      <c r="C192" s="110"/>
      <c r="D192" s="156"/>
      <c r="E192" s="35"/>
      <c r="F192" s="112"/>
      <c r="G192" s="113"/>
      <c r="H192" s="53">
        <f t="shared" si="1"/>
        <v>0</v>
      </c>
      <c r="I192" s="115"/>
      <c r="J192" s="115"/>
      <c r="K192" s="60">
        <f t="shared" si="2"/>
        <v>0</v>
      </c>
      <c r="L192" s="117"/>
    </row>
    <row r="193" ht="15.75" customHeight="1">
      <c r="A193" s="9"/>
      <c r="B193" s="164"/>
      <c r="C193" s="110"/>
      <c r="D193" s="156"/>
      <c r="E193" s="35"/>
      <c r="F193" s="112"/>
      <c r="G193" s="113"/>
      <c r="H193" s="53">
        <f t="shared" si="1"/>
        <v>0</v>
      </c>
      <c r="I193" s="115"/>
      <c r="J193" s="115"/>
      <c r="K193" s="60">
        <f t="shared" si="2"/>
        <v>0</v>
      </c>
      <c r="L193" s="117"/>
    </row>
    <row r="194" ht="15.75" customHeight="1">
      <c r="A194" s="9"/>
      <c r="B194" s="164"/>
      <c r="C194" s="110"/>
      <c r="D194" s="156"/>
      <c r="E194" s="35"/>
      <c r="F194" s="112"/>
      <c r="G194" s="113"/>
      <c r="H194" s="53">
        <f t="shared" si="1"/>
        <v>0</v>
      </c>
      <c r="I194" s="115"/>
      <c r="J194" s="115"/>
      <c r="K194" s="60">
        <f t="shared" si="2"/>
        <v>0</v>
      </c>
      <c r="L194" s="117"/>
    </row>
    <row r="195" ht="15.75" customHeight="1">
      <c r="A195" s="9"/>
      <c r="B195" s="164"/>
      <c r="C195" s="110"/>
      <c r="D195" s="156"/>
      <c r="E195" s="35"/>
      <c r="F195" s="112"/>
      <c r="G195" s="113"/>
      <c r="H195" s="53">
        <f t="shared" si="1"/>
        <v>0</v>
      </c>
      <c r="I195" s="115"/>
      <c r="J195" s="115"/>
      <c r="K195" s="60">
        <f t="shared" si="2"/>
        <v>0</v>
      </c>
      <c r="L195" s="117"/>
    </row>
    <row r="196" ht="15.75" customHeight="1">
      <c r="A196" s="9"/>
      <c r="B196" s="164"/>
      <c r="C196" s="110"/>
      <c r="D196" s="156"/>
      <c r="E196" s="35"/>
      <c r="F196" s="112"/>
      <c r="G196" s="113"/>
      <c r="H196" s="53">
        <f t="shared" si="1"/>
        <v>0</v>
      </c>
      <c r="I196" s="115"/>
      <c r="J196" s="115"/>
      <c r="K196" s="60">
        <f t="shared" si="2"/>
        <v>0</v>
      </c>
      <c r="L196" s="117"/>
    </row>
    <row r="197" ht="15.75" customHeight="1">
      <c r="A197" s="9"/>
      <c r="B197" s="164"/>
      <c r="C197" s="110"/>
      <c r="D197" s="156"/>
      <c r="E197" s="35"/>
      <c r="F197" s="112"/>
      <c r="G197" s="113"/>
      <c r="H197" s="53">
        <f t="shared" si="1"/>
        <v>0</v>
      </c>
      <c r="I197" s="115"/>
      <c r="J197" s="115"/>
      <c r="K197" s="60">
        <f t="shared" si="2"/>
        <v>0</v>
      </c>
      <c r="L197" s="117"/>
    </row>
    <row r="198" ht="15.75" customHeight="1">
      <c r="A198" s="9"/>
      <c r="B198" s="164"/>
      <c r="C198" s="110"/>
      <c r="D198" s="156"/>
      <c r="E198" s="35"/>
      <c r="F198" s="112"/>
      <c r="G198" s="113"/>
      <c r="H198" s="53">
        <f t="shared" si="1"/>
        <v>0</v>
      </c>
      <c r="I198" s="115"/>
      <c r="J198" s="115"/>
      <c r="K198" s="60">
        <f t="shared" si="2"/>
        <v>0</v>
      </c>
      <c r="L198" s="117"/>
    </row>
    <row r="199" ht="15.75" customHeight="1">
      <c r="A199" s="9"/>
      <c r="B199" s="164"/>
      <c r="C199" s="110"/>
      <c r="D199" s="156"/>
      <c r="E199" s="35"/>
      <c r="F199" s="112"/>
      <c r="G199" s="113"/>
      <c r="H199" s="53">
        <f t="shared" si="1"/>
        <v>0</v>
      </c>
      <c r="I199" s="115"/>
      <c r="J199" s="115"/>
      <c r="K199" s="60">
        <f t="shared" si="2"/>
        <v>0</v>
      </c>
      <c r="L199" s="117"/>
    </row>
    <row r="200" ht="15.75" customHeight="1">
      <c r="A200" s="9"/>
      <c r="B200" s="164"/>
      <c r="C200" s="110"/>
      <c r="D200" s="156"/>
      <c r="E200" s="35"/>
      <c r="F200" s="112"/>
      <c r="G200" s="113"/>
      <c r="H200" s="53">
        <f t="shared" si="1"/>
        <v>0</v>
      </c>
      <c r="I200" s="115"/>
      <c r="J200" s="115"/>
      <c r="K200" s="60">
        <f t="shared" si="2"/>
        <v>0</v>
      </c>
      <c r="L200" s="117"/>
    </row>
    <row r="201" ht="15.75" customHeight="1">
      <c r="A201" s="9"/>
      <c r="B201" s="164"/>
      <c r="C201" s="110"/>
      <c r="D201" s="156"/>
      <c r="E201" s="35"/>
      <c r="F201" s="112"/>
      <c r="G201" s="113"/>
      <c r="H201" s="53">
        <f t="shared" si="1"/>
        <v>0</v>
      </c>
      <c r="I201" s="115"/>
      <c r="J201" s="115"/>
      <c r="K201" s="60">
        <f t="shared" si="2"/>
        <v>0</v>
      </c>
      <c r="L201" s="117"/>
    </row>
    <row r="202" ht="15.75" customHeight="1">
      <c r="A202" s="9"/>
      <c r="B202" s="164"/>
      <c r="C202" s="110"/>
      <c r="D202" s="156"/>
      <c r="E202" s="35"/>
      <c r="F202" s="112"/>
      <c r="G202" s="113"/>
      <c r="H202" s="53">
        <f t="shared" si="1"/>
        <v>0</v>
      </c>
      <c r="I202" s="115"/>
      <c r="J202" s="115"/>
      <c r="K202" s="60">
        <f t="shared" si="2"/>
        <v>0</v>
      </c>
      <c r="L202" s="117"/>
    </row>
    <row r="203" ht="15.75" customHeight="1">
      <c r="A203" s="9"/>
      <c r="B203" s="164"/>
      <c r="C203" s="110"/>
      <c r="D203" s="156"/>
      <c r="E203" s="35"/>
      <c r="F203" s="112"/>
      <c r="G203" s="113"/>
      <c r="H203" s="53">
        <f t="shared" si="1"/>
        <v>0</v>
      </c>
      <c r="I203" s="115"/>
      <c r="J203" s="115"/>
      <c r="K203" s="60">
        <f t="shared" si="2"/>
        <v>0</v>
      </c>
      <c r="L203" s="117"/>
    </row>
    <row r="204" ht="15.75" customHeight="1">
      <c r="A204" s="9"/>
      <c r="B204" s="164"/>
      <c r="C204" s="110"/>
      <c r="D204" s="156"/>
      <c r="E204" s="35"/>
      <c r="F204" s="112"/>
      <c r="G204" s="113"/>
      <c r="H204" s="53">
        <f t="shared" si="1"/>
        <v>0</v>
      </c>
      <c r="I204" s="115"/>
      <c r="J204" s="115"/>
      <c r="K204" s="60">
        <f t="shared" si="2"/>
        <v>0</v>
      </c>
      <c r="L204" s="117"/>
    </row>
    <row r="205" ht="15.75" customHeight="1">
      <c r="A205" s="9"/>
      <c r="B205" s="164"/>
      <c r="C205" s="110"/>
      <c r="D205" s="156"/>
      <c r="E205" s="35"/>
      <c r="F205" s="112"/>
      <c r="G205" s="113"/>
      <c r="H205" s="53">
        <f t="shared" si="1"/>
        <v>0</v>
      </c>
      <c r="I205" s="115"/>
      <c r="J205" s="115"/>
      <c r="K205" s="60">
        <f t="shared" si="2"/>
        <v>0</v>
      </c>
      <c r="L205" s="117"/>
    </row>
    <row r="206" ht="15.75" customHeight="1">
      <c r="A206" s="9"/>
      <c r="B206" s="164"/>
      <c r="C206" s="110"/>
      <c r="D206" s="156"/>
      <c r="E206" s="35"/>
      <c r="F206" s="112"/>
      <c r="G206" s="113"/>
      <c r="H206" s="53">
        <f t="shared" si="1"/>
        <v>0</v>
      </c>
      <c r="I206" s="115"/>
      <c r="J206" s="115"/>
      <c r="K206" s="60">
        <f t="shared" si="2"/>
        <v>0</v>
      </c>
      <c r="L206" s="117"/>
    </row>
    <row r="207" ht="15.75" customHeight="1">
      <c r="A207" s="9"/>
      <c r="B207" s="164"/>
      <c r="C207" s="110"/>
      <c r="D207" s="156"/>
      <c r="E207" s="35"/>
      <c r="F207" s="112"/>
      <c r="G207" s="113"/>
      <c r="H207" s="53">
        <f t="shared" si="1"/>
        <v>0</v>
      </c>
      <c r="I207" s="115"/>
      <c r="J207" s="115"/>
      <c r="K207" s="60">
        <f t="shared" si="2"/>
        <v>0</v>
      </c>
      <c r="L207" s="117"/>
    </row>
    <row r="208" ht="15.75" customHeight="1">
      <c r="A208" s="9"/>
      <c r="B208" s="164"/>
      <c r="C208" s="110"/>
      <c r="D208" s="156"/>
      <c r="E208" s="35"/>
      <c r="F208" s="112"/>
      <c r="G208" s="113"/>
      <c r="H208" s="53">
        <f t="shared" si="1"/>
        <v>0</v>
      </c>
      <c r="I208" s="115"/>
      <c r="J208" s="115"/>
      <c r="K208" s="60">
        <f t="shared" si="2"/>
        <v>0</v>
      </c>
      <c r="L208" s="117"/>
    </row>
    <row r="209" ht="15.75" customHeight="1">
      <c r="A209" s="9"/>
      <c r="B209" s="164"/>
      <c r="C209" s="110"/>
      <c r="D209" s="156"/>
      <c r="E209" s="35"/>
      <c r="F209" s="112"/>
      <c r="G209" s="113"/>
      <c r="H209" s="53">
        <f t="shared" si="1"/>
        <v>0</v>
      </c>
      <c r="I209" s="115"/>
      <c r="J209" s="115"/>
      <c r="K209" s="60">
        <f t="shared" si="2"/>
        <v>0</v>
      </c>
      <c r="L209" s="117"/>
    </row>
    <row r="210" ht="15.75" customHeight="1">
      <c r="A210" s="9"/>
      <c r="B210" s="164"/>
      <c r="C210" s="110"/>
      <c r="D210" s="156"/>
      <c r="E210" s="35"/>
      <c r="F210" s="112"/>
      <c r="G210" s="113"/>
      <c r="H210" s="53">
        <f t="shared" si="1"/>
        <v>0</v>
      </c>
      <c r="I210" s="115"/>
      <c r="J210" s="115"/>
      <c r="K210" s="60">
        <f t="shared" si="2"/>
        <v>0</v>
      </c>
      <c r="L210" s="117"/>
    </row>
    <row r="211" ht="15.75" customHeight="1">
      <c r="A211" s="9"/>
      <c r="B211" s="164"/>
      <c r="C211" s="110"/>
      <c r="D211" s="156"/>
      <c r="E211" s="35"/>
      <c r="F211" s="112"/>
      <c r="G211" s="113"/>
      <c r="H211" s="53">
        <f t="shared" si="1"/>
        <v>0</v>
      </c>
      <c r="I211" s="115"/>
      <c r="J211" s="115"/>
      <c r="K211" s="60">
        <f t="shared" si="2"/>
        <v>0</v>
      </c>
      <c r="L211" s="117"/>
    </row>
    <row r="212" ht="15.75" customHeight="1">
      <c r="A212" s="9"/>
      <c r="B212" s="164"/>
      <c r="C212" s="110"/>
      <c r="D212" s="156"/>
      <c r="E212" s="35"/>
      <c r="F212" s="112"/>
      <c r="G212" s="113"/>
      <c r="H212" s="53">
        <f t="shared" si="1"/>
        <v>0</v>
      </c>
      <c r="I212" s="115"/>
      <c r="J212" s="115"/>
      <c r="K212" s="60">
        <f t="shared" si="2"/>
        <v>0</v>
      </c>
      <c r="L212" s="117"/>
    </row>
    <row r="213" ht="15.75" customHeight="1">
      <c r="A213" s="9"/>
      <c r="B213" s="164"/>
      <c r="C213" s="110"/>
      <c r="D213" s="156"/>
      <c r="E213" s="35"/>
      <c r="F213" s="112"/>
      <c r="G213" s="113"/>
      <c r="H213" s="53">
        <f t="shared" si="1"/>
        <v>0</v>
      </c>
      <c r="I213" s="115"/>
      <c r="J213" s="115"/>
      <c r="K213" s="60">
        <f t="shared" si="2"/>
        <v>0</v>
      </c>
      <c r="L213" s="117"/>
    </row>
    <row r="214" ht="15.75" customHeight="1">
      <c r="A214" s="9"/>
      <c r="B214" s="164"/>
      <c r="C214" s="110"/>
      <c r="D214" s="156"/>
      <c r="E214" s="35"/>
      <c r="F214" s="112"/>
      <c r="G214" s="113"/>
      <c r="H214" s="53">
        <f t="shared" si="1"/>
        <v>0</v>
      </c>
      <c r="I214" s="115"/>
      <c r="J214" s="115"/>
      <c r="K214" s="60">
        <f t="shared" si="2"/>
        <v>0</v>
      </c>
      <c r="L214" s="117"/>
    </row>
    <row r="215" ht="15.75" customHeight="1">
      <c r="A215" s="9"/>
      <c r="B215" s="164"/>
      <c r="C215" s="110"/>
      <c r="D215" s="156"/>
      <c r="E215" s="35"/>
      <c r="F215" s="112"/>
      <c r="G215" s="113"/>
      <c r="H215" s="53">
        <f t="shared" si="1"/>
        <v>0</v>
      </c>
      <c r="I215" s="115"/>
      <c r="J215" s="115"/>
      <c r="K215" s="60">
        <f t="shared" si="2"/>
        <v>0</v>
      </c>
      <c r="L215" s="117"/>
    </row>
    <row r="216" ht="15.75" customHeight="1">
      <c r="A216" s="9"/>
      <c r="B216" s="164"/>
      <c r="C216" s="110"/>
      <c r="D216" s="156"/>
      <c r="E216" s="35"/>
      <c r="F216" s="112"/>
      <c r="G216" s="113"/>
      <c r="H216" s="53">
        <f t="shared" si="1"/>
        <v>0</v>
      </c>
      <c r="I216" s="115"/>
      <c r="J216" s="115"/>
      <c r="K216" s="60">
        <f t="shared" si="2"/>
        <v>0</v>
      </c>
      <c r="L216" s="117"/>
    </row>
    <row r="217" ht="15.75" customHeight="1">
      <c r="A217" s="9"/>
      <c r="B217" s="164"/>
      <c r="C217" s="110"/>
      <c r="D217" s="156"/>
      <c r="E217" s="35"/>
      <c r="F217" s="112"/>
      <c r="G217" s="113"/>
      <c r="H217" s="53">
        <f t="shared" si="1"/>
        <v>0</v>
      </c>
      <c r="I217" s="115"/>
      <c r="J217" s="115"/>
      <c r="K217" s="60">
        <f t="shared" si="2"/>
        <v>0</v>
      </c>
      <c r="L217" s="117"/>
    </row>
    <row r="218" ht="15.75" customHeight="1">
      <c r="A218" s="9"/>
      <c r="B218" s="164"/>
      <c r="C218" s="110"/>
      <c r="D218" s="156"/>
      <c r="E218" s="35"/>
      <c r="F218" s="112"/>
      <c r="G218" s="113"/>
      <c r="H218" s="53">
        <f t="shared" si="1"/>
        <v>0</v>
      </c>
      <c r="I218" s="115"/>
      <c r="J218" s="115"/>
      <c r="K218" s="60">
        <f t="shared" si="2"/>
        <v>0</v>
      </c>
      <c r="L218" s="117"/>
    </row>
    <row r="219" ht="15.75" customHeight="1">
      <c r="A219" s="9"/>
      <c r="B219" s="164"/>
      <c r="C219" s="110"/>
      <c r="D219" s="156"/>
      <c r="E219" s="35"/>
      <c r="F219" s="112"/>
      <c r="G219" s="113"/>
      <c r="H219" s="53">
        <f t="shared" si="1"/>
        <v>0</v>
      </c>
      <c r="I219" s="115"/>
      <c r="J219" s="115"/>
      <c r="K219" s="60">
        <f t="shared" si="2"/>
        <v>0</v>
      </c>
      <c r="L219" s="117"/>
    </row>
    <row r="220" ht="15.75" customHeight="1">
      <c r="A220" s="9"/>
      <c r="B220" s="164"/>
      <c r="C220" s="110"/>
      <c r="D220" s="156"/>
      <c r="E220" s="35"/>
      <c r="F220" s="112"/>
      <c r="G220" s="113"/>
      <c r="H220" s="53">
        <f t="shared" si="1"/>
        <v>0</v>
      </c>
      <c r="I220" s="115"/>
      <c r="J220" s="115"/>
      <c r="K220" s="60">
        <f t="shared" si="2"/>
        <v>0</v>
      </c>
      <c r="L220" s="117"/>
    </row>
    <row r="221" ht="15.75" customHeight="1">
      <c r="A221" s="9"/>
      <c r="B221" s="164"/>
      <c r="C221" s="110"/>
      <c r="D221" s="156"/>
      <c r="E221" s="35"/>
      <c r="F221" s="112"/>
      <c r="G221" s="113"/>
      <c r="H221" s="53">
        <f t="shared" si="1"/>
        <v>0</v>
      </c>
      <c r="I221" s="115"/>
      <c r="J221" s="115"/>
      <c r="K221" s="60">
        <f t="shared" si="2"/>
        <v>0</v>
      </c>
      <c r="L221" s="117"/>
    </row>
    <row r="222" ht="15.75" customHeight="1">
      <c r="A222" s="9"/>
      <c r="B222" s="164"/>
      <c r="C222" s="110"/>
      <c r="D222" s="156"/>
      <c r="E222" s="35"/>
      <c r="F222" s="112"/>
      <c r="G222" s="113"/>
      <c r="H222" s="53">
        <f t="shared" si="1"/>
        <v>0</v>
      </c>
      <c r="I222" s="115"/>
      <c r="J222" s="115"/>
      <c r="K222" s="60">
        <f t="shared" si="2"/>
        <v>0</v>
      </c>
      <c r="L222" s="117"/>
    </row>
    <row r="223" ht="15.75" customHeight="1">
      <c r="A223" s="9"/>
      <c r="B223" s="164"/>
      <c r="C223" s="110"/>
      <c r="D223" s="156"/>
      <c r="E223" s="35"/>
      <c r="F223" s="112"/>
      <c r="G223" s="113"/>
      <c r="H223" s="53">
        <f t="shared" si="1"/>
        <v>0</v>
      </c>
      <c r="I223" s="115"/>
      <c r="J223" s="115"/>
      <c r="K223" s="60">
        <f t="shared" si="2"/>
        <v>0</v>
      </c>
      <c r="L223" s="117"/>
    </row>
    <row r="224" ht="15.75" customHeight="1">
      <c r="A224" s="9"/>
      <c r="B224" s="164"/>
      <c r="C224" s="110"/>
      <c r="D224" s="156"/>
      <c r="E224" s="35"/>
      <c r="F224" s="112"/>
      <c r="G224" s="113"/>
      <c r="H224" s="53">
        <f t="shared" si="1"/>
        <v>0</v>
      </c>
      <c r="I224" s="115"/>
      <c r="J224" s="115"/>
      <c r="K224" s="60">
        <f t="shared" si="2"/>
        <v>0</v>
      </c>
      <c r="L224" s="117"/>
    </row>
    <row r="225" ht="15.75" customHeight="1">
      <c r="A225" s="9"/>
      <c r="B225" s="164"/>
      <c r="C225" s="110"/>
      <c r="D225" s="156"/>
      <c r="E225" s="35"/>
      <c r="F225" s="112"/>
      <c r="G225" s="113"/>
      <c r="H225" s="53">
        <f t="shared" si="1"/>
        <v>0</v>
      </c>
      <c r="I225" s="115"/>
      <c r="J225" s="115"/>
      <c r="K225" s="60">
        <f t="shared" si="2"/>
        <v>0</v>
      </c>
      <c r="L225" s="117"/>
    </row>
    <row r="226" ht="15.75" customHeight="1">
      <c r="A226" s="9"/>
      <c r="B226" s="164"/>
      <c r="C226" s="110"/>
      <c r="D226" s="156"/>
      <c r="E226" s="35"/>
      <c r="F226" s="112"/>
      <c r="G226" s="113"/>
      <c r="H226" s="53">
        <f t="shared" si="1"/>
        <v>0</v>
      </c>
      <c r="I226" s="115"/>
      <c r="J226" s="115"/>
      <c r="K226" s="60">
        <f t="shared" si="2"/>
        <v>0</v>
      </c>
      <c r="L226" s="117"/>
    </row>
    <row r="227" ht="15.75" customHeight="1">
      <c r="A227" s="9"/>
      <c r="B227" s="164"/>
      <c r="C227" s="110"/>
      <c r="D227" s="156"/>
      <c r="E227" s="35"/>
      <c r="F227" s="112"/>
      <c r="G227" s="113"/>
      <c r="H227" s="53">
        <f t="shared" si="1"/>
        <v>0</v>
      </c>
      <c r="I227" s="115"/>
      <c r="J227" s="115"/>
      <c r="K227" s="60">
        <f t="shared" si="2"/>
        <v>0</v>
      </c>
      <c r="L227" s="117"/>
    </row>
    <row r="228" ht="15.75" customHeight="1">
      <c r="A228" s="9"/>
      <c r="B228" s="164"/>
      <c r="C228" s="110"/>
      <c r="D228" s="156"/>
      <c r="E228" s="35"/>
      <c r="F228" s="112"/>
      <c r="G228" s="113"/>
      <c r="H228" s="53">
        <f t="shared" si="1"/>
        <v>0</v>
      </c>
      <c r="I228" s="115"/>
      <c r="J228" s="115"/>
      <c r="K228" s="60">
        <f t="shared" si="2"/>
        <v>0</v>
      </c>
      <c r="L228" s="117"/>
    </row>
    <row r="229" ht="15.75" customHeight="1">
      <c r="A229" s="9"/>
      <c r="B229" s="164"/>
      <c r="C229" s="110"/>
      <c r="D229" s="156"/>
      <c r="E229" s="35"/>
      <c r="F229" s="112"/>
      <c r="G229" s="113"/>
      <c r="H229" s="53">
        <f t="shared" si="1"/>
        <v>0</v>
      </c>
      <c r="I229" s="115"/>
      <c r="J229" s="115"/>
      <c r="K229" s="60">
        <f t="shared" si="2"/>
        <v>0</v>
      </c>
      <c r="L229" s="117"/>
    </row>
    <row r="230" ht="15.75" customHeight="1">
      <c r="A230" s="9"/>
      <c r="B230" s="164"/>
      <c r="C230" s="110"/>
      <c r="D230" s="156"/>
      <c r="E230" s="35"/>
      <c r="F230" s="112"/>
      <c r="G230" s="113"/>
      <c r="H230" s="53">
        <f t="shared" si="1"/>
        <v>0</v>
      </c>
      <c r="I230" s="115"/>
      <c r="J230" s="115"/>
      <c r="K230" s="60">
        <f t="shared" si="2"/>
        <v>0</v>
      </c>
      <c r="L230" s="117"/>
    </row>
    <row r="231" ht="15.75" customHeight="1">
      <c r="A231" s="9"/>
      <c r="B231" s="164"/>
      <c r="C231" s="110"/>
      <c r="D231" s="156"/>
      <c r="E231" s="35"/>
      <c r="F231" s="112"/>
      <c r="G231" s="113"/>
      <c r="H231" s="53">
        <f t="shared" si="1"/>
        <v>0</v>
      </c>
      <c r="I231" s="115"/>
      <c r="J231" s="115"/>
      <c r="K231" s="60">
        <f t="shared" si="2"/>
        <v>0</v>
      </c>
      <c r="L231" s="117"/>
    </row>
    <row r="232" ht="15.75" customHeight="1">
      <c r="A232" s="9"/>
      <c r="B232" s="164"/>
      <c r="C232" s="110"/>
      <c r="D232" s="156"/>
      <c r="E232" s="35"/>
      <c r="F232" s="112"/>
      <c r="G232" s="113"/>
      <c r="H232" s="53">
        <f t="shared" si="1"/>
        <v>0</v>
      </c>
      <c r="I232" s="115"/>
      <c r="J232" s="115"/>
      <c r="K232" s="60">
        <f t="shared" si="2"/>
        <v>0</v>
      </c>
      <c r="L232" s="117"/>
    </row>
    <row r="233" ht="15.75" customHeight="1">
      <c r="A233" s="9"/>
      <c r="B233" s="164"/>
      <c r="C233" s="110"/>
      <c r="D233" s="156"/>
      <c r="E233" s="35"/>
      <c r="F233" s="112"/>
      <c r="G233" s="113"/>
      <c r="H233" s="53">
        <f t="shared" si="1"/>
        <v>0</v>
      </c>
      <c r="I233" s="115"/>
      <c r="J233" s="115"/>
      <c r="K233" s="60">
        <f t="shared" si="2"/>
        <v>0</v>
      </c>
      <c r="L233" s="117"/>
    </row>
    <row r="234" ht="15.75" customHeight="1">
      <c r="A234" s="9"/>
      <c r="B234" s="164"/>
      <c r="C234" s="110"/>
      <c r="D234" s="156"/>
      <c r="E234" s="35"/>
      <c r="F234" s="112"/>
      <c r="G234" s="113"/>
      <c r="H234" s="53">
        <f t="shared" si="1"/>
        <v>0</v>
      </c>
      <c r="I234" s="115"/>
      <c r="J234" s="115"/>
      <c r="K234" s="60">
        <f t="shared" si="2"/>
        <v>0</v>
      </c>
      <c r="L234" s="117"/>
    </row>
    <row r="235" ht="15.75" customHeight="1">
      <c r="A235" s="9"/>
      <c r="B235" s="164"/>
      <c r="C235" s="110"/>
      <c r="D235" s="156"/>
      <c r="E235" s="35"/>
      <c r="F235" s="112"/>
      <c r="G235" s="113"/>
      <c r="H235" s="53">
        <f t="shared" si="1"/>
        <v>0</v>
      </c>
      <c r="I235" s="115"/>
      <c r="J235" s="115"/>
      <c r="K235" s="60">
        <f t="shared" si="2"/>
        <v>0</v>
      </c>
      <c r="L235" s="117"/>
    </row>
    <row r="236" ht="15.75" customHeight="1">
      <c r="A236" s="9"/>
      <c r="B236" s="164"/>
      <c r="C236" s="110"/>
      <c r="D236" s="156"/>
      <c r="E236" s="35"/>
      <c r="F236" s="112"/>
      <c r="G236" s="113"/>
      <c r="H236" s="53">
        <f t="shared" si="1"/>
        <v>0</v>
      </c>
      <c r="I236" s="115"/>
      <c r="J236" s="115"/>
      <c r="K236" s="60">
        <f t="shared" si="2"/>
        <v>0</v>
      </c>
      <c r="L236" s="117"/>
    </row>
    <row r="237" ht="15.75" customHeight="1">
      <c r="A237" s="9"/>
      <c r="B237" s="164"/>
      <c r="C237" s="110"/>
      <c r="D237" s="156"/>
      <c r="E237" s="35"/>
      <c r="F237" s="112"/>
      <c r="G237" s="113"/>
      <c r="H237" s="53">
        <f t="shared" si="1"/>
        <v>0</v>
      </c>
      <c r="I237" s="115"/>
      <c r="J237" s="115"/>
      <c r="K237" s="60">
        <f t="shared" si="2"/>
        <v>0</v>
      </c>
      <c r="L237" s="117"/>
    </row>
    <row r="238" ht="15.75" customHeight="1">
      <c r="A238" s="9"/>
      <c r="B238" s="164"/>
      <c r="C238" s="110"/>
      <c r="D238" s="156"/>
      <c r="E238" s="35"/>
      <c r="F238" s="112"/>
      <c r="G238" s="113"/>
      <c r="H238" s="53">
        <f t="shared" si="1"/>
        <v>0</v>
      </c>
      <c r="I238" s="115"/>
      <c r="J238" s="115"/>
      <c r="K238" s="60">
        <f t="shared" si="2"/>
        <v>0</v>
      </c>
      <c r="L238" s="117"/>
    </row>
    <row r="239" ht="15.75" customHeight="1">
      <c r="A239" s="9"/>
      <c r="B239" s="164"/>
      <c r="C239" s="110"/>
      <c r="D239" s="156"/>
      <c r="E239" s="35"/>
      <c r="F239" s="112"/>
      <c r="G239" s="113"/>
      <c r="H239" s="53">
        <f t="shared" si="1"/>
        <v>0</v>
      </c>
      <c r="I239" s="115"/>
      <c r="J239" s="115"/>
      <c r="K239" s="60">
        <f t="shared" si="2"/>
        <v>0</v>
      </c>
      <c r="L239" s="117"/>
    </row>
    <row r="240" ht="15.75" customHeight="1">
      <c r="A240" s="9"/>
      <c r="B240" s="164"/>
      <c r="C240" s="110"/>
      <c r="D240" s="156"/>
      <c r="E240" s="35"/>
      <c r="F240" s="112"/>
      <c r="G240" s="113"/>
      <c r="H240" s="53">
        <f t="shared" si="1"/>
        <v>0</v>
      </c>
      <c r="I240" s="115"/>
      <c r="J240" s="115"/>
      <c r="K240" s="60">
        <f t="shared" si="2"/>
        <v>0</v>
      </c>
      <c r="L240" s="117"/>
    </row>
    <row r="241" ht="15.75" customHeight="1">
      <c r="A241" s="9"/>
      <c r="B241" s="164"/>
      <c r="C241" s="110"/>
      <c r="D241" s="156"/>
      <c r="E241" s="35"/>
      <c r="F241" s="112"/>
      <c r="G241" s="113"/>
      <c r="H241" s="53">
        <f t="shared" si="1"/>
        <v>0</v>
      </c>
      <c r="I241" s="115"/>
      <c r="J241" s="115"/>
      <c r="K241" s="60">
        <f t="shared" si="2"/>
        <v>0</v>
      </c>
      <c r="L241" s="117"/>
    </row>
    <row r="242" ht="15.75" customHeight="1">
      <c r="A242" s="9"/>
      <c r="B242" s="164"/>
      <c r="C242" s="110"/>
      <c r="D242" s="156"/>
      <c r="E242" s="35"/>
      <c r="F242" s="112"/>
      <c r="G242" s="113"/>
      <c r="H242" s="53">
        <f t="shared" si="1"/>
        <v>0</v>
      </c>
      <c r="I242" s="115"/>
      <c r="J242" s="115"/>
      <c r="K242" s="60">
        <f t="shared" si="2"/>
        <v>0</v>
      </c>
      <c r="L242" s="117"/>
    </row>
    <row r="243" ht="15.75" customHeight="1">
      <c r="A243" s="9"/>
      <c r="B243" s="164"/>
      <c r="C243" s="110"/>
      <c r="D243" s="156"/>
      <c r="E243" s="35"/>
      <c r="F243" s="112"/>
      <c r="G243" s="113"/>
      <c r="H243" s="53">
        <f t="shared" si="1"/>
        <v>0</v>
      </c>
      <c r="I243" s="115"/>
      <c r="J243" s="115"/>
      <c r="K243" s="60">
        <f t="shared" si="2"/>
        <v>0</v>
      </c>
      <c r="L243" s="117"/>
    </row>
    <row r="244" ht="15.75" customHeight="1">
      <c r="A244" s="9"/>
      <c r="B244" s="164"/>
      <c r="C244" s="110"/>
      <c r="D244" s="156"/>
      <c r="E244" s="35"/>
      <c r="F244" s="112"/>
      <c r="G244" s="113"/>
      <c r="H244" s="53">
        <f t="shared" si="1"/>
        <v>0</v>
      </c>
      <c r="I244" s="115"/>
      <c r="J244" s="115"/>
      <c r="K244" s="60">
        <f t="shared" si="2"/>
        <v>0</v>
      </c>
      <c r="L244" s="117"/>
    </row>
    <row r="245" ht="15.75" customHeight="1">
      <c r="A245" s="9"/>
      <c r="B245" s="164"/>
      <c r="C245" s="110"/>
      <c r="D245" s="156"/>
      <c r="E245" s="35"/>
      <c r="F245" s="112"/>
      <c r="G245" s="113"/>
      <c r="H245" s="53">
        <f t="shared" si="1"/>
        <v>0</v>
      </c>
      <c r="I245" s="115"/>
      <c r="J245" s="115"/>
      <c r="K245" s="60">
        <f t="shared" si="2"/>
        <v>0</v>
      </c>
      <c r="L245" s="117"/>
    </row>
    <row r="246" ht="15.75" customHeight="1">
      <c r="A246" s="9"/>
      <c r="B246" s="164"/>
      <c r="C246" s="110"/>
      <c r="D246" s="156"/>
      <c r="E246" s="35"/>
      <c r="F246" s="112"/>
      <c r="G246" s="113"/>
      <c r="H246" s="53">
        <f t="shared" si="1"/>
        <v>0</v>
      </c>
      <c r="I246" s="115"/>
      <c r="J246" s="115"/>
      <c r="K246" s="60">
        <f t="shared" si="2"/>
        <v>0</v>
      </c>
      <c r="L246" s="117"/>
    </row>
    <row r="247" ht="15.75" customHeight="1">
      <c r="A247" s="9"/>
      <c r="B247" s="164"/>
      <c r="C247" s="110"/>
      <c r="D247" s="156"/>
      <c r="E247" s="35"/>
      <c r="F247" s="112"/>
      <c r="G247" s="113"/>
      <c r="H247" s="53">
        <f t="shared" si="1"/>
        <v>0</v>
      </c>
      <c r="I247" s="115"/>
      <c r="J247" s="115"/>
      <c r="K247" s="60">
        <f t="shared" si="2"/>
        <v>0</v>
      </c>
      <c r="L247" s="117"/>
    </row>
    <row r="248" ht="15.75" customHeight="1">
      <c r="A248" s="9"/>
      <c r="B248" s="164"/>
      <c r="C248" s="110"/>
      <c r="D248" s="156"/>
      <c r="E248" s="35"/>
      <c r="F248" s="112"/>
      <c r="G248" s="113"/>
      <c r="H248" s="53">
        <f t="shared" si="1"/>
        <v>0</v>
      </c>
      <c r="I248" s="115"/>
      <c r="J248" s="115"/>
      <c r="K248" s="60">
        <f t="shared" si="2"/>
        <v>0</v>
      </c>
      <c r="L248" s="117"/>
    </row>
    <row r="249" ht="15.75" customHeight="1">
      <c r="A249" s="9"/>
      <c r="B249" s="164"/>
      <c r="C249" s="110"/>
      <c r="D249" s="156"/>
      <c r="E249" s="35"/>
      <c r="F249" s="112"/>
      <c r="G249" s="113"/>
      <c r="H249" s="53">
        <f t="shared" si="1"/>
        <v>0</v>
      </c>
      <c r="I249" s="115"/>
      <c r="J249" s="115"/>
      <c r="K249" s="60">
        <f t="shared" si="2"/>
        <v>0</v>
      </c>
      <c r="L249" s="117"/>
    </row>
    <row r="250" ht="15.75" customHeight="1">
      <c r="A250" s="9"/>
      <c r="B250" s="164"/>
      <c r="C250" s="110"/>
      <c r="D250" s="156"/>
      <c r="E250" s="35"/>
      <c r="F250" s="112"/>
      <c r="G250" s="113"/>
      <c r="H250" s="53">
        <f t="shared" si="1"/>
        <v>0</v>
      </c>
      <c r="I250" s="115"/>
      <c r="J250" s="115"/>
      <c r="K250" s="60">
        <f t="shared" si="2"/>
        <v>0</v>
      </c>
      <c r="L250" s="117"/>
    </row>
    <row r="251" ht="15.75" customHeight="1">
      <c r="A251" s="9"/>
      <c r="B251" s="164"/>
      <c r="C251" s="110"/>
      <c r="D251" s="156"/>
      <c r="E251" s="35"/>
      <c r="F251" s="112"/>
      <c r="G251" s="113"/>
      <c r="H251" s="53">
        <f t="shared" si="1"/>
        <v>0</v>
      </c>
      <c r="I251" s="115"/>
      <c r="J251" s="115"/>
      <c r="K251" s="60">
        <f t="shared" si="2"/>
        <v>0</v>
      </c>
      <c r="L251" s="117"/>
    </row>
    <row r="252" ht="15.75" customHeight="1">
      <c r="A252" s="9"/>
      <c r="B252" s="164"/>
      <c r="C252" s="110"/>
      <c r="D252" s="156"/>
      <c r="E252" s="35"/>
      <c r="F252" s="112"/>
      <c r="G252" s="113"/>
      <c r="H252" s="53">
        <f t="shared" si="1"/>
        <v>0</v>
      </c>
      <c r="I252" s="115"/>
      <c r="J252" s="115"/>
      <c r="K252" s="60">
        <f t="shared" si="2"/>
        <v>0</v>
      </c>
      <c r="L252" s="117"/>
    </row>
    <row r="253" ht="15.75" customHeight="1">
      <c r="A253" s="9"/>
      <c r="B253" s="164"/>
      <c r="C253" s="110"/>
      <c r="D253" s="156"/>
      <c r="E253" s="35"/>
      <c r="F253" s="112"/>
      <c r="G253" s="113"/>
      <c r="H253" s="53">
        <f t="shared" si="1"/>
        <v>0</v>
      </c>
      <c r="I253" s="115"/>
      <c r="J253" s="115"/>
      <c r="K253" s="60">
        <f t="shared" si="2"/>
        <v>0</v>
      </c>
      <c r="L253" s="117"/>
    </row>
    <row r="254" ht="15.75" customHeight="1">
      <c r="A254" s="9"/>
      <c r="B254" s="164"/>
      <c r="C254" s="110"/>
      <c r="D254" s="156"/>
      <c r="E254" s="35"/>
      <c r="F254" s="112"/>
      <c r="G254" s="113"/>
      <c r="H254" s="53">
        <f t="shared" si="1"/>
        <v>0</v>
      </c>
      <c r="I254" s="115"/>
      <c r="J254" s="115"/>
      <c r="K254" s="60">
        <f t="shared" si="2"/>
        <v>0</v>
      </c>
      <c r="L254" s="117"/>
    </row>
    <row r="255" ht="15.75" customHeight="1">
      <c r="A255" s="9"/>
      <c r="B255" s="164"/>
      <c r="C255" s="110"/>
      <c r="D255" s="156"/>
      <c r="E255" s="35"/>
      <c r="F255" s="112"/>
      <c r="G255" s="113"/>
      <c r="H255" s="53">
        <f t="shared" si="1"/>
        <v>0</v>
      </c>
      <c r="I255" s="115"/>
      <c r="J255" s="115"/>
      <c r="K255" s="60">
        <f t="shared" si="2"/>
        <v>0</v>
      </c>
      <c r="L255" s="117"/>
    </row>
    <row r="256" ht="15.75" customHeight="1">
      <c r="A256" s="9"/>
      <c r="B256" s="164"/>
      <c r="C256" s="110"/>
      <c r="D256" s="156"/>
      <c r="E256" s="35"/>
      <c r="F256" s="112"/>
      <c r="G256" s="113"/>
      <c r="H256" s="53">
        <f t="shared" si="1"/>
        <v>0</v>
      </c>
      <c r="I256" s="115"/>
      <c r="J256" s="115"/>
      <c r="K256" s="60">
        <f t="shared" si="2"/>
        <v>0</v>
      </c>
      <c r="L256" s="117"/>
    </row>
    <row r="257" ht="15.75" customHeight="1">
      <c r="A257" s="9"/>
      <c r="B257" s="164"/>
      <c r="C257" s="110"/>
      <c r="D257" s="156"/>
      <c r="E257" s="35"/>
      <c r="F257" s="112"/>
      <c r="G257" s="113"/>
      <c r="H257" s="53">
        <f t="shared" si="1"/>
        <v>0</v>
      </c>
      <c r="I257" s="115"/>
      <c r="J257" s="115"/>
      <c r="K257" s="60">
        <f t="shared" si="2"/>
        <v>0</v>
      </c>
      <c r="L257" s="117"/>
    </row>
    <row r="258" ht="15.75" customHeight="1">
      <c r="A258" s="9"/>
      <c r="B258" s="164"/>
      <c r="C258" s="110"/>
      <c r="D258" s="156"/>
      <c r="E258" s="35"/>
      <c r="F258" s="112"/>
      <c r="G258" s="113"/>
      <c r="H258" s="53">
        <f t="shared" si="1"/>
        <v>0</v>
      </c>
      <c r="I258" s="115"/>
      <c r="J258" s="115"/>
      <c r="K258" s="60">
        <f t="shared" si="2"/>
        <v>0</v>
      </c>
      <c r="L258" s="117"/>
    </row>
    <row r="259" ht="15.75" customHeight="1">
      <c r="A259" s="9"/>
      <c r="B259" s="164"/>
      <c r="C259" s="110"/>
      <c r="D259" s="156"/>
      <c r="E259" s="35"/>
      <c r="F259" s="112"/>
      <c r="G259" s="113"/>
      <c r="H259" s="53">
        <f t="shared" si="1"/>
        <v>0</v>
      </c>
      <c r="I259" s="115"/>
      <c r="J259" s="115"/>
      <c r="K259" s="60">
        <f t="shared" si="2"/>
        <v>0</v>
      </c>
      <c r="L259" s="117"/>
    </row>
    <row r="260" ht="15.75" customHeight="1">
      <c r="A260" s="9"/>
      <c r="B260" s="164"/>
      <c r="C260" s="110"/>
      <c r="D260" s="156"/>
      <c r="E260" s="35"/>
      <c r="F260" s="112"/>
      <c r="G260" s="113"/>
      <c r="H260" s="53">
        <f t="shared" si="1"/>
        <v>0</v>
      </c>
      <c r="I260" s="115"/>
      <c r="J260" s="115"/>
      <c r="K260" s="60">
        <f t="shared" si="2"/>
        <v>0</v>
      </c>
      <c r="L260" s="117"/>
    </row>
    <row r="261" ht="15.75" customHeight="1">
      <c r="A261" s="9"/>
      <c r="B261" s="164"/>
      <c r="C261" s="110"/>
      <c r="D261" s="156"/>
      <c r="E261" s="35"/>
      <c r="F261" s="112"/>
      <c r="G261" s="113"/>
      <c r="H261" s="53">
        <f t="shared" si="1"/>
        <v>0</v>
      </c>
      <c r="I261" s="115"/>
      <c r="J261" s="115"/>
      <c r="K261" s="60">
        <f t="shared" si="2"/>
        <v>0</v>
      </c>
      <c r="L261" s="117"/>
    </row>
    <row r="262" ht="15.75" customHeight="1">
      <c r="A262" s="9"/>
      <c r="B262" s="164"/>
      <c r="C262" s="110"/>
      <c r="D262" s="156"/>
      <c r="E262" s="35"/>
      <c r="F262" s="112"/>
      <c r="G262" s="113"/>
      <c r="H262" s="53">
        <f t="shared" si="1"/>
        <v>0</v>
      </c>
      <c r="I262" s="115"/>
      <c r="J262" s="115"/>
      <c r="K262" s="60">
        <f t="shared" si="2"/>
        <v>0</v>
      </c>
      <c r="L262" s="117"/>
    </row>
    <row r="263" ht="15.75" customHeight="1">
      <c r="A263" s="9"/>
      <c r="B263" s="164"/>
      <c r="C263" s="110"/>
      <c r="D263" s="156"/>
      <c r="E263" s="35"/>
      <c r="F263" s="112"/>
      <c r="G263" s="113"/>
      <c r="H263" s="53">
        <f t="shared" si="1"/>
        <v>0</v>
      </c>
      <c r="I263" s="115"/>
      <c r="J263" s="115"/>
      <c r="K263" s="60">
        <f t="shared" si="2"/>
        <v>0</v>
      </c>
      <c r="L263" s="117"/>
    </row>
    <row r="264" ht="15.75" customHeight="1">
      <c r="A264" s="9"/>
      <c r="B264" s="164"/>
      <c r="C264" s="110"/>
      <c r="D264" s="156"/>
      <c r="E264" s="35"/>
      <c r="F264" s="112"/>
      <c r="G264" s="113"/>
      <c r="H264" s="53">
        <f t="shared" si="1"/>
        <v>0</v>
      </c>
      <c r="I264" s="115"/>
      <c r="J264" s="115"/>
      <c r="K264" s="60">
        <f t="shared" si="2"/>
        <v>0</v>
      </c>
      <c r="L264" s="117"/>
    </row>
    <row r="265" ht="15.75" customHeight="1">
      <c r="A265" s="9"/>
      <c r="B265" s="164"/>
      <c r="C265" s="110"/>
      <c r="D265" s="156"/>
      <c r="E265" s="35"/>
      <c r="F265" s="112"/>
      <c r="G265" s="113"/>
      <c r="H265" s="53">
        <f t="shared" si="1"/>
        <v>0</v>
      </c>
      <c r="I265" s="115"/>
      <c r="J265" s="115"/>
      <c r="K265" s="60">
        <f t="shared" si="2"/>
        <v>0</v>
      </c>
      <c r="L265" s="117"/>
    </row>
    <row r="266" ht="15.75" customHeight="1">
      <c r="A266" s="9"/>
      <c r="B266" s="164"/>
      <c r="C266" s="110"/>
      <c r="D266" s="156"/>
      <c r="E266" s="35"/>
      <c r="F266" s="112"/>
      <c r="G266" s="113"/>
      <c r="H266" s="53">
        <f t="shared" si="1"/>
        <v>0</v>
      </c>
      <c r="I266" s="115"/>
      <c r="J266" s="115"/>
      <c r="K266" s="60">
        <f t="shared" si="2"/>
        <v>0</v>
      </c>
      <c r="L266" s="117"/>
    </row>
    <row r="267" ht="15.75" customHeight="1">
      <c r="A267" s="9"/>
      <c r="B267" s="164"/>
      <c r="C267" s="110"/>
      <c r="D267" s="156"/>
      <c r="E267" s="35"/>
      <c r="F267" s="112"/>
      <c r="G267" s="113"/>
      <c r="H267" s="53">
        <f t="shared" si="1"/>
        <v>0</v>
      </c>
      <c r="I267" s="115"/>
      <c r="J267" s="115"/>
      <c r="K267" s="60">
        <f t="shared" si="2"/>
        <v>0</v>
      </c>
      <c r="L267" s="117"/>
    </row>
    <row r="268" ht="15.75" customHeight="1">
      <c r="A268" s="9"/>
      <c r="B268" s="164"/>
      <c r="C268" s="110"/>
      <c r="D268" s="156"/>
      <c r="E268" s="35"/>
      <c r="F268" s="112"/>
      <c r="G268" s="113"/>
      <c r="H268" s="53">
        <f t="shared" si="1"/>
        <v>0</v>
      </c>
      <c r="I268" s="115"/>
      <c r="J268" s="115"/>
      <c r="K268" s="60">
        <f t="shared" si="2"/>
        <v>0</v>
      </c>
      <c r="L268" s="117"/>
    </row>
    <row r="269" ht="15.75" customHeight="1">
      <c r="A269" s="9"/>
      <c r="B269" s="164"/>
      <c r="C269" s="110"/>
      <c r="D269" s="156"/>
      <c r="E269" s="35"/>
      <c r="F269" s="112"/>
      <c r="G269" s="113"/>
      <c r="H269" s="53">
        <f t="shared" si="1"/>
        <v>0</v>
      </c>
      <c r="I269" s="115"/>
      <c r="J269" s="115"/>
      <c r="K269" s="60">
        <f t="shared" si="2"/>
        <v>0</v>
      </c>
      <c r="L269" s="117"/>
    </row>
    <row r="270" ht="15.75" customHeight="1">
      <c r="A270" s="9"/>
      <c r="B270" s="164"/>
      <c r="C270" s="110"/>
      <c r="D270" s="156"/>
      <c r="E270" s="35"/>
      <c r="F270" s="112"/>
      <c r="G270" s="113"/>
      <c r="H270" s="53">
        <f t="shared" si="1"/>
        <v>0</v>
      </c>
      <c r="I270" s="115"/>
      <c r="J270" s="115"/>
      <c r="K270" s="60">
        <f t="shared" si="2"/>
        <v>0</v>
      </c>
      <c r="L270" s="117"/>
    </row>
    <row r="271" ht="15.75" customHeight="1">
      <c r="A271" s="9"/>
      <c r="B271" s="164"/>
      <c r="C271" s="110"/>
      <c r="D271" s="156"/>
      <c r="E271" s="35"/>
      <c r="F271" s="112"/>
      <c r="G271" s="113"/>
      <c r="H271" s="53">
        <f t="shared" si="1"/>
        <v>0</v>
      </c>
      <c r="I271" s="115"/>
      <c r="J271" s="115"/>
      <c r="K271" s="60">
        <f t="shared" si="2"/>
        <v>0</v>
      </c>
      <c r="L271" s="117"/>
    </row>
    <row r="272" ht="15.75" customHeight="1">
      <c r="A272" s="9"/>
      <c r="B272" s="164"/>
      <c r="C272" s="110"/>
      <c r="D272" s="156"/>
      <c r="E272" s="35"/>
      <c r="F272" s="112"/>
      <c r="G272" s="113"/>
      <c r="H272" s="53">
        <f t="shared" si="1"/>
        <v>0</v>
      </c>
      <c r="I272" s="115"/>
      <c r="J272" s="115"/>
      <c r="K272" s="60">
        <f t="shared" si="2"/>
        <v>0</v>
      </c>
      <c r="L272" s="117"/>
    </row>
    <row r="273" ht="15.75" customHeight="1">
      <c r="A273" s="9"/>
      <c r="B273" s="164"/>
      <c r="C273" s="110"/>
      <c r="D273" s="156"/>
      <c r="E273" s="35"/>
      <c r="F273" s="112"/>
      <c r="G273" s="113"/>
      <c r="H273" s="53">
        <f t="shared" si="1"/>
        <v>0</v>
      </c>
      <c r="I273" s="115"/>
      <c r="J273" s="115"/>
      <c r="K273" s="60">
        <f t="shared" si="2"/>
        <v>0</v>
      </c>
      <c r="L273" s="117"/>
    </row>
    <row r="274" ht="15.75" customHeight="1">
      <c r="A274" s="9"/>
      <c r="B274" s="164"/>
      <c r="C274" s="110"/>
      <c r="D274" s="156"/>
      <c r="E274" s="35"/>
      <c r="F274" s="112"/>
      <c r="G274" s="113"/>
      <c r="H274" s="53">
        <f t="shared" si="1"/>
        <v>0</v>
      </c>
      <c r="I274" s="115"/>
      <c r="J274" s="115"/>
      <c r="K274" s="60">
        <f t="shared" si="2"/>
        <v>0</v>
      </c>
      <c r="L274" s="117"/>
    </row>
    <row r="275" ht="15.75" customHeight="1">
      <c r="A275" s="9"/>
      <c r="B275" s="164"/>
      <c r="C275" s="110"/>
      <c r="D275" s="156"/>
      <c r="E275" s="35"/>
      <c r="F275" s="112"/>
      <c r="G275" s="113"/>
      <c r="H275" s="53">
        <f t="shared" si="1"/>
        <v>0</v>
      </c>
      <c r="I275" s="115"/>
      <c r="J275" s="115"/>
      <c r="K275" s="60">
        <f t="shared" si="2"/>
        <v>0</v>
      </c>
      <c r="L275" s="117"/>
    </row>
    <row r="276" ht="15.75" customHeight="1">
      <c r="A276" s="9"/>
      <c r="B276" s="164"/>
      <c r="C276" s="110"/>
      <c r="D276" s="156"/>
      <c r="E276" s="35"/>
      <c r="F276" s="112"/>
      <c r="G276" s="113"/>
      <c r="H276" s="53">
        <f t="shared" si="1"/>
        <v>0</v>
      </c>
      <c r="I276" s="115"/>
      <c r="J276" s="115"/>
      <c r="K276" s="60">
        <f t="shared" si="2"/>
        <v>0</v>
      </c>
      <c r="L276" s="117"/>
    </row>
    <row r="277" ht="15.75" customHeight="1">
      <c r="A277" s="9"/>
      <c r="B277" s="164"/>
      <c r="C277" s="110"/>
      <c r="D277" s="156"/>
      <c r="E277" s="35"/>
      <c r="F277" s="112"/>
      <c r="G277" s="113"/>
      <c r="H277" s="53">
        <f t="shared" si="1"/>
        <v>0</v>
      </c>
      <c r="I277" s="115"/>
      <c r="J277" s="115"/>
      <c r="K277" s="60">
        <f t="shared" si="2"/>
        <v>0</v>
      </c>
      <c r="L277" s="117"/>
    </row>
    <row r="278" ht="15.75" customHeight="1">
      <c r="A278" s="9"/>
      <c r="B278" s="164"/>
      <c r="C278" s="110"/>
      <c r="D278" s="156"/>
      <c r="E278" s="35"/>
      <c r="F278" s="112"/>
      <c r="G278" s="113"/>
      <c r="H278" s="53">
        <f t="shared" si="1"/>
        <v>0</v>
      </c>
      <c r="I278" s="115"/>
      <c r="J278" s="115"/>
      <c r="K278" s="60">
        <f t="shared" si="2"/>
        <v>0</v>
      </c>
      <c r="L278" s="117"/>
    </row>
    <row r="279" ht="15.75" customHeight="1">
      <c r="A279" s="9"/>
      <c r="B279" s="164"/>
      <c r="C279" s="110"/>
      <c r="D279" s="156"/>
      <c r="E279" s="35"/>
      <c r="F279" s="112"/>
      <c r="G279" s="113"/>
      <c r="H279" s="53">
        <f t="shared" si="1"/>
        <v>0</v>
      </c>
      <c r="I279" s="115"/>
      <c r="J279" s="115"/>
      <c r="K279" s="60">
        <f t="shared" si="2"/>
        <v>0</v>
      </c>
      <c r="L279" s="117"/>
    </row>
    <row r="280" ht="15.75" customHeight="1">
      <c r="A280" s="9"/>
      <c r="B280" s="164"/>
      <c r="C280" s="110"/>
      <c r="D280" s="156"/>
      <c r="E280" s="35"/>
      <c r="F280" s="112"/>
      <c r="G280" s="113"/>
      <c r="H280" s="53">
        <f t="shared" si="1"/>
        <v>0</v>
      </c>
      <c r="I280" s="115"/>
      <c r="J280" s="115"/>
      <c r="K280" s="60">
        <f t="shared" si="2"/>
        <v>0</v>
      </c>
      <c r="L280" s="117"/>
    </row>
    <row r="281" ht="15.75" customHeight="1">
      <c r="A281" s="9"/>
      <c r="B281" s="164"/>
      <c r="C281" s="110"/>
      <c r="D281" s="156"/>
      <c r="E281" s="35"/>
      <c r="F281" s="112"/>
      <c r="G281" s="113"/>
      <c r="H281" s="53">
        <f t="shared" si="1"/>
        <v>0</v>
      </c>
      <c r="I281" s="115"/>
      <c r="J281" s="115"/>
      <c r="K281" s="60">
        <f t="shared" si="2"/>
        <v>0</v>
      </c>
      <c r="L281" s="117"/>
    </row>
    <row r="282" ht="15.75" customHeight="1">
      <c r="A282" s="9"/>
      <c r="B282" s="164"/>
      <c r="C282" s="110"/>
      <c r="D282" s="156"/>
      <c r="E282" s="35"/>
      <c r="F282" s="112"/>
      <c r="G282" s="113"/>
      <c r="H282" s="53">
        <f t="shared" si="1"/>
        <v>0</v>
      </c>
      <c r="I282" s="115"/>
      <c r="J282" s="115"/>
      <c r="K282" s="60">
        <f t="shared" si="2"/>
        <v>0</v>
      </c>
      <c r="L282" s="117"/>
    </row>
    <row r="283" ht="15.75" customHeight="1">
      <c r="A283" s="9"/>
      <c r="B283" s="164"/>
      <c r="C283" s="110"/>
      <c r="D283" s="156"/>
      <c r="E283" s="35"/>
      <c r="F283" s="112"/>
      <c r="G283" s="113"/>
      <c r="H283" s="53">
        <f t="shared" si="1"/>
        <v>0</v>
      </c>
      <c r="I283" s="115"/>
      <c r="J283" s="115"/>
      <c r="K283" s="60">
        <f t="shared" si="2"/>
        <v>0</v>
      </c>
      <c r="L283" s="117"/>
    </row>
    <row r="284" ht="15.75" customHeight="1">
      <c r="A284" s="9"/>
      <c r="B284" s="164"/>
      <c r="C284" s="110"/>
      <c r="D284" s="156"/>
      <c r="E284" s="35"/>
      <c r="F284" s="112"/>
      <c r="G284" s="113"/>
      <c r="H284" s="53">
        <f t="shared" si="1"/>
        <v>0</v>
      </c>
      <c r="I284" s="115"/>
      <c r="J284" s="115"/>
      <c r="K284" s="60">
        <f t="shared" si="2"/>
        <v>0</v>
      </c>
      <c r="L284" s="117"/>
    </row>
    <row r="285" ht="15.75" customHeight="1">
      <c r="A285" s="9"/>
      <c r="B285" s="164"/>
      <c r="C285" s="110"/>
      <c r="D285" s="156"/>
      <c r="E285" s="35"/>
      <c r="F285" s="112"/>
      <c r="G285" s="113"/>
      <c r="H285" s="53">
        <f t="shared" si="1"/>
        <v>0</v>
      </c>
      <c r="I285" s="115"/>
      <c r="J285" s="115"/>
      <c r="K285" s="60">
        <f t="shared" si="2"/>
        <v>0</v>
      </c>
      <c r="L285" s="117"/>
    </row>
    <row r="286" ht="15.75" customHeight="1">
      <c r="A286" s="9"/>
      <c r="B286" s="164"/>
      <c r="C286" s="110"/>
      <c r="D286" s="156"/>
      <c r="E286" s="35"/>
      <c r="F286" s="112"/>
      <c r="G286" s="113"/>
      <c r="H286" s="53">
        <f t="shared" si="1"/>
        <v>0</v>
      </c>
      <c r="I286" s="115"/>
      <c r="J286" s="115"/>
      <c r="K286" s="60">
        <f t="shared" si="2"/>
        <v>0</v>
      </c>
      <c r="L286" s="117"/>
    </row>
    <row r="287" ht="15.75" customHeight="1">
      <c r="A287" s="9"/>
      <c r="B287" s="164"/>
      <c r="C287" s="110"/>
      <c r="D287" s="156"/>
      <c r="E287" s="35"/>
      <c r="F287" s="112"/>
      <c r="G287" s="113"/>
      <c r="H287" s="53">
        <f t="shared" si="1"/>
        <v>0</v>
      </c>
      <c r="I287" s="115"/>
      <c r="J287" s="115"/>
      <c r="K287" s="60">
        <f t="shared" si="2"/>
        <v>0</v>
      </c>
      <c r="L287" s="117"/>
    </row>
    <row r="288" ht="15.75" customHeight="1">
      <c r="A288" s="9"/>
      <c r="B288" s="164"/>
      <c r="C288" s="110"/>
      <c r="D288" s="156"/>
      <c r="E288" s="35"/>
      <c r="F288" s="112"/>
      <c r="G288" s="113"/>
      <c r="H288" s="53">
        <f t="shared" si="1"/>
        <v>0</v>
      </c>
      <c r="I288" s="115"/>
      <c r="J288" s="115"/>
      <c r="K288" s="60">
        <f t="shared" si="2"/>
        <v>0</v>
      </c>
      <c r="L288" s="117"/>
    </row>
    <row r="289" ht="15.75" customHeight="1">
      <c r="A289" s="9"/>
      <c r="B289" s="164"/>
      <c r="C289" s="110"/>
      <c r="D289" s="156"/>
      <c r="E289" s="35"/>
      <c r="F289" s="112"/>
      <c r="G289" s="113"/>
      <c r="H289" s="53">
        <f t="shared" si="1"/>
        <v>0</v>
      </c>
      <c r="I289" s="115"/>
      <c r="J289" s="115"/>
      <c r="K289" s="60">
        <f t="shared" si="2"/>
        <v>0</v>
      </c>
      <c r="L289" s="117"/>
    </row>
    <row r="290" ht="15.75" customHeight="1">
      <c r="A290" s="9"/>
      <c r="B290" s="164"/>
      <c r="C290" s="110"/>
      <c r="D290" s="156"/>
      <c r="E290" s="35"/>
      <c r="F290" s="112"/>
      <c r="G290" s="113"/>
      <c r="H290" s="53">
        <f t="shared" si="1"/>
        <v>0</v>
      </c>
      <c r="I290" s="115"/>
      <c r="J290" s="115"/>
      <c r="K290" s="60">
        <f t="shared" si="2"/>
        <v>0</v>
      </c>
      <c r="L290" s="117"/>
    </row>
    <row r="291" ht="15.75" customHeight="1">
      <c r="A291" s="9"/>
      <c r="B291" s="164"/>
      <c r="C291" s="110"/>
      <c r="D291" s="156"/>
      <c r="E291" s="35"/>
      <c r="F291" s="112"/>
      <c r="G291" s="113"/>
      <c r="H291" s="53">
        <f t="shared" si="1"/>
        <v>0</v>
      </c>
      <c r="I291" s="115"/>
      <c r="J291" s="115"/>
      <c r="K291" s="60">
        <f t="shared" si="2"/>
        <v>0</v>
      </c>
      <c r="L291" s="117"/>
    </row>
    <row r="292" ht="15.75" customHeight="1">
      <c r="A292" s="9"/>
      <c r="B292" s="164"/>
      <c r="C292" s="110"/>
      <c r="D292" s="156"/>
      <c r="E292" s="35"/>
      <c r="F292" s="112"/>
      <c r="G292" s="113"/>
      <c r="H292" s="53">
        <f t="shared" si="1"/>
        <v>0</v>
      </c>
      <c r="I292" s="115"/>
      <c r="J292" s="115"/>
      <c r="K292" s="60">
        <f t="shared" si="2"/>
        <v>0</v>
      </c>
      <c r="L292" s="117"/>
    </row>
    <row r="293" ht="15.75" customHeight="1">
      <c r="A293" s="9"/>
      <c r="B293" s="164"/>
      <c r="C293" s="110"/>
      <c r="D293" s="156"/>
      <c r="E293" s="35"/>
      <c r="F293" s="112"/>
      <c r="G293" s="113"/>
      <c r="H293" s="53">
        <f t="shared" si="1"/>
        <v>0</v>
      </c>
      <c r="I293" s="115"/>
      <c r="J293" s="115"/>
      <c r="K293" s="60">
        <f t="shared" si="2"/>
        <v>0</v>
      </c>
      <c r="L293" s="117"/>
    </row>
    <row r="294" ht="15.75" customHeight="1">
      <c r="A294" s="9"/>
      <c r="B294" s="164"/>
      <c r="C294" s="110"/>
      <c r="D294" s="156"/>
      <c r="E294" s="35"/>
      <c r="F294" s="112"/>
      <c r="G294" s="113"/>
      <c r="H294" s="53">
        <f t="shared" si="1"/>
        <v>0</v>
      </c>
      <c r="I294" s="115"/>
      <c r="J294" s="115"/>
      <c r="K294" s="60">
        <f t="shared" si="2"/>
        <v>0</v>
      </c>
      <c r="L294" s="117"/>
    </row>
    <row r="295" ht="15.75" customHeight="1">
      <c r="A295" s="9"/>
      <c r="B295" s="164"/>
      <c r="C295" s="110"/>
      <c r="D295" s="156"/>
      <c r="E295" s="35"/>
      <c r="F295" s="112"/>
      <c r="G295" s="113"/>
      <c r="H295" s="53">
        <f t="shared" si="1"/>
        <v>0</v>
      </c>
      <c r="I295" s="115"/>
      <c r="J295" s="115"/>
      <c r="K295" s="60">
        <f t="shared" si="2"/>
        <v>0</v>
      </c>
      <c r="L295" s="117"/>
    </row>
    <row r="296" ht="15.75" customHeight="1">
      <c r="A296" s="9"/>
      <c r="B296" s="164"/>
      <c r="C296" s="110"/>
      <c r="D296" s="156"/>
      <c r="E296" s="35"/>
      <c r="F296" s="112"/>
      <c r="G296" s="113"/>
      <c r="H296" s="53">
        <f t="shared" si="1"/>
        <v>0</v>
      </c>
      <c r="I296" s="115"/>
      <c r="J296" s="115"/>
      <c r="K296" s="60">
        <f t="shared" si="2"/>
        <v>0</v>
      </c>
      <c r="L296" s="117"/>
    </row>
    <row r="297" ht="15.75" customHeight="1">
      <c r="A297" s="9"/>
      <c r="B297" s="164"/>
      <c r="C297" s="110"/>
      <c r="D297" s="156"/>
      <c r="E297" s="35"/>
      <c r="F297" s="112"/>
      <c r="G297" s="113"/>
      <c r="H297" s="53">
        <f t="shared" si="1"/>
        <v>0</v>
      </c>
      <c r="I297" s="115"/>
      <c r="J297" s="115"/>
      <c r="K297" s="60">
        <f t="shared" si="2"/>
        <v>0</v>
      </c>
      <c r="L297" s="117"/>
    </row>
    <row r="298" ht="15.75" customHeight="1">
      <c r="A298" s="9"/>
      <c r="B298" s="164"/>
      <c r="C298" s="110"/>
      <c r="D298" s="156"/>
      <c r="E298" s="35"/>
      <c r="F298" s="112"/>
      <c r="G298" s="113"/>
      <c r="H298" s="53">
        <f t="shared" si="1"/>
        <v>0</v>
      </c>
      <c r="I298" s="115"/>
      <c r="J298" s="115"/>
      <c r="K298" s="60">
        <f t="shared" si="2"/>
        <v>0</v>
      </c>
      <c r="L298" s="117"/>
    </row>
    <row r="299" ht="15.75" customHeight="1">
      <c r="A299" s="9"/>
      <c r="B299" s="164"/>
      <c r="C299" s="110"/>
      <c r="D299" s="156"/>
      <c r="E299" s="35"/>
      <c r="F299" s="112"/>
      <c r="G299" s="113"/>
      <c r="H299" s="53">
        <f t="shared" si="1"/>
        <v>0</v>
      </c>
      <c r="I299" s="115"/>
      <c r="J299" s="115"/>
      <c r="K299" s="60">
        <f t="shared" si="2"/>
        <v>0</v>
      </c>
      <c r="L299" s="117"/>
    </row>
    <row r="300" ht="15.75" customHeight="1">
      <c r="A300" s="9"/>
      <c r="B300" s="164"/>
      <c r="C300" s="110"/>
      <c r="D300" s="156"/>
      <c r="E300" s="35"/>
      <c r="F300" s="112"/>
      <c r="G300" s="113"/>
      <c r="H300" s="53">
        <f t="shared" si="1"/>
        <v>0</v>
      </c>
      <c r="I300" s="115"/>
      <c r="J300" s="115"/>
      <c r="K300" s="60">
        <f t="shared" si="2"/>
        <v>0</v>
      </c>
      <c r="L300" s="117"/>
    </row>
    <row r="301" ht="15.75" customHeight="1">
      <c r="A301" s="9"/>
      <c r="B301" s="164"/>
      <c r="C301" s="110"/>
      <c r="D301" s="156"/>
      <c r="E301" s="35"/>
      <c r="F301" s="112"/>
      <c r="G301" s="113"/>
      <c r="H301" s="53">
        <f t="shared" si="1"/>
        <v>0</v>
      </c>
      <c r="I301" s="115"/>
      <c r="J301" s="115"/>
      <c r="K301" s="60">
        <f t="shared" si="2"/>
        <v>0</v>
      </c>
      <c r="L301" s="117"/>
    </row>
    <row r="302" ht="15.75" customHeight="1">
      <c r="A302" s="9"/>
      <c r="B302" s="164"/>
      <c r="C302" s="110"/>
      <c r="D302" s="156"/>
      <c r="E302" s="35"/>
      <c r="F302" s="112"/>
      <c r="G302" s="113"/>
      <c r="H302" s="53">
        <f t="shared" si="1"/>
        <v>0</v>
      </c>
      <c r="I302" s="115"/>
      <c r="J302" s="115"/>
      <c r="K302" s="60">
        <f t="shared" si="2"/>
        <v>0</v>
      </c>
      <c r="L302" s="117"/>
    </row>
    <row r="303" ht="15.75" customHeight="1">
      <c r="A303" s="9"/>
      <c r="B303" s="164"/>
      <c r="C303" s="110"/>
      <c r="D303" s="156"/>
      <c r="E303" s="35"/>
      <c r="F303" s="112"/>
      <c r="G303" s="113"/>
      <c r="H303" s="53">
        <f t="shared" si="1"/>
        <v>0</v>
      </c>
      <c r="I303" s="115"/>
      <c r="J303" s="115"/>
      <c r="K303" s="60">
        <f t="shared" si="2"/>
        <v>0</v>
      </c>
      <c r="L303" s="117"/>
    </row>
    <row r="304" ht="15.75" customHeight="1">
      <c r="A304" s="9"/>
      <c r="B304" s="164"/>
      <c r="C304" s="110"/>
      <c r="D304" s="156"/>
      <c r="E304" s="35"/>
      <c r="F304" s="112"/>
      <c r="G304" s="113"/>
      <c r="H304" s="53">
        <f t="shared" si="1"/>
        <v>0</v>
      </c>
      <c r="I304" s="115"/>
      <c r="J304" s="115"/>
      <c r="K304" s="60">
        <f t="shared" si="2"/>
        <v>0</v>
      </c>
      <c r="L304" s="117"/>
    </row>
    <row r="305" ht="15.75" customHeight="1">
      <c r="A305" s="9"/>
      <c r="B305" s="164"/>
      <c r="C305" s="110"/>
      <c r="D305" s="156"/>
      <c r="E305" s="35"/>
      <c r="F305" s="112"/>
      <c r="G305" s="113"/>
      <c r="H305" s="53">
        <f t="shared" si="1"/>
        <v>0</v>
      </c>
      <c r="I305" s="115"/>
      <c r="J305" s="115"/>
      <c r="K305" s="60">
        <f t="shared" si="2"/>
        <v>0</v>
      </c>
      <c r="L305" s="117"/>
    </row>
    <row r="306" ht="15.75" customHeight="1">
      <c r="A306" s="9"/>
      <c r="B306" s="164"/>
      <c r="C306" s="110"/>
      <c r="D306" s="156"/>
      <c r="E306" s="35"/>
      <c r="F306" s="112"/>
      <c r="G306" s="113"/>
      <c r="H306" s="53">
        <f t="shared" si="1"/>
        <v>0</v>
      </c>
      <c r="I306" s="115"/>
      <c r="J306" s="115"/>
      <c r="K306" s="60">
        <f t="shared" si="2"/>
        <v>0</v>
      </c>
      <c r="L306" s="117"/>
    </row>
    <row r="307" ht="15.75" customHeight="1">
      <c r="A307" s="9"/>
      <c r="B307" s="164"/>
      <c r="C307" s="110"/>
      <c r="D307" s="156"/>
      <c r="E307" s="35"/>
      <c r="F307" s="112"/>
      <c r="G307" s="113"/>
      <c r="H307" s="53">
        <f t="shared" si="1"/>
        <v>0</v>
      </c>
      <c r="I307" s="115"/>
      <c r="J307" s="115"/>
      <c r="K307" s="60">
        <f t="shared" si="2"/>
        <v>0</v>
      </c>
      <c r="L307" s="117"/>
    </row>
    <row r="308" ht="15.75" customHeight="1">
      <c r="A308" s="9"/>
      <c r="B308" s="164"/>
      <c r="C308" s="110"/>
      <c r="D308" s="156"/>
      <c r="E308" s="35"/>
      <c r="F308" s="112"/>
      <c r="G308" s="113"/>
      <c r="H308" s="53">
        <f t="shared" si="1"/>
        <v>0</v>
      </c>
      <c r="I308" s="115"/>
      <c r="J308" s="115"/>
      <c r="K308" s="60">
        <f t="shared" si="2"/>
        <v>0</v>
      </c>
      <c r="L308" s="117"/>
    </row>
    <row r="309" ht="15.75" customHeight="1">
      <c r="A309" s="9"/>
      <c r="B309" s="164"/>
      <c r="C309" s="110"/>
      <c r="D309" s="156"/>
      <c r="E309" s="35"/>
      <c r="F309" s="112"/>
      <c r="G309" s="113"/>
      <c r="H309" s="53">
        <f t="shared" si="1"/>
        <v>0</v>
      </c>
      <c r="I309" s="115"/>
      <c r="J309" s="115"/>
      <c r="K309" s="60">
        <f t="shared" si="2"/>
        <v>0</v>
      </c>
      <c r="L309" s="117"/>
    </row>
    <row r="310" ht="15.75" customHeight="1">
      <c r="A310" s="9"/>
      <c r="B310" s="164"/>
      <c r="C310" s="110"/>
      <c r="D310" s="156"/>
      <c r="E310" s="35"/>
      <c r="F310" s="112"/>
      <c r="G310" s="113"/>
      <c r="H310" s="53">
        <f t="shared" si="1"/>
        <v>0</v>
      </c>
      <c r="I310" s="115"/>
      <c r="J310" s="115"/>
      <c r="K310" s="60">
        <f t="shared" si="2"/>
        <v>0</v>
      </c>
      <c r="L310" s="117"/>
    </row>
    <row r="311" ht="15.75" customHeight="1">
      <c r="A311" s="9"/>
      <c r="B311" s="164"/>
      <c r="C311" s="110"/>
      <c r="D311" s="156"/>
      <c r="E311" s="35"/>
      <c r="F311" s="112"/>
      <c r="G311" s="113"/>
      <c r="H311" s="53">
        <f t="shared" si="1"/>
        <v>0</v>
      </c>
      <c r="I311" s="115"/>
      <c r="J311" s="115"/>
      <c r="K311" s="60">
        <f t="shared" si="2"/>
        <v>0</v>
      </c>
      <c r="L311" s="117"/>
    </row>
    <row r="312" ht="15.75" customHeight="1">
      <c r="A312" s="9"/>
      <c r="B312" s="164"/>
      <c r="C312" s="110"/>
      <c r="D312" s="156"/>
      <c r="E312" s="35"/>
      <c r="F312" s="112"/>
      <c r="G312" s="113"/>
      <c r="H312" s="53">
        <f t="shared" si="1"/>
        <v>0</v>
      </c>
      <c r="I312" s="115"/>
      <c r="J312" s="115"/>
      <c r="K312" s="60">
        <f t="shared" si="2"/>
        <v>0</v>
      </c>
      <c r="L312" s="117"/>
    </row>
    <row r="313" ht="15.75" customHeight="1">
      <c r="A313" s="9"/>
      <c r="B313" s="164"/>
      <c r="C313" s="110"/>
      <c r="D313" s="156"/>
      <c r="E313" s="35"/>
      <c r="F313" s="112"/>
      <c r="G313" s="113"/>
      <c r="H313" s="53">
        <f t="shared" si="1"/>
        <v>0</v>
      </c>
      <c r="I313" s="115"/>
      <c r="J313" s="115"/>
      <c r="K313" s="60">
        <f t="shared" si="2"/>
        <v>0</v>
      </c>
      <c r="L313" s="117"/>
    </row>
    <row r="314" ht="15.75" customHeight="1">
      <c r="A314" s="9"/>
      <c r="B314" s="164"/>
      <c r="C314" s="110"/>
      <c r="D314" s="156"/>
      <c r="E314" s="35"/>
      <c r="F314" s="112"/>
      <c r="G314" s="113"/>
      <c r="H314" s="53">
        <f t="shared" si="1"/>
        <v>0</v>
      </c>
      <c r="I314" s="115"/>
      <c r="J314" s="115"/>
      <c r="K314" s="60">
        <f t="shared" si="2"/>
        <v>0</v>
      </c>
      <c r="L314" s="117"/>
    </row>
    <row r="315" ht="15.75" customHeight="1">
      <c r="A315" s="9"/>
      <c r="B315" s="164"/>
      <c r="C315" s="110"/>
      <c r="D315" s="156"/>
      <c r="E315" s="35"/>
      <c r="F315" s="112"/>
      <c r="G315" s="113"/>
      <c r="H315" s="53">
        <f t="shared" si="1"/>
        <v>0</v>
      </c>
      <c r="I315" s="115"/>
      <c r="J315" s="115"/>
      <c r="K315" s="60">
        <f t="shared" si="2"/>
        <v>0</v>
      </c>
      <c r="L315" s="117"/>
    </row>
    <row r="316" ht="15.75" customHeight="1">
      <c r="A316" s="9"/>
      <c r="B316" s="164"/>
      <c r="C316" s="110"/>
      <c r="D316" s="156"/>
      <c r="E316" s="35"/>
      <c r="F316" s="112"/>
      <c r="G316" s="113"/>
      <c r="H316" s="53">
        <f t="shared" si="1"/>
        <v>0</v>
      </c>
      <c r="I316" s="115"/>
      <c r="J316" s="115"/>
      <c r="K316" s="60">
        <f t="shared" si="2"/>
        <v>0</v>
      </c>
      <c r="L316" s="117"/>
    </row>
    <row r="317" ht="15.75" customHeight="1">
      <c r="A317" s="9"/>
      <c r="B317" s="164"/>
      <c r="C317" s="110"/>
      <c r="D317" s="156"/>
      <c r="E317" s="35"/>
      <c r="F317" s="112"/>
      <c r="G317" s="113"/>
      <c r="H317" s="53">
        <f t="shared" si="1"/>
        <v>0</v>
      </c>
      <c r="I317" s="115"/>
      <c r="J317" s="115"/>
      <c r="K317" s="60">
        <f t="shared" si="2"/>
        <v>0</v>
      </c>
      <c r="L317" s="117"/>
    </row>
    <row r="318" ht="15.75" customHeight="1">
      <c r="A318" s="9"/>
      <c r="B318" s="164"/>
      <c r="C318" s="110"/>
      <c r="D318" s="156"/>
      <c r="E318" s="35"/>
      <c r="F318" s="112"/>
      <c r="G318" s="113"/>
      <c r="H318" s="53">
        <f t="shared" si="1"/>
        <v>0</v>
      </c>
      <c r="I318" s="115"/>
      <c r="J318" s="115"/>
      <c r="K318" s="60">
        <f t="shared" si="2"/>
        <v>0</v>
      </c>
      <c r="L318" s="117"/>
    </row>
    <row r="319" ht="15.75" customHeight="1">
      <c r="A319" s="9"/>
      <c r="B319" s="164"/>
      <c r="C319" s="110"/>
      <c r="D319" s="156"/>
      <c r="E319" s="35"/>
      <c r="F319" s="112"/>
      <c r="G319" s="113"/>
      <c r="H319" s="53">
        <f t="shared" si="1"/>
        <v>0</v>
      </c>
      <c r="I319" s="115"/>
      <c r="J319" s="115"/>
      <c r="K319" s="60">
        <f t="shared" si="2"/>
        <v>0</v>
      </c>
      <c r="L319" s="117"/>
    </row>
    <row r="320" ht="15.75" customHeight="1">
      <c r="A320" s="9"/>
      <c r="B320" s="164"/>
      <c r="C320" s="110"/>
      <c r="D320" s="156"/>
      <c r="E320" s="35"/>
      <c r="F320" s="112"/>
      <c r="G320" s="113"/>
      <c r="H320" s="53">
        <f t="shared" si="1"/>
        <v>0</v>
      </c>
      <c r="I320" s="115"/>
      <c r="J320" s="115"/>
      <c r="K320" s="60">
        <f t="shared" si="2"/>
        <v>0</v>
      </c>
      <c r="L320" s="117"/>
    </row>
    <row r="321" ht="15.75" customHeight="1">
      <c r="A321" s="9"/>
      <c r="B321" s="164"/>
      <c r="C321" s="110"/>
      <c r="D321" s="156"/>
      <c r="E321" s="35"/>
      <c r="F321" s="112"/>
      <c r="G321" s="113"/>
      <c r="H321" s="53">
        <f t="shared" si="1"/>
        <v>0</v>
      </c>
      <c r="I321" s="115"/>
      <c r="J321" s="115"/>
      <c r="K321" s="60">
        <f t="shared" si="2"/>
        <v>0</v>
      </c>
      <c r="L321" s="117"/>
    </row>
    <row r="322" ht="15.75" customHeight="1">
      <c r="A322" s="9"/>
      <c r="B322" s="164"/>
      <c r="C322" s="110"/>
      <c r="D322" s="156"/>
      <c r="E322" s="35"/>
      <c r="F322" s="112"/>
      <c r="G322" s="113"/>
      <c r="H322" s="53">
        <f t="shared" si="1"/>
        <v>0</v>
      </c>
      <c r="I322" s="115"/>
      <c r="J322" s="115"/>
      <c r="K322" s="60">
        <f t="shared" si="2"/>
        <v>0</v>
      </c>
      <c r="L322" s="117"/>
    </row>
    <row r="323" ht="15.75" customHeight="1">
      <c r="A323" s="9"/>
      <c r="B323" s="164"/>
      <c r="C323" s="110"/>
      <c r="D323" s="156"/>
      <c r="E323" s="35"/>
      <c r="F323" s="112"/>
      <c r="G323" s="113"/>
      <c r="H323" s="53">
        <f t="shared" si="1"/>
        <v>0</v>
      </c>
      <c r="I323" s="115"/>
      <c r="J323" s="115"/>
      <c r="K323" s="60">
        <f t="shared" si="2"/>
        <v>0</v>
      </c>
      <c r="L323" s="117"/>
    </row>
    <row r="324" ht="15.75" customHeight="1">
      <c r="A324" s="9"/>
      <c r="B324" s="164"/>
      <c r="C324" s="110"/>
      <c r="D324" s="156"/>
      <c r="E324" s="35"/>
      <c r="F324" s="112"/>
      <c r="G324" s="113"/>
      <c r="H324" s="53">
        <f t="shared" si="1"/>
        <v>0</v>
      </c>
      <c r="I324" s="115"/>
      <c r="J324" s="115"/>
      <c r="K324" s="60">
        <f t="shared" si="2"/>
        <v>0</v>
      </c>
      <c r="L324" s="117"/>
    </row>
    <row r="325" ht="15.75" customHeight="1">
      <c r="A325" s="9"/>
      <c r="B325" s="164"/>
      <c r="C325" s="110"/>
      <c r="D325" s="156"/>
      <c r="E325" s="35"/>
      <c r="F325" s="112"/>
      <c r="G325" s="113"/>
      <c r="H325" s="53">
        <f t="shared" si="1"/>
        <v>0</v>
      </c>
      <c r="I325" s="115"/>
      <c r="J325" s="115"/>
      <c r="K325" s="60">
        <f t="shared" si="2"/>
        <v>0</v>
      </c>
      <c r="L325" s="117"/>
    </row>
    <row r="326" ht="15.75" customHeight="1">
      <c r="A326" s="9"/>
      <c r="B326" s="164"/>
      <c r="C326" s="110"/>
      <c r="D326" s="156"/>
      <c r="E326" s="35"/>
      <c r="F326" s="112"/>
      <c r="G326" s="113"/>
      <c r="H326" s="53">
        <f t="shared" si="1"/>
        <v>0</v>
      </c>
      <c r="I326" s="115"/>
      <c r="J326" s="115"/>
      <c r="K326" s="60">
        <f t="shared" si="2"/>
        <v>0</v>
      </c>
      <c r="L326" s="117"/>
    </row>
    <row r="327" ht="15.75" customHeight="1">
      <c r="A327" s="9"/>
      <c r="B327" s="164"/>
      <c r="C327" s="110"/>
      <c r="D327" s="156"/>
      <c r="E327" s="35"/>
      <c r="F327" s="112"/>
      <c r="G327" s="113"/>
      <c r="H327" s="53">
        <f t="shared" si="1"/>
        <v>0</v>
      </c>
      <c r="I327" s="115"/>
      <c r="J327" s="115"/>
      <c r="K327" s="60">
        <f t="shared" si="2"/>
        <v>0</v>
      </c>
      <c r="L327" s="117"/>
    </row>
    <row r="328" ht="15.75" customHeight="1">
      <c r="A328" s="9"/>
      <c r="B328" s="164"/>
      <c r="C328" s="110"/>
      <c r="D328" s="156"/>
      <c r="E328" s="35"/>
      <c r="F328" s="112"/>
      <c r="G328" s="113"/>
      <c r="H328" s="53">
        <f t="shared" si="1"/>
        <v>0</v>
      </c>
      <c r="I328" s="115"/>
      <c r="J328" s="115"/>
      <c r="K328" s="60">
        <f t="shared" si="2"/>
        <v>0</v>
      </c>
      <c r="L328" s="117"/>
    </row>
    <row r="329" ht="15.75" customHeight="1">
      <c r="A329" s="9"/>
      <c r="B329" s="164"/>
      <c r="C329" s="110"/>
      <c r="D329" s="156"/>
      <c r="E329" s="35"/>
      <c r="F329" s="112"/>
      <c r="G329" s="113"/>
      <c r="H329" s="53">
        <f t="shared" si="1"/>
        <v>0</v>
      </c>
      <c r="I329" s="115"/>
      <c r="J329" s="115"/>
      <c r="K329" s="60">
        <f t="shared" si="2"/>
        <v>0</v>
      </c>
      <c r="L329" s="117"/>
    </row>
    <row r="330" ht="15.75" customHeight="1">
      <c r="A330" s="9"/>
      <c r="B330" s="164"/>
      <c r="C330" s="110"/>
      <c r="D330" s="156"/>
      <c r="E330" s="35"/>
      <c r="F330" s="112"/>
      <c r="G330" s="113"/>
      <c r="H330" s="53">
        <f t="shared" si="1"/>
        <v>0</v>
      </c>
      <c r="I330" s="115"/>
      <c r="J330" s="115"/>
      <c r="K330" s="60">
        <f t="shared" si="2"/>
        <v>0</v>
      </c>
      <c r="L330" s="117"/>
    </row>
    <row r="331" ht="15.75" customHeight="1">
      <c r="A331" s="9"/>
      <c r="B331" s="164"/>
      <c r="C331" s="110"/>
      <c r="D331" s="156"/>
      <c r="E331" s="35"/>
      <c r="F331" s="112"/>
      <c r="G331" s="113"/>
      <c r="H331" s="53">
        <f t="shared" si="1"/>
        <v>0</v>
      </c>
      <c r="I331" s="115"/>
      <c r="J331" s="115"/>
      <c r="K331" s="60">
        <f t="shared" si="2"/>
        <v>0</v>
      </c>
      <c r="L331" s="117"/>
    </row>
    <row r="332" ht="15.75" customHeight="1">
      <c r="A332" s="9"/>
      <c r="B332" s="164"/>
      <c r="C332" s="110"/>
      <c r="D332" s="156"/>
      <c r="E332" s="35"/>
      <c r="F332" s="112"/>
      <c r="G332" s="113"/>
      <c r="H332" s="53">
        <f t="shared" si="1"/>
        <v>0</v>
      </c>
      <c r="I332" s="115"/>
      <c r="J332" s="115"/>
      <c r="K332" s="60">
        <f t="shared" si="2"/>
        <v>0</v>
      </c>
      <c r="L332" s="117"/>
    </row>
    <row r="333" ht="15.75" customHeight="1">
      <c r="A333" s="9"/>
      <c r="B333" s="164"/>
      <c r="C333" s="110"/>
      <c r="D333" s="156"/>
      <c r="E333" s="35"/>
      <c r="F333" s="112"/>
      <c r="G333" s="113"/>
      <c r="H333" s="53">
        <f t="shared" si="1"/>
        <v>0</v>
      </c>
      <c r="I333" s="115"/>
      <c r="J333" s="115"/>
      <c r="K333" s="60">
        <f t="shared" si="2"/>
        <v>0</v>
      </c>
      <c r="L333" s="117"/>
    </row>
    <row r="334" ht="15.75" customHeight="1">
      <c r="A334" s="9"/>
      <c r="B334" s="164"/>
      <c r="C334" s="110"/>
      <c r="D334" s="156"/>
      <c r="E334" s="35"/>
      <c r="F334" s="112"/>
      <c r="G334" s="113"/>
      <c r="H334" s="53">
        <f t="shared" si="1"/>
        <v>0</v>
      </c>
      <c r="I334" s="115"/>
      <c r="J334" s="115"/>
      <c r="K334" s="60">
        <f t="shared" si="2"/>
        <v>0</v>
      </c>
      <c r="L334" s="117"/>
    </row>
    <row r="335" ht="15.75" customHeight="1">
      <c r="A335" s="9"/>
      <c r="B335" s="164"/>
      <c r="C335" s="110"/>
      <c r="D335" s="156"/>
      <c r="E335" s="35"/>
      <c r="F335" s="112"/>
      <c r="G335" s="113"/>
      <c r="H335" s="53">
        <f t="shared" si="1"/>
        <v>0</v>
      </c>
      <c r="I335" s="115"/>
      <c r="J335" s="115"/>
      <c r="K335" s="60">
        <f t="shared" si="2"/>
        <v>0</v>
      </c>
      <c r="L335" s="117"/>
    </row>
    <row r="336" ht="15.75" customHeight="1">
      <c r="A336" s="9"/>
      <c r="B336" s="164"/>
      <c r="C336" s="110"/>
      <c r="D336" s="156"/>
      <c r="E336" s="35"/>
      <c r="F336" s="112"/>
      <c r="G336" s="113"/>
      <c r="H336" s="53">
        <f t="shared" si="1"/>
        <v>0</v>
      </c>
      <c r="I336" s="115"/>
      <c r="J336" s="115"/>
      <c r="K336" s="60">
        <f t="shared" si="2"/>
        <v>0</v>
      </c>
      <c r="L336" s="117"/>
    </row>
    <row r="337" ht="15.75" customHeight="1">
      <c r="A337" s="9"/>
      <c r="B337" s="164"/>
      <c r="C337" s="110"/>
      <c r="D337" s="156"/>
      <c r="E337" s="35"/>
      <c r="F337" s="112"/>
      <c r="G337" s="113"/>
      <c r="H337" s="53">
        <f t="shared" si="1"/>
        <v>0</v>
      </c>
      <c r="I337" s="115"/>
      <c r="J337" s="115"/>
      <c r="K337" s="60">
        <f t="shared" si="2"/>
        <v>0</v>
      </c>
      <c r="L337" s="117"/>
    </row>
    <row r="338" ht="15.75" customHeight="1">
      <c r="A338" s="9"/>
      <c r="B338" s="164"/>
      <c r="C338" s="110"/>
      <c r="D338" s="156"/>
      <c r="E338" s="35"/>
      <c r="F338" s="112"/>
      <c r="G338" s="113"/>
      <c r="H338" s="53">
        <f t="shared" si="1"/>
        <v>0</v>
      </c>
      <c r="I338" s="115"/>
      <c r="J338" s="115"/>
      <c r="K338" s="60">
        <f t="shared" si="2"/>
        <v>0</v>
      </c>
      <c r="L338" s="117"/>
    </row>
    <row r="339" ht="15.75" customHeight="1">
      <c r="A339" s="9"/>
      <c r="B339" s="164"/>
      <c r="C339" s="110"/>
      <c r="D339" s="156"/>
      <c r="E339" s="35"/>
      <c r="F339" s="112"/>
      <c r="G339" s="113"/>
      <c r="H339" s="53">
        <f t="shared" si="1"/>
        <v>0</v>
      </c>
      <c r="I339" s="115"/>
      <c r="J339" s="115"/>
      <c r="K339" s="60">
        <f t="shared" si="2"/>
        <v>0</v>
      </c>
      <c r="L339" s="117"/>
    </row>
    <row r="340" ht="15.75" customHeight="1">
      <c r="A340" s="9"/>
      <c r="B340" s="164"/>
      <c r="C340" s="110"/>
      <c r="D340" s="156"/>
      <c r="E340" s="35"/>
      <c r="F340" s="112"/>
      <c r="G340" s="113"/>
      <c r="H340" s="53">
        <f t="shared" si="1"/>
        <v>0</v>
      </c>
      <c r="I340" s="115"/>
      <c r="J340" s="115"/>
      <c r="K340" s="60">
        <f t="shared" si="2"/>
        <v>0</v>
      </c>
      <c r="L340" s="117"/>
    </row>
    <row r="341" ht="15.75" customHeight="1">
      <c r="A341" s="9"/>
      <c r="B341" s="164"/>
      <c r="C341" s="110"/>
      <c r="D341" s="156"/>
      <c r="E341" s="35"/>
      <c r="F341" s="112"/>
      <c r="G341" s="113"/>
      <c r="H341" s="53">
        <f t="shared" si="1"/>
        <v>0</v>
      </c>
      <c r="I341" s="115"/>
      <c r="J341" s="115"/>
      <c r="K341" s="60">
        <f t="shared" si="2"/>
        <v>0</v>
      </c>
      <c r="L341" s="117"/>
    </row>
    <row r="342" ht="15.75" customHeight="1">
      <c r="A342" s="9"/>
      <c r="B342" s="164"/>
      <c r="C342" s="110"/>
      <c r="D342" s="156"/>
      <c r="E342" s="35"/>
      <c r="F342" s="112"/>
      <c r="G342" s="113"/>
      <c r="H342" s="53">
        <f t="shared" si="1"/>
        <v>0</v>
      </c>
      <c r="I342" s="115"/>
      <c r="J342" s="115"/>
      <c r="K342" s="60">
        <f t="shared" si="2"/>
        <v>0</v>
      </c>
      <c r="L342" s="117"/>
    </row>
    <row r="343" ht="15.75" customHeight="1">
      <c r="A343" s="9"/>
      <c r="B343" s="164"/>
      <c r="C343" s="110"/>
      <c r="D343" s="156"/>
      <c r="E343" s="35"/>
      <c r="F343" s="112"/>
      <c r="G343" s="113"/>
      <c r="H343" s="53">
        <f t="shared" si="1"/>
        <v>0</v>
      </c>
      <c r="I343" s="115"/>
      <c r="J343" s="115"/>
      <c r="K343" s="60">
        <f t="shared" si="2"/>
        <v>0</v>
      </c>
      <c r="L343" s="117"/>
    </row>
    <row r="344" ht="15.75" customHeight="1">
      <c r="A344" s="9"/>
      <c r="B344" s="164"/>
      <c r="C344" s="110"/>
      <c r="D344" s="156"/>
      <c r="E344" s="35"/>
      <c r="F344" s="112"/>
      <c r="G344" s="113"/>
      <c r="H344" s="53">
        <f t="shared" si="1"/>
        <v>0</v>
      </c>
      <c r="I344" s="115"/>
      <c r="J344" s="115"/>
      <c r="K344" s="60">
        <f t="shared" si="2"/>
        <v>0</v>
      </c>
      <c r="L344" s="117"/>
    </row>
    <row r="345" ht="15.75" customHeight="1">
      <c r="A345" s="9"/>
      <c r="B345" s="164"/>
      <c r="C345" s="110"/>
      <c r="D345" s="156"/>
      <c r="E345" s="35"/>
      <c r="F345" s="112"/>
      <c r="G345" s="113"/>
      <c r="H345" s="53">
        <f t="shared" si="1"/>
        <v>0</v>
      </c>
      <c r="I345" s="115"/>
      <c r="J345" s="115"/>
      <c r="K345" s="60">
        <f t="shared" si="2"/>
        <v>0</v>
      </c>
      <c r="L345" s="117"/>
    </row>
    <row r="346" ht="15.75" customHeight="1">
      <c r="A346" s="9"/>
      <c r="B346" s="164"/>
      <c r="C346" s="110"/>
      <c r="D346" s="156"/>
      <c r="E346" s="35"/>
      <c r="F346" s="112"/>
      <c r="G346" s="113"/>
      <c r="H346" s="53">
        <f t="shared" si="1"/>
        <v>0</v>
      </c>
      <c r="I346" s="115"/>
      <c r="J346" s="115"/>
      <c r="K346" s="60">
        <f t="shared" si="2"/>
        <v>0</v>
      </c>
      <c r="L346" s="117"/>
    </row>
    <row r="347" ht="15.75" customHeight="1">
      <c r="A347" s="9"/>
      <c r="B347" s="164"/>
      <c r="C347" s="110"/>
      <c r="D347" s="156"/>
      <c r="E347" s="35"/>
      <c r="F347" s="112"/>
      <c r="G347" s="113"/>
      <c r="H347" s="53">
        <f t="shared" si="1"/>
        <v>0</v>
      </c>
      <c r="I347" s="115"/>
      <c r="J347" s="115"/>
      <c r="K347" s="60">
        <f t="shared" si="2"/>
        <v>0</v>
      </c>
      <c r="L347" s="117"/>
    </row>
    <row r="348" ht="15.75" customHeight="1">
      <c r="A348" s="9"/>
      <c r="B348" s="164"/>
      <c r="C348" s="110"/>
      <c r="D348" s="156"/>
      <c r="E348" s="35"/>
      <c r="F348" s="112"/>
      <c r="G348" s="113"/>
      <c r="H348" s="53">
        <f t="shared" si="1"/>
        <v>0</v>
      </c>
      <c r="I348" s="115"/>
      <c r="J348" s="115"/>
      <c r="K348" s="60">
        <f t="shared" si="2"/>
        <v>0</v>
      </c>
      <c r="L348" s="117"/>
    </row>
    <row r="349" ht="15.75" customHeight="1">
      <c r="A349" s="9"/>
      <c r="B349" s="164"/>
      <c r="C349" s="110"/>
      <c r="D349" s="156"/>
      <c r="E349" s="35"/>
      <c r="F349" s="112"/>
      <c r="G349" s="113"/>
      <c r="H349" s="53">
        <f t="shared" si="1"/>
        <v>0</v>
      </c>
      <c r="I349" s="115"/>
      <c r="J349" s="115"/>
      <c r="K349" s="60">
        <f t="shared" si="2"/>
        <v>0</v>
      </c>
      <c r="L349" s="117"/>
    </row>
    <row r="350" ht="15.75" customHeight="1">
      <c r="A350" s="9"/>
      <c r="B350" s="164"/>
      <c r="C350" s="110"/>
      <c r="D350" s="156"/>
      <c r="E350" s="35"/>
      <c r="F350" s="112"/>
      <c r="G350" s="113"/>
      <c r="H350" s="53">
        <f t="shared" si="1"/>
        <v>0</v>
      </c>
      <c r="I350" s="115"/>
      <c r="J350" s="115"/>
      <c r="K350" s="60">
        <f t="shared" si="2"/>
        <v>0</v>
      </c>
      <c r="L350" s="117"/>
    </row>
    <row r="351" ht="15.75" customHeight="1">
      <c r="A351" s="9"/>
      <c r="B351" s="164"/>
      <c r="C351" s="110"/>
      <c r="D351" s="156"/>
      <c r="E351" s="35"/>
      <c r="F351" s="112"/>
      <c r="G351" s="113"/>
      <c r="H351" s="53">
        <f t="shared" si="1"/>
        <v>0</v>
      </c>
      <c r="I351" s="115"/>
      <c r="J351" s="115"/>
      <c r="K351" s="60">
        <f t="shared" si="2"/>
        <v>0</v>
      </c>
      <c r="L351" s="117"/>
    </row>
    <row r="352" ht="15.75" customHeight="1">
      <c r="A352" s="9"/>
      <c r="B352" s="164"/>
      <c r="C352" s="110"/>
      <c r="D352" s="156"/>
      <c r="E352" s="35"/>
      <c r="F352" s="112"/>
      <c r="G352" s="113"/>
      <c r="H352" s="53">
        <f t="shared" si="1"/>
        <v>0</v>
      </c>
      <c r="I352" s="115"/>
      <c r="J352" s="115"/>
      <c r="K352" s="60">
        <f t="shared" si="2"/>
        <v>0</v>
      </c>
      <c r="L352" s="117"/>
    </row>
    <row r="353" ht="15.75" customHeight="1">
      <c r="A353" s="9"/>
      <c r="B353" s="164"/>
      <c r="C353" s="110"/>
      <c r="D353" s="156"/>
      <c r="E353" s="35"/>
      <c r="F353" s="112"/>
      <c r="G353" s="113"/>
      <c r="H353" s="53">
        <f t="shared" si="1"/>
        <v>0</v>
      </c>
      <c r="I353" s="115"/>
      <c r="J353" s="115"/>
      <c r="K353" s="60">
        <f t="shared" si="2"/>
        <v>0</v>
      </c>
      <c r="L353" s="117"/>
    </row>
    <row r="354" ht="15.75" customHeight="1">
      <c r="A354" s="9"/>
      <c r="B354" s="164"/>
      <c r="C354" s="110"/>
      <c r="D354" s="156"/>
      <c r="E354" s="35"/>
      <c r="F354" s="112"/>
      <c r="G354" s="113"/>
      <c r="H354" s="53">
        <f t="shared" si="1"/>
        <v>0</v>
      </c>
      <c r="I354" s="115"/>
      <c r="J354" s="115"/>
      <c r="K354" s="60">
        <f t="shared" si="2"/>
        <v>0</v>
      </c>
      <c r="L354" s="117"/>
    </row>
    <row r="355" ht="15.75" customHeight="1">
      <c r="A355" s="9"/>
      <c r="B355" s="164"/>
      <c r="C355" s="110"/>
      <c r="D355" s="156"/>
      <c r="E355" s="35"/>
      <c r="F355" s="112"/>
      <c r="G355" s="113"/>
      <c r="H355" s="53">
        <f t="shared" si="1"/>
        <v>0</v>
      </c>
      <c r="I355" s="115"/>
      <c r="J355" s="115"/>
      <c r="K355" s="60">
        <f t="shared" si="2"/>
        <v>0</v>
      </c>
      <c r="L355" s="117"/>
    </row>
    <row r="356" ht="15.75" customHeight="1">
      <c r="A356" s="9"/>
      <c r="B356" s="164"/>
      <c r="C356" s="110"/>
      <c r="D356" s="156"/>
      <c r="E356" s="35"/>
      <c r="F356" s="112"/>
      <c r="G356" s="113"/>
      <c r="H356" s="53">
        <f t="shared" si="1"/>
        <v>0</v>
      </c>
      <c r="I356" s="115"/>
      <c r="J356" s="115"/>
      <c r="K356" s="60">
        <f t="shared" si="2"/>
        <v>0</v>
      </c>
      <c r="L356" s="117"/>
    </row>
    <row r="357" ht="15.75" customHeight="1">
      <c r="A357" s="9"/>
      <c r="B357" s="164"/>
      <c r="C357" s="110"/>
      <c r="D357" s="156"/>
      <c r="E357" s="35"/>
      <c r="F357" s="112"/>
      <c r="G357" s="113"/>
      <c r="H357" s="53">
        <f t="shared" si="1"/>
        <v>0</v>
      </c>
      <c r="I357" s="115"/>
      <c r="J357" s="115"/>
      <c r="K357" s="60">
        <f t="shared" si="2"/>
        <v>0</v>
      </c>
      <c r="L357" s="117"/>
    </row>
    <row r="358" ht="15.75" customHeight="1">
      <c r="A358" s="9"/>
      <c r="B358" s="164"/>
      <c r="C358" s="110"/>
      <c r="D358" s="156"/>
      <c r="E358" s="35"/>
      <c r="F358" s="112"/>
      <c r="G358" s="113"/>
      <c r="H358" s="53">
        <f t="shared" si="1"/>
        <v>0</v>
      </c>
      <c r="I358" s="115"/>
      <c r="J358" s="115"/>
      <c r="K358" s="60">
        <f t="shared" si="2"/>
        <v>0</v>
      </c>
      <c r="L358" s="117"/>
    </row>
    <row r="359" ht="15.75" customHeight="1">
      <c r="A359" s="9"/>
      <c r="B359" s="164"/>
      <c r="C359" s="110"/>
      <c r="D359" s="156"/>
      <c r="E359" s="35"/>
      <c r="F359" s="112"/>
      <c r="G359" s="113"/>
      <c r="H359" s="53">
        <f t="shared" si="1"/>
        <v>0</v>
      </c>
      <c r="I359" s="115"/>
      <c r="J359" s="115"/>
      <c r="K359" s="60">
        <f t="shared" si="2"/>
        <v>0</v>
      </c>
      <c r="L359" s="117"/>
    </row>
    <row r="360" ht="15.75" customHeight="1">
      <c r="A360" s="9"/>
      <c r="B360" s="164"/>
      <c r="C360" s="110"/>
      <c r="D360" s="156"/>
      <c r="E360" s="35"/>
      <c r="F360" s="112"/>
      <c r="G360" s="113"/>
      <c r="H360" s="53">
        <f t="shared" si="1"/>
        <v>0</v>
      </c>
      <c r="I360" s="115"/>
      <c r="J360" s="115"/>
      <c r="K360" s="60">
        <f t="shared" si="2"/>
        <v>0</v>
      </c>
      <c r="L360" s="117"/>
    </row>
    <row r="361" ht="15.75" customHeight="1">
      <c r="A361" s="9"/>
      <c r="B361" s="164"/>
      <c r="C361" s="110"/>
      <c r="D361" s="156"/>
      <c r="E361" s="35"/>
      <c r="F361" s="112"/>
      <c r="G361" s="113"/>
      <c r="H361" s="53">
        <f t="shared" si="1"/>
        <v>0</v>
      </c>
      <c r="I361" s="115"/>
      <c r="J361" s="115"/>
      <c r="K361" s="60">
        <f t="shared" si="2"/>
        <v>0</v>
      </c>
      <c r="L361" s="117"/>
    </row>
    <row r="362" ht="15.75" customHeight="1">
      <c r="A362" s="9"/>
      <c r="B362" s="164"/>
      <c r="C362" s="110"/>
      <c r="D362" s="156"/>
      <c r="E362" s="35"/>
      <c r="F362" s="112"/>
      <c r="G362" s="113"/>
      <c r="H362" s="53">
        <f t="shared" si="1"/>
        <v>0</v>
      </c>
      <c r="I362" s="115"/>
      <c r="J362" s="115"/>
      <c r="K362" s="60">
        <f t="shared" si="2"/>
        <v>0</v>
      </c>
      <c r="L362" s="117"/>
    </row>
    <row r="363" ht="15.75" customHeight="1">
      <c r="A363" s="9"/>
      <c r="B363" s="164"/>
      <c r="C363" s="110"/>
      <c r="D363" s="156"/>
      <c r="E363" s="35"/>
      <c r="F363" s="112"/>
      <c r="G363" s="113"/>
      <c r="H363" s="53">
        <f t="shared" si="1"/>
        <v>0</v>
      </c>
      <c r="I363" s="115"/>
      <c r="J363" s="115"/>
      <c r="K363" s="60">
        <f t="shared" si="2"/>
        <v>0</v>
      </c>
      <c r="L363" s="117"/>
    </row>
    <row r="364" ht="15.75" customHeight="1">
      <c r="A364" s="9"/>
      <c r="B364" s="164"/>
      <c r="C364" s="110"/>
      <c r="D364" s="156"/>
      <c r="E364" s="35"/>
      <c r="F364" s="112"/>
      <c r="G364" s="113"/>
      <c r="H364" s="53">
        <f t="shared" si="1"/>
        <v>0</v>
      </c>
      <c r="I364" s="115"/>
      <c r="J364" s="115"/>
      <c r="K364" s="60">
        <f t="shared" si="2"/>
        <v>0</v>
      </c>
      <c r="L364" s="117"/>
    </row>
    <row r="365" ht="15.75" customHeight="1">
      <c r="A365" s="9"/>
      <c r="B365" s="164"/>
      <c r="C365" s="110"/>
      <c r="D365" s="156"/>
      <c r="E365" s="35"/>
      <c r="F365" s="112"/>
      <c r="G365" s="113"/>
      <c r="H365" s="53">
        <f t="shared" si="1"/>
        <v>0</v>
      </c>
      <c r="I365" s="115"/>
      <c r="J365" s="115"/>
      <c r="K365" s="60">
        <f t="shared" si="2"/>
        <v>0</v>
      </c>
      <c r="L365" s="117"/>
    </row>
    <row r="366" ht="15.75" customHeight="1">
      <c r="A366" s="9"/>
      <c r="B366" s="164"/>
      <c r="C366" s="110"/>
      <c r="D366" s="156"/>
      <c r="E366" s="35"/>
      <c r="F366" s="112"/>
      <c r="G366" s="113"/>
      <c r="H366" s="53">
        <f t="shared" si="1"/>
        <v>0</v>
      </c>
      <c r="I366" s="115"/>
      <c r="J366" s="115"/>
      <c r="K366" s="60">
        <f t="shared" si="2"/>
        <v>0</v>
      </c>
      <c r="L366" s="117"/>
    </row>
    <row r="367" ht="15.75" customHeight="1">
      <c r="A367" s="9"/>
      <c r="B367" s="164"/>
      <c r="C367" s="110"/>
      <c r="D367" s="156"/>
      <c r="E367" s="35"/>
      <c r="F367" s="112"/>
      <c r="G367" s="113"/>
      <c r="H367" s="53">
        <f t="shared" si="1"/>
        <v>0</v>
      </c>
      <c r="I367" s="115"/>
      <c r="J367" s="115"/>
      <c r="K367" s="60">
        <f t="shared" si="2"/>
        <v>0</v>
      </c>
      <c r="L367" s="117"/>
    </row>
    <row r="368" ht="15.75" customHeight="1">
      <c r="A368" s="9"/>
      <c r="B368" s="164"/>
      <c r="C368" s="110"/>
      <c r="D368" s="156"/>
      <c r="E368" s="35"/>
      <c r="F368" s="112"/>
      <c r="G368" s="113"/>
      <c r="H368" s="53">
        <f t="shared" si="1"/>
        <v>0</v>
      </c>
      <c r="I368" s="115"/>
      <c r="J368" s="115"/>
      <c r="K368" s="60">
        <f t="shared" si="2"/>
        <v>0</v>
      </c>
      <c r="L368" s="117"/>
    </row>
    <row r="369" ht="15.75" customHeight="1">
      <c r="A369" s="9"/>
      <c r="B369" s="164"/>
      <c r="C369" s="110"/>
      <c r="D369" s="156"/>
      <c r="E369" s="35"/>
      <c r="F369" s="112"/>
      <c r="G369" s="113"/>
      <c r="H369" s="53">
        <f t="shared" si="1"/>
        <v>0</v>
      </c>
      <c r="I369" s="115"/>
      <c r="J369" s="115"/>
      <c r="K369" s="60">
        <f t="shared" si="2"/>
        <v>0</v>
      </c>
      <c r="L369" s="117"/>
    </row>
    <row r="370" ht="15.75" customHeight="1">
      <c r="A370" s="9"/>
      <c r="B370" s="164"/>
      <c r="C370" s="110"/>
      <c r="D370" s="156"/>
      <c r="E370" s="35"/>
      <c r="F370" s="112"/>
      <c r="G370" s="113"/>
      <c r="H370" s="53">
        <f t="shared" si="1"/>
        <v>0</v>
      </c>
      <c r="I370" s="115"/>
      <c r="J370" s="115"/>
      <c r="K370" s="60">
        <f t="shared" si="2"/>
        <v>0</v>
      </c>
      <c r="L370" s="117"/>
    </row>
    <row r="371" ht="15.75" customHeight="1">
      <c r="A371" s="9"/>
      <c r="B371" s="164"/>
      <c r="C371" s="110"/>
      <c r="D371" s="156"/>
      <c r="E371" s="35"/>
      <c r="F371" s="112"/>
      <c r="G371" s="113"/>
      <c r="H371" s="53">
        <f t="shared" si="1"/>
        <v>0</v>
      </c>
      <c r="I371" s="115"/>
      <c r="J371" s="115"/>
      <c r="K371" s="60">
        <f t="shared" si="2"/>
        <v>0</v>
      </c>
      <c r="L371" s="117"/>
    </row>
    <row r="372" ht="15.75" customHeight="1">
      <c r="A372" s="9"/>
      <c r="B372" s="164"/>
      <c r="C372" s="110"/>
      <c r="D372" s="156"/>
      <c r="E372" s="35"/>
      <c r="F372" s="112"/>
      <c r="G372" s="113"/>
      <c r="H372" s="53">
        <f t="shared" si="1"/>
        <v>0</v>
      </c>
      <c r="I372" s="115"/>
      <c r="J372" s="115"/>
      <c r="K372" s="60">
        <f t="shared" si="2"/>
        <v>0</v>
      </c>
      <c r="L372" s="117"/>
    </row>
    <row r="373" ht="15.75" customHeight="1">
      <c r="A373" s="9"/>
      <c r="B373" s="164"/>
      <c r="C373" s="110"/>
      <c r="D373" s="156"/>
      <c r="E373" s="35"/>
      <c r="F373" s="112"/>
      <c r="G373" s="113"/>
      <c r="H373" s="53">
        <f t="shared" si="1"/>
        <v>0</v>
      </c>
      <c r="I373" s="115"/>
      <c r="J373" s="115"/>
      <c r="K373" s="60">
        <f t="shared" si="2"/>
        <v>0</v>
      </c>
      <c r="L373" s="117"/>
    </row>
    <row r="374" ht="15.75" customHeight="1">
      <c r="A374" s="9"/>
      <c r="B374" s="164"/>
      <c r="C374" s="110"/>
      <c r="D374" s="156"/>
      <c r="E374" s="35"/>
      <c r="F374" s="112"/>
      <c r="G374" s="113"/>
      <c r="H374" s="53">
        <f t="shared" si="1"/>
        <v>0</v>
      </c>
      <c r="I374" s="115"/>
      <c r="J374" s="115"/>
      <c r="K374" s="60">
        <f t="shared" si="2"/>
        <v>0</v>
      </c>
      <c r="L374" s="117"/>
    </row>
    <row r="375" ht="15.75" customHeight="1">
      <c r="A375" s="9"/>
      <c r="B375" s="164"/>
      <c r="C375" s="110"/>
      <c r="D375" s="156"/>
      <c r="E375" s="35"/>
      <c r="F375" s="112"/>
      <c r="G375" s="113"/>
      <c r="H375" s="53">
        <f t="shared" si="1"/>
        <v>0</v>
      </c>
      <c r="I375" s="115"/>
      <c r="J375" s="115"/>
      <c r="K375" s="60">
        <f t="shared" si="2"/>
        <v>0</v>
      </c>
      <c r="L375" s="117"/>
    </row>
    <row r="376" ht="15.75" customHeight="1">
      <c r="A376" s="9"/>
      <c r="B376" s="164"/>
      <c r="C376" s="110"/>
      <c r="D376" s="156"/>
      <c r="E376" s="35"/>
      <c r="F376" s="112"/>
      <c r="G376" s="113"/>
      <c r="H376" s="53">
        <f t="shared" si="1"/>
        <v>0</v>
      </c>
      <c r="I376" s="115"/>
      <c r="J376" s="115"/>
      <c r="K376" s="60">
        <f t="shared" si="2"/>
        <v>0</v>
      </c>
      <c r="L376" s="117"/>
    </row>
    <row r="377" ht="15.75" customHeight="1">
      <c r="A377" s="9"/>
      <c r="B377" s="164"/>
      <c r="C377" s="110"/>
      <c r="D377" s="156"/>
      <c r="E377" s="35"/>
      <c r="F377" s="112"/>
      <c r="G377" s="113"/>
      <c r="H377" s="53">
        <f t="shared" si="1"/>
        <v>0</v>
      </c>
      <c r="I377" s="115"/>
      <c r="J377" s="115"/>
      <c r="K377" s="60">
        <f t="shared" si="2"/>
        <v>0</v>
      </c>
      <c r="L377" s="117"/>
    </row>
    <row r="378" ht="15.75" customHeight="1">
      <c r="A378" s="9"/>
      <c r="B378" s="164"/>
      <c r="C378" s="110"/>
      <c r="D378" s="156"/>
      <c r="E378" s="35"/>
      <c r="F378" s="112"/>
      <c r="G378" s="113"/>
      <c r="H378" s="53">
        <f t="shared" si="1"/>
        <v>0</v>
      </c>
      <c r="I378" s="115"/>
      <c r="J378" s="115"/>
      <c r="K378" s="60">
        <f t="shared" si="2"/>
        <v>0</v>
      </c>
      <c r="L378" s="117"/>
    </row>
    <row r="379" ht="15.75" customHeight="1">
      <c r="A379" s="9"/>
      <c r="B379" s="164"/>
      <c r="C379" s="110"/>
      <c r="D379" s="156"/>
      <c r="E379" s="35"/>
      <c r="F379" s="112"/>
      <c r="G379" s="113"/>
      <c r="H379" s="53">
        <f t="shared" si="1"/>
        <v>0</v>
      </c>
      <c r="I379" s="115"/>
      <c r="J379" s="115"/>
      <c r="K379" s="60">
        <f t="shared" si="2"/>
        <v>0</v>
      </c>
      <c r="L379" s="117"/>
    </row>
    <row r="380" ht="15.75" customHeight="1">
      <c r="A380" s="9"/>
      <c r="B380" s="164"/>
      <c r="C380" s="110"/>
      <c r="D380" s="156"/>
      <c r="E380" s="35"/>
      <c r="F380" s="112"/>
      <c r="G380" s="113"/>
      <c r="H380" s="53">
        <f t="shared" si="1"/>
        <v>0</v>
      </c>
      <c r="I380" s="115"/>
      <c r="J380" s="115"/>
      <c r="K380" s="60">
        <f t="shared" si="2"/>
        <v>0</v>
      </c>
      <c r="L380" s="117"/>
    </row>
    <row r="381" ht="15.75" customHeight="1">
      <c r="A381" s="9"/>
      <c r="B381" s="164"/>
      <c r="C381" s="110"/>
      <c r="D381" s="156"/>
      <c r="E381" s="35"/>
      <c r="F381" s="112"/>
      <c r="G381" s="113"/>
      <c r="H381" s="53">
        <f t="shared" si="1"/>
        <v>0</v>
      </c>
      <c r="I381" s="115"/>
      <c r="J381" s="115"/>
      <c r="K381" s="60">
        <f t="shared" si="2"/>
        <v>0</v>
      </c>
      <c r="L381" s="117"/>
    </row>
    <row r="382" ht="15.75" customHeight="1">
      <c r="A382" s="9"/>
      <c r="B382" s="164"/>
      <c r="C382" s="110"/>
      <c r="D382" s="156"/>
      <c r="E382" s="35"/>
      <c r="F382" s="112"/>
      <c r="G382" s="113"/>
      <c r="H382" s="53">
        <f t="shared" si="1"/>
        <v>0</v>
      </c>
      <c r="I382" s="115"/>
      <c r="J382" s="115"/>
      <c r="K382" s="60">
        <f t="shared" si="2"/>
        <v>0</v>
      </c>
      <c r="L382" s="117"/>
    </row>
    <row r="383" ht="15.75" customHeight="1">
      <c r="A383" s="9"/>
      <c r="B383" s="164"/>
      <c r="C383" s="110"/>
      <c r="D383" s="156"/>
      <c r="E383" s="35"/>
      <c r="F383" s="112"/>
      <c r="G383" s="113"/>
      <c r="H383" s="53">
        <f t="shared" si="1"/>
        <v>0</v>
      </c>
      <c r="I383" s="115"/>
      <c r="J383" s="115"/>
      <c r="K383" s="60">
        <f t="shared" si="2"/>
        <v>0</v>
      </c>
      <c r="L383" s="117"/>
    </row>
    <row r="384" ht="15.75" customHeight="1">
      <c r="A384" s="9"/>
      <c r="B384" s="164"/>
      <c r="C384" s="110"/>
      <c r="D384" s="156"/>
      <c r="E384" s="35"/>
      <c r="F384" s="112"/>
      <c r="G384" s="113"/>
      <c r="H384" s="53">
        <f t="shared" si="1"/>
        <v>0</v>
      </c>
      <c r="I384" s="115"/>
      <c r="J384" s="115"/>
      <c r="K384" s="60">
        <f t="shared" si="2"/>
        <v>0</v>
      </c>
      <c r="L384" s="117"/>
    </row>
    <row r="385" ht="15.75" customHeight="1">
      <c r="A385" s="9"/>
      <c r="B385" s="164"/>
      <c r="C385" s="110"/>
      <c r="D385" s="156"/>
      <c r="E385" s="35"/>
      <c r="F385" s="112"/>
      <c r="G385" s="113"/>
      <c r="H385" s="53">
        <f t="shared" si="1"/>
        <v>0</v>
      </c>
      <c r="I385" s="115"/>
      <c r="J385" s="115"/>
      <c r="K385" s="60">
        <f t="shared" si="2"/>
        <v>0</v>
      </c>
      <c r="L385" s="117"/>
    </row>
    <row r="386" ht="15.75" customHeight="1">
      <c r="A386" s="9"/>
      <c r="B386" s="164"/>
      <c r="C386" s="110"/>
      <c r="D386" s="156"/>
      <c r="E386" s="35"/>
      <c r="F386" s="112"/>
      <c r="G386" s="113"/>
      <c r="H386" s="53">
        <f t="shared" si="1"/>
        <v>0</v>
      </c>
      <c r="I386" s="115"/>
      <c r="J386" s="115"/>
      <c r="K386" s="60">
        <f t="shared" si="2"/>
        <v>0</v>
      </c>
      <c r="L386" s="117"/>
    </row>
    <row r="387" ht="15.75" customHeight="1">
      <c r="A387" s="9"/>
      <c r="B387" s="164"/>
      <c r="C387" s="110"/>
      <c r="D387" s="156"/>
      <c r="E387" s="35"/>
      <c r="F387" s="112"/>
      <c r="G387" s="113"/>
      <c r="H387" s="53">
        <f t="shared" si="1"/>
        <v>0</v>
      </c>
      <c r="I387" s="115"/>
      <c r="J387" s="115"/>
      <c r="K387" s="60">
        <f t="shared" si="2"/>
        <v>0</v>
      </c>
      <c r="L387" s="117"/>
    </row>
    <row r="388" ht="15.75" customHeight="1">
      <c r="A388" s="9"/>
      <c r="B388" s="164"/>
      <c r="C388" s="110"/>
      <c r="D388" s="156"/>
      <c r="E388" s="35"/>
      <c r="F388" s="112"/>
      <c r="G388" s="113"/>
      <c r="H388" s="53">
        <f t="shared" si="1"/>
        <v>0</v>
      </c>
      <c r="I388" s="115"/>
      <c r="J388" s="115"/>
      <c r="K388" s="60">
        <f t="shared" si="2"/>
        <v>0</v>
      </c>
      <c r="L388" s="117"/>
    </row>
    <row r="389" ht="15.75" customHeight="1">
      <c r="A389" s="9"/>
      <c r="B389" s="164"/>
      <c r="C389" s="110"/>
      <c r="D389" s="156"/>
      <c r="E389" s="35"/>
      <c r="F389" s="112"/>
      <c r="G389" s="113"/>
      <c r="H389" s="53">
        <f t="shared" si="1"/>
        <v>0</v>
      </c>
      <c r="I389" s="115"/>
      <c r="J389" s="115"/>
      <c r="K389" s="60">
        <f t="shared" si="2"/>
        <v>0</v>
      </c>
      <c r="L389" s="117"/>
    </row>
    <row r="390" ht="15.75" customHeight="1">
      <c r="A390" s="9"/>
      <c r="B390" s="164"/>
      <c r="C390" s="110"/>
      <c r="D390" s="156"/>
      <c r="E390" s="35"/>
      <c r="F390" s="112"/>
      <c r="G390" s="113"/>
      <c r="H390" s="53">
        <f t="shared" si="1"/>
        <v>0</v>
      </c>
      <c r="I390" s="115"/>
      <c r="J390" s="115"/>
      <c r="K390" s="60">
        <f t="shared" si="2"/>
        <v>0</v>
      </c>
      <c r="L390" s="117"/>
    </row>
    <row r="391" ht="15.75" customHeight="1">
      <c r="A391" s="9"/>
      <c r="B391" s="164"/>
      <c r="C391" s="110"/>
      <c r="D391" s="156"/>
      <c r="E391" s="35"/>
      <c r="F391" s="112"/>
      <c r="G391" s="113"/>
      <c r="H391" s="53">
        <f t="shared" si="1"/>
        <v>0</v>
      </c>
      <c r="I391" s="115"/>
      <c r="J391" s="115"/>
      <c r="K391" s="60">
        <f t="shared" si="2"/>
        <v>0</v>
      </c>
      <c r="L391" s="117"/>
    </row>
    <row r="392" ht="15.75" customHeight="1">
      <c r="A392" s="9"/>
      <c r="B392" s="164"/>
      <c r="C392" s="110"/>
      <c r="D392" s="156"/>
      <c r="E392" s="35"/>
      <c r="F392" s="112"/>
      <c r="G392" s="113"/>
      <c r="H392" s="53">
        <f t="shared" si="1"/>
        <v>0</v>
      </c>
      <c r="I392" s="115"/>
      <c r="J392" s="115"/>
      <c r="K392" s="60">
        <f t="shared" si="2"/>
        <v>0</v>
      </c>
      <c r="L392" s="117"/>
    </row>
    <row r="393" ht="15.75" customHeight="1">
      <c r="A393" s="9"/>
      <c r="B393" s="164"/>
      <c r="C393" s="110"/>
      <c r="D393" s="156"/>
      <c r="E393" s="35"/>
      <c r="F393" s="112"/>
      <c r="G393" s="113"/>
      <c r="H393" s="53">
        <f t="shared" si="1"/>
        <v>0</v>
      </c>
      <c r="I393" s="115"/>
      <c r="J393" s="115"/>
      <c r="K393" s="60">
        <f t="shared" si="2"/>
        <v>0</v>
      </c>
      <c r="L393" s="117"/>
    </row>
    <row r="394" ht="15.75" customHeight="1">
      <c r="A394" s="9"/>
      <c r="B394" s="164"/>
      <c r="C394" s="110"/>
      <c r="D394" s="156"/>
      <c r="E394" s="35"/>
      <c r="F394" s="112"/>
      <c r="G394" s="113"/>
      <c r="H394" s="53">
        <f t="shared" si="1"/>
        <v>0</v>
      </c>
      <c r="I394" s="115"/>
      <c r="J394" s="115"/>
      <c r="K394" s="60">
        <f t="shared" si="2"/>
        <v>0</v>
      </c>
      <c r="L394" s="117"/>
    </row>
    <row r="395" ht="15.75" customHeight="1">
      <c r="A395" s="9"/>
      <c r="B395" s="164"/>
      <c r="C395" s="110"/>
      <c r="D395" s="156"/>
      <c r="E395" s="35"/>
      <c r="F395" s="112"/>
      <c r="G395" s="113"/>
      <c r="H395" s="53">
        <f t="shared" si="1"/>
        <v>0</v>
      </c>
      <c r="I395" s="115"/>
      <c r="J395" s="115"/>
      <c r="K395" s="60">
        <f t="shared" si="2"/>
        <v>0</v>
      </c>
      <c r="L395" s="117"/>
    </row>
    <row r="396" ht="15.75" customHeight="1">
      <c r="A396" s="9"/>
      <c r="B396" s="164"/>
      <c r="C396" s="110"/>
      <c r="D396" s="156"/>
      <c r="E396" s="35"/>
      <c r="F396" s="112"/>
      <c r="G396" s="113"/>
      <c r="H396" s="53">
        <f t="shared" si="1"/>
        <v>0</v>
      </c>
      <c r="I396" s="115"/>
      <c r="J396" s="115"/>
      <c r="K396" s="60">
        <f t="shared" si="2"/>
        <v>0</v>
      </c>
      <c r="L396" s="117"/>
    </row>
    <row r="397" ht="15.75" customHeight="1">
      <c r="A397" s="9"/>
      <c r="B397" s="164"/>
      <c r="C397" s="110"/>
      <c r="D397" s="156"/>
      <c r="E397" s="35"/>
      <c r="F397" s="112"/>
      <c r="G397" s="113"/>
      <c r="H397" s="53">
        <f t="shared" si="1"/>
        <v>0</v>
      </c>
      <c r="I397" s="115"/>
      <c r="J397" s="115"/>
      <c r="K397" s="60">
        <f t="shared" si="2"/>
        <v>0</v>
      </c>
      <c r="L397" s="117"/>
    </row>
    <row r="398" ht="15.75" customHeight="1">
      <c r="A398" s="9"/>
      <c r="B398" s="164"/>
      <c r="C398" s="110"/>
      <c r="D398" s="156"/>
      <c r="E398" s="35"/>
      <c r="F398" s="112"/>
      <c r="G398" s="113"/>
      <c r="H398" s="53">
        <f t="shared" si="1"/>
        <v>0</v>
      </c>
      <c r="I398" s="115"/>
      <c r="J398" s="115"/>
      <c r="K398" s="60">
        <f t="shared" si="2"/>
        <v>0</v>
      </c>
      <c r="L398" s="117"/>
    </row>
    <row r="399" ht="15.75" customHeight="1">
      <c r="A399" s="9"/>
      <c r="B399" s="164"/>
      <c r="C399" s="110"/>
      <c r="D399" s="156"/>
      <c r="E399" s="35"/>
      <c r="F399" s="112"/>
      <c r="G399" s="113"/>
      <c r="H399" s="53">
        <f t="shared" si="1"/>
        <v>0</v>
      </c>
      <c r="I399" s="115"/>
      <c r="J399" s="115"/>
      <c r="K399" s="60">
        <f t="shared" si="2"/>
        <v>0</v>
      </c>
      <c r="L399" s="117"/>
    </row>
    <row r="400" ht="15.75" customHeight="1">
      <c r="A400" s="9"/>
      <c r="B400" s="164"/>
      <c r="C400" s="110"/>
      <c r="D400" s="156"/>
      <c r="E400" s="35"/>
      <c r="F400" s="112"/>
      <c r="G400" s="113"/>
      <c r="H400" s="53">
        <f t="shared" si="1"/>
        <v>0</v>
      </c>
      <c r="I400" s="115"/>
      <c r="J400" s="115"/>
      <c r="K400" s="60">
        <f t="shared" si="2"/>
        <v>0</v>
      </c>
      <c r="L400" s="117"/>
    </row>
    <row r="401" ht="15.75" customHeight="1">
      <c r="A401" s="9"/>
      <c r="B401" s="164"/>
      <c r="C401" s="110"/>
      <c r="D401" s="156"/>
      <c r="E401" s="35"/>
      <c r="F401" s="112"/>
      <c r="G401" s="113"/>
      <c r="H401" s="53">
        <f t="shared" si="1"/>
        <v>0</v>
      </c>
      <c r="I401" s="115"/>
      <c r="J401" s="115"/>
      <c r="K401" s="60">
        <f t="shared" si="2"/>
        <v>0</v>
      </c>
      <c r="L401" s="117"/>
    </row>
    <row r="402" ht="15.75" customHeight="1">
      <c r="A402" s="9"/>
      <c r="B402" s="164"/>
      <c r="C402" s="110"/>
      <c r="D402" s="156"/>
      <c r="E402" s="35"/>
      <c r="F402" s="112"/>
      <c r="G402" s="113"/>
      <c r="H402" s="53">
        <f t="shared" si="1"/>
        <v>0</v>
      </c>
      <c r="I402" s="115"/>
      <c r="J402" s="115"/>
      <c r="K402" s="60">
        <f t="shared" si="2"/>
        <v>0</v>
      </c>
      <c r="L402" s="117"/>
    </row>
    <row r="403" ht="15.75" customHeight="1">
      <c r="A403" s="9"/>
      <c r="B403" s="164"/>
      <c r="C403" s="110"/>
      <c r="D403" s="156"/>
      <c r="E403" s="35"/>
      <c r="F403" s="112"/>
      <c r="G403" s="113"/>
      <c r="H403" s="53">
        <f t="shared" si="1"/>
        <v>0</v>
      </c>
      <c r="I403" s="115"/>
      <c r="J403" s="115"/>
      <c r="K403" s="60">
        <f t="shared" si="2"/>
        <v>0</v>
      </c>
      <c r="L403" s="117"/>
    </row>
    <row r="404" ht="15.75" customHeight="1">
      <c r="A404" s="9"/>
      <c r="B404" s="164"/>
      <c r="C404" s="110"/>
      <c r="D404" s="156"/>
      <c r="E404" s="35"/>
      <c r="F404" s="112"/>
      <c r="G404" s="113"/>
      <c r="H404" s="53">
        <f t="shared" si="1"/>
        <v>0</v>
      </c>
      <c r="I404" s="115"/>
      <c r="J404" s="115"/>
      <c r="K404" s="60">
        <f t="shared" si="2"/>
        <v>0</v>
      </c>
      <c r="L404" s="117"/>
    </row>
    <row r="405" ht="15.75" customHeight="1">
      <c r="A405" s="9"/>
      <c r="B405" s="164"/>
      <c r="C405" s="110"/>
      <c r="D405" s="156"/>
      <c r="E405" s="35"/>
      <c r="F405" s="112"/>
      <c r="G405" s="113"/>
      <c r="H405" s="53">
        <f t="shared" si="1"/>
        <v>0</v>
      </c>
      <c r="I405" s="115"/>
      <c r="J405" s="115"/>
      <c r="K405" s="60">
        <f t="shared" si="2"/>
        <v>0</v>
      </c>
      <c r="L405" s="117"/>
    </row>
    <row r="406" ht="15.75" customHeight="1">
      <c r="A406" s="9"/>
      <c r="B406" s="164"/>
      <c r="C406" s="110"/>
      <c r="D406" s="156"/>
      <c r="E406" s="35"/>
      <c r="F406" s="112"/>
      <c r="G406" s="113"/>
      <c r="H406" s="53">
        <f t="shared" si="1"/>
        <v>0</v>
      </c>
      <c r="I406" s="115"/>
      <c r="J406" s="115"/>
      <c r="K406" s="60">
        <f t="shared" si="2"/>
        <v>0</v>
      </c>
      <c r="L406" s="117"/>
    </row>
    <row r="407" ht="15.75" customHeight="1">
      <c r="A407" s="9"/>
      <c r="B407" s="164"/>
      <c r="C407" s="110"/>
      <c r="D407" s="156"/>
      <c r="E407" s="35"/>
      <c r="F407" s="112"/>
      <c r="G407" s="113"/>
      <c r="H407" s="53">
        <f t="shared" si="1"/>
        <v>0</v>
      </c>
      <c r="I407" s="115"/>
      <c r="J407" s="115"/>
      <c r="K407" s="60">
        <f t="shared" si="2"/>
        <v>0</v>
      </c>
      <c r="L407" s="117"/>
    </row>
    <row r="408" ht="15.75" customHeight="1">
      <c r="A408" s="9"/>
      <c r="B408" s="164"/>
      <c r="C408" s="110"/>
      <c r="D408" s="156"/>
      <c r="E408" s="35"/>
      <c r="F408" s="112"/>
      <c r="G408" s="113"/>
      <c r="H408" s="53">
        <f t="shared" si="1"/>
        <v>0</v>
      </c>
      <c r="I408" s="115"/>
      <c r="J408" s="115"/>
      <c r="K408" s="60">
        <f t="shared" si="2"/>
        <v>0</v>
      </c>
      <c r="L408" s="117"/>
    </row>
    <row r="409" ht="15.75" customHeight="1">
      <c r="A409" s="9"/>
      <c r="B409" s="164"/>
      <c r="C409" s="110"/>
      <c r="D409" s="156"/>
      <c r="E409" s="35"/>
      <c r="F409" s="112"/>
      <c r="G409" s="113"/>
      <c r="H409" s="53">
        <f t="shared" si="1"/>
        <v>0</v>
      </c>
      <c r="I409" s="115"/>
      <c r="J409" s="115"/>
      <c r="K409" s="60">
        <f t="shared" si="2"/>
        <v>0</v>
      </c>
      <c r="L409" s="117"/>
    </row>
    <row r="410" ht="15.75" customHeight="1">
      <c r="A410" s="9"/>
      <c r="B410" s="164"/>
      <c r="C410" s="110"/>
      <c r="D410" s="156"/>
      <c r="E410" s="35"/>
      <c r="F410" s="112"/>
      <c r="G410" s="113"/>
      <c r="H410" s="53">
        <f t="shared" si="1"/>
        <v>0</v>
      </c>
      <c r="I410" s="115"/>
      <c r="J410" s="115"/>
      <c r="K410" s="60">
        <f t="shared" si="2"/>
        <v>0</v>
      </c>
      <c r="L410" s="117"/>
    </row>
    <row r="411" ht="15.75" customHeight="1">
      <c r="A411" s="9"/>
      <c r="B411" s="164"/>
      <c r="C411" s="110"/>
      <c r="D411" s="156"/>
      <c r="E411" s="35"/>
      <c r="F411" s="112"/>
      <c r="G411" s="113"/>
      <c r="H411" s="53">
        <f t="shared" si="1"/>
        <v>0</v>
      </c>
      <c r="I411" s="115"/>
      <c r="J411" s="115"/>
      <c r="K411" s="60">
        <f t="shared" si="2"/>
        <v>0</v>
      </c>
      <c r="L411" s="117"/>
    </row>
    <row r="412" ht="15.75" customHeight="1">
      <c r="A412" s="9"/>
      <c r="B412" s="164"/>
      <c r="C412" s="110"/>
      <c r="D412" s="156"/>
      <c r="E412" s="35"/>
      <c r="F412" s="112"/>
      <c r="G412" s="113"/>
      <c r="H412" s="53">
        <f t="shared" si="1"/>
        <v>0</v>
      </c>
      <c r="I412" s="115"/>
      <c r="J412" s="115"/>
      <c r="K412" s="60">
        <f t="shared" si="2"/>
        <v>0</v>
      </c>
      <c r="L412" s="117"/>
    </row>
    <row r="413" ht="15.75" customHeight="1">
      <c r="A413" s="9"/>
      <c r="B413" s="164"/>
      <c r="C413" s="110"/>
      <c r="D413" s="156"/>
      <c r="E413" s="111"/>
      <c r="F413" s="112"/>
      <c r="G413" s="113"/>
      <c r="H413" s="53">
        <f t="shared" si="1"/>
        <v>0</v>
      </c>
      <c r="I413" s="115"/>
      <c r="J413" s="115"/>
      <c r="K413" s="60">
        <f t="shared" si="2"/>
        <v>0</v>
      </c>
      <c r="L413" s="117"/>
    </row>
    <row r="414" ht="15.75" customHeight="1">
      <c r="A414" s="9"/>
      <c r="B414" s="164"/>
      <c r="C414" s="110"/>
      <c r="D414" s="156"/>
      <c r="E414" s="111"/>
      <c r="F414" s="112"/>
      <c r="G414" s="113"/>
      <c r="H414" s="53">
        <f t="shared" si="1"/>
        <v>0</v>
      </c>
      <c r="I414" s="115"/>
      <c r="J414" s="115"/>
      <c r="K414" s="60">
        <f t="shared" si="2"/>
        <v>0</v>
      </c>
      <c r="L414" s="117"/>
    </row>
    <row r="415" ht="15.75" customHeight="1">
      <c r="A415" s="9"/>
      <c r="B415" s="164"/>
      <c r="C415" s="110"/>
      <c r="D415" s="156"/>
      <c r="E415" s="111"/>
      <c r="F415" s="112"/>
      <c r="G415" s="113"/>
      <c r="H415" s="53">
        <f t="shared" si="1"/>
        <v>0</v>
      </c>
      <c r="I415" s="115"/>
      <c r="J415" s="115"/>
      <c r="K415" s="60">
        <f t="shared" si="2"/>
        <v>0</v>
      </c>
      <c r="L415" s="117"/>
    </row>
    <row r="416" ht="15.75" customHeight="1">
      <c r="A416" s="9"/>
      <c r="B416" s="164"/>
      <c r="C416" s="110"/>
      <c r="D416" s="156"/>
      <c r="E416" s="111"/>
      <c r="F416" s="112"/>
      <c r="G416" s="113"/>
      <c r="H416" s="53">
        <f t="shared" si="1"/>
        <v>0</v>
      </c>
      <c r="I416" s="115"/>
      <c r="J416" s="115"/>
      <c r="K416" s="60">
        <f t="shared" si="2"/>
        <v>0</v>
      </c>
      <c r="L416" s="117"/>
    </row>
    <row r="417" ht="15.75" customHeight="1">
      <c r="A417" s="9"/>
      <c r="B417" s="164"/>
      <c r="C417" s="110"/>
      <c r="D417" s="156"/>
      <c r="E417" s="111"/>
      <c r="F417" s="112"/>
      <c r="G417" s="113"/>
      <c r="H417" s="53">
        <f t="shared" si="1"/>
        <v>0</v>
      </c>
      <c r="I417" s="115"/>
      <c r="J417" s="115"/>
      <c r="K417" s="60">
        <f t="shared" si="2"/>
        <v>0</v>
      </c>
      <c r="L417" s="117"/>
    </row>
    <row r="418" ht="15.75" customHeight="1">
      <c r="A418" s="9"/>
      <c r="B418" s="164"/>
      <c r="C418" s="110"/>
      <c r="D418" s="156"/>
      <c r="E418" s="111"/>
      <c r="F418" s="112"/>
      <c r="G418" s="113"/>
      <c r="H418" s="53">
        <f t="shared" si="1"/>
        <v>0</v>
      </c>
      <c r="I418" s="115"/>
      <c r="J418" s="115"/>
      <c r="K418" s="60">
        <f t="shared" si="2"/>
        <v>0</v>
      </c>
      <c r="L418" s="117"/>
    </row>
    <row r="419" ht="15.75" customHeight="1">
      <c r="A419" s="9"/>
      <c r="B419" s="164"/>
      <c r="C419" s="110"/>
      <c r="D419" s="156"/>
      <c r="E419" s="111"/>
      <c r="F419" s="112"/>
      <c r="G419" s="113"/>
      <c r="H419" s="53">
        <f t="shared" si="1"/>
        <v>0</v>
      </c>
      <c r="I419" s="115"/>
      <c r="J419" s="115"/>
      <c r="K419" s="60">
        <f t="shared" si="2"/>
        <v>0</v>
      </c>
      <c r="L419" s="117"/>
    </row>
    <row r="420" ht="15.75" customHeight="1">
      <c r="A420" s="9"/>
      <c r="B420" s="164"/>
      <c r="C420" s="110"/>
      <c r="D420" s="156"/>
      <c r="E420" s="111"/>
      <c r="F420" s="112"/>
      <c r="G420" s="113"/>
      <c r="H420" s="53">
        <f t="shared" si="1"/>
        <v>0</v>
      </c>
      <c r="I420" s="115"/>
      <c r="J420" s="115"/>
      <c r="K420" s="60">
        <f t="shared" si="2"/>
        <v>0</v>
      </c>
      <c r="L420" s="117"/>
    </row>
    <row r="421" ht="15.75" customHeight="1">
      <c r="A421" s="9"/>
      <c r="B421" s="164"/>
      <c r="C421" s="110"/>
      <c r="D421" s="156"/>
      <c r="E421" s="111"/>
      <c r="F421" s="112"/>
      <c r="G421" s="113"/>
      <c r="H421" s="53">
        <f t="shared" si="1"/>
        <v>0</v>
      </c>
      <c r="I421" s="115"/>
      <c r="J421" s="115"/>
      <c r="K421" s="60">
        <f t="shared" si="2"/>
        <v>0</v>
      </c>
      <c r="L421" s="117"/>
    </row>
    <row r="422" ht="15.75" customHeight="1">
      <c r="A422" s="9"/>
      <c r="B422" s="164"/>
      <c r="C422" s="110"/>
      <c r="D422" s="156"/>
      <c r="E422" s="111"/>
      <c r="F422" s="112"/>
      <c r="G422" s="113"/>
      <c r="H422" s="53">
        <f t="shared" si="1"/>
        <v>0</v>
      </c>
      <c r="I422" s="115"/>
      <c r="J422" s="115"/>
      <c r="K422" s="60">
        <f t="shared" si="2"/>
        <v>0</v>
      </c>
      <c r="L422" s="117"/>
    </row>
    <row r="423" ht="15.75" customHeight="1">
      <c r="A423" s="9"/>
      <c r="B423" s="164"/>
      <c r="C423" s="110"/>
      <c r="D423" s="156"/>
      <c r="E423" s="111"/>
      <c r="F423" s="112"/>
      <c r="G423" s="113"/>
      <c r="H423" s="53">
        <f t="shared" si="1"/>
        <v>0</v>
      </c>
      <c r="I423" s="115"/>
      <c r="J423" s="115"/>
      <c r="K423" s="60">
        <f t="shared" si="2"/>
        <v>0</v>
      </c>
      <c r="L423" s="117"/>
    </row>
    <row r="424" ht="15.75" customHeight="1">
      <c r="A424" s="9"/>
      <c r="B424" s="164"/>
      <c r="C424" s="110"/>
      <c r="D424" s="156"/>
      <c r="E424" s="111"/>
      <c r="F424" s="112"/>
      <c r="G424" s="113"/>
      <c r="H424" s="53">
        <f t="shared" si="1"/>
        <v>0</v>
      </c>
      <c r="I424" s="115"/>
      <c r="J424" s="115"/>
      <c r="K424" s="60">
        <f t="shared" si="2"/>
        <v>0</v>
      </c>
      <c r="L424" s="117"/>
    </row>
    <row r="425" ht="15.75" customHeight="1">
      <c r="A425" s="9"/>
      <c r="B425" s="164"/>
      <c r="C425" s="110"/>
      <c r="D425" s="156"/>
      <c r="E425" s="111"/>
      <c r="F425" s="112"/>
      <c r="G425" s="113"/>
      <c r="H425" s="53">
        <f t="shared" si="1"/>
        <v>0</v>
      </c>
      <c r="I425" s="115"/>
      <c r="J425" s="115"/>
      <c r="K425" s="60">
        <f t="shared" si="2"/>
        <v>0</v>
      </c>
      <c r="L425" s="117"/>
    </row>
    <row r="426" ht="15.75" customHeight="1">
      <c r="A426" s="9"/>
      <c r="B426" s="164"/>
      <c r="C426" s="110"/>
      <c r="D426" s="156"/>
      <c r="E426" s="111"/>
      <c r="F426" s="112"/>
      <c r="G426" s="113"/>
      <c r="H426" s="53">
        <f t="shared" si="1"/>
        <v>0</v>
      </c>
      <c r="I426" s="115"/>
      <c r="J426" s="115"/>
      <c r="K426" s="60">
        <f t="shared" si="2"/>
        <v>0</v>
      </c>
      <c r="L426" s="117"/>
    </row>
    <row r="427" ht="15.75" customHeight="1">
      <c r="A427" s="9"/>
      <c r="B427" s="164"/>
      <c r="C427" s="110"/>
      <c r="D427" s="156"/>
      <c r="E427" s="111"/>
      <c r="F427" s="112"/>
      <c r="G427" s="113"/>
      <c r="H427" s="53">
        <f t="shared" si="1"/>
        <v>0</v>
      </c>
      <c r="I427" s="115"/>
      <c r="J427" s="115"/>
      <c r="K427" s="60">
        <f t="shared" si="2"/>
        <v>0</v>
      </c>
      <c r="L427" s="117"/>
    </row>
    <row r="428" ht="15.75" customHeight="1">
      <c r="A428" s="9"/>
      <c r="B428" s="164"/>
      <c r="C428" s="110"/>
      <c r="D428" s="156"/>
      <c r="E428" s="111"/>
      <c r="F428" s="112"/>
      <c r="G428" s="113"/>
      <c r="H428" s="53">
        <f t="shared" si="1"/>
        <v>0</v>
      </c>
      <c r="I428" s="115"/>
      <c r="J428" s="115"/>
      <c r="K428" s="60">
        <f t="shared" si="2"/>
        <v>0</v>
      </c>
      <c r="L428" s="117"/>
    </row>
    <row r="429" ht="15.75" customHeight="1">
      <c r="A429" s="9"/>
      <c r="B429" s="164"/>
      <c r="C429" s="110"/>
      <c r="D429" s="156"/>
      <c r="E429" s="111"/>
      <c r="F429" s="112"/>
      <c r="G429" s="113"/>
      <c r="H429" s="53">
        <f t="shared" si="1"/>
        <v>0</v>
      </c>
      <c r="I429" s="115"/>
      <c r="J429" s="115"/>
      <c r="K429" s="60">
        <f t="shared" si="2"/>
        <v>0</v>
      </c>
      <c r="L429" s="117"/>
    </row>
    <row r="430" ht="15.75" customHeight="1">
      <c r="A430" s="9"/>
      <c r="B430" s="164"/>
      <c r="C430" s="110"/>
      <c r="D430" s="156"/>
      <c r="E430" s="111"/>
      <c r="F430" s="112"/>
      <c r="G430" s="113"/>
      <c r="H430" s="53">
        <f t="shared" si="1"/>
        <v>0</v>
      </c>
      <c r="I430" s="115"/>
      <c r="J430" s="115"/>
      <c r="K430" s="60">
        <f t="shared" si="2"/>
        <v>0</v>
      </c>
      <c r="L430" s="117"/>
    </row>
    <row r="431" ht="15.75" customHeight="1">
      <c r="A431" s="9"/>
      <c r="B431" s="164"/>
      <c r="C431" s="110"/>
      <c r="D431" s="156"/>
      <c r="E431" s="111"/>
      <c r="F431" s="112"/>
      <c r="G431" s="113"/>
      <c r="H431" s="53">
        <f t="shared" si="1"/>
        <v>0</v>
      </c>
      <c r="I431" s="115"/>
      <c r="J431" s="115"/>
      <c r="K431" s="60">
        <f t="shared" si="2"/>
        <v>0</v>
      </c>
      <c r="L431" s="117"/>
    </row>
    <row r="432" ht="15.75" customHeight="1">
      <c r="A432" s="9"/>
      <c r="B432" s="164"/>
      <c r="C432" s="110"/>
      <c r="D432" s="156"/>
      <c r="E432" s="111"/>
      <c r="F432" s="112"/>
      <c r="G432" s="113"/>
      <c r="H432" s="53">
        <f t="shared" si="1"/>
        <v>0</v>
      </c>
      <c r="I432" s="115"/>
      <c r="J432" s="115"/>
      <c r="K432" s="60">
        <f t="shared" si="2"/>
        <v>0</v>
      </c>
      <c r="L432" s="117"/>
    </row>
    <row r="433" ht="15.75" customHeight="1">
      <c r="A433" s="9"/>
      <c r="B433" s="164"/>
      <c r="C433" s="110"/>
      <c r="D433" s="156"/>
      <c r="E433" s="111"/>
      <c r="F433" s="112"/>
      <c r="G433" s="113"/>
      <c r="H433" s="53">
        <f t="shared" si="1"/>
        <v>0</v>
      </c>
      <c r="I433" s="115"/>
      <c r="J433" s="115"/>
      <c r="K433" s="60">
        <f t="shared" si="2"/>
        <v>0</v>
      </c>
      <c r="L433" s="117"/>
    </row>
    <row r="434" ht="15.75" customHeight="1">
      <c r="A434" s="9"/>
      <c r="B434" s="164"/>
      <c r="C434" s="110"/>
      <c r="D434" s="156"/>
      <c r="E434" s="111"/>
      <c r="F434" s="112"/>
      <c r="G434" s="113"/>
      <c r="H434" s="53">
        <f t="shared" si="1"/>
        <v>0</v>
      </c>
      <c r="I434" s="115"/>
      <c r="J434" s="115"/>
      <c r="K434" s="60">
        <f t="shared" si="2"/>
        <v>0</v>
      </c>
      <c r="L434" s="117"/>
    </row>
    <row r="435" ht="15.75" customHeight="1">
      <c r="A435" s="9"/>
      <c r="B435" s="164"/>
      <c r="C435" s="110"/>
      <c r="D435" s="156"/>
      <c r="E435" s="111"/>
      <c r="F435" s="112"/>
      <c r="G435" s="113"/>
      <c r="H435" s="53">
        <f t="shared" si="1"/>
        <v>0</v>
      </c>
      <c r="I435" s="115"/>
      <c r="J435" s="115"/>
      <c r="K435" s="60">
        <f t="shared" si="2"/>
        <v>0</v>
      </c>
      <c r="L435" s="117"/>
    </row>
    <row r="436" ht="15.75" customHeight="1">
      <c r="A436" s="9"/>
      <c r="B436" s="164"/>
      <c r="C436" s="110"/>
      <c r="D436" s="156"/>
      <c r="E436" s="111"/>
      <c r="F436" s="112"/>
      <c r="G436" s="113"/>
      <c r="H436" s="53">
        <f t="shared" si="1"/>
        <v>0</v>
      </c>
      <c r="I436" s="115"/>
      <c r="J436" s="115"/>
      <c r="K436" s="60">
        <f t="shared" si="2"/>
        <v>0</v>
      </c>
      <c r="L436" s="117"/>
    </row>
    <row r="437" ht="15.75" customHeight="1">
      <c r="A437" s="9"/>
      <c r="B437" s="164"/>
      <c r="C437" s="110"/>
      <c r="D437" s="156"/>
      <c r="E437" s="111"/>
      <c r="F437" s="112"/>
      <c r="G437" s="113"/>
      <c r="H437" s="53">
        <f t="shared" si="1"/>
        <v>0</v>
      </c>
      <c r="I437" s="115"/>
      <c r="J437" s="115"/>
      <c r="K437" s="60">
        <f t="shared" si="2"/>
        <v>0</v>
      </c>
      <c r="L437" s="117"/>
    </row>
    <row r="438" ht="15.75" customHeight="1">
      <c r="A438" s="9"/>
      <c r="B438" s="164"/>
      <c r="C438" s="110"/>
      <c r="D438" s="156"/>
      <c r="E438" s="111"/>
      <c r="F438" s="112"/>
      <c r="G438" s="113"/>
      <c r="H438" s="53">
        <f t="shared" si="1"/>
        <v>0</v>
      </c>
      <c r="I438" s="115"/>
      <c r="J438" s="115"/>
      <c r="K438" s="60">
        <f t="shared" si="2"/>
        <v>0</v>
      </c>
      <c r="L438" s="117"/>
    </row>
    <row r="439" ht="15.75" customHeight="1">
      <c r="A439" s="9"/>
      <c r="B439" s="164"/>
      <c r="C439" s="110"/>
      <c r="D439" s="156"/>
      <c r="E439" s="111"/>
      <c r="F439" s="112"/>
      <c r="G439" s="113"/>
      <c r="H439" s="53">
        <f t="shared" si="1"/>
        <v>0</v>
      </c>
      <c r="I439" s="115"/>
      <c r="J439" s="115"/>
      <c r="K439" s="60">
        <f t="shared" si="2"/>
        <v>0</v>
      </c>
      <c r="L439" s="117"/>
    </row>
    <row r="440" ht="15.75" customHeight="1">
      <c r="A440" s="9"/>
      <c r="B440" s="164"/>
      <c r="C440" s="110"/>
      <c r="D440" s="156"/>
      <c r="E440" s="111"/>
      <c r="F440" s="112"/>
      <c r="G440" s="113"/>
      <c r="H440" s="53">
        <f t="shared" si="1"/>
        <v>0</v>
      </c>
      <c r="I440" s="115"/>
      <c r="J440" s="115"/>
      <c r="K440" s="60">
        <f t="shared" si="2"/>
        <v>0</v>
      </c>
      <c r="L440" s="117"/>
    </row>
    <row r="441" ht="15.75" customHeight="1">
      <c r="A441" s="9"/>
      <c r="B441" s="164"/>
      <c r="C441" s="110"/>
      <c r="D441" s="156"/>
      <c r="E441" s="111"/>
      <c r="F441" s="112"/>
      <c r="G441" s="113"/>
      <c r="H441" s="53">
        <f t="shared" si="1"/>
        <v>0</v>
      </c>
      <c r="I441" s="115"/>
      <c r="J441" s="115"/>
      <c r="K441" s="60">
        <f t="shared" si="2"/>
        <v>0</v>
      </c>
      <c r="L441" s="117"/>
    </row>
    <row r="442" ht="15.75" customHeight="1">
      <c r="A442" s="9"/>
      <c r="B442" s="164"/>
      <c r="C442" s="110"/>
      <c r="D442" s="156"/>
      <c r="E442" s="111"/>
      <c r="F442" s="112"/>
      <c r="G442" s="113"/>
      <c r="H442" s="53">
        <f t="shared" si="1"/>
        <v>0</v>
      </c>
      <c r="I442" s="115"/>
      <c r="J442" s="115"/>
      <c r="K442" s="60">
        <f t="shared" si="2"/>
        <v>0</v>
      </c>
      <c r="L442" s="117"/>
    </row>
    <row r="443" ht="15.75" customHeight="1">
      <c r="A443" s="9"/>
      <c r="B443" s="164"/>
      <c r="C443" s="110"/>
      <c r="D443" s="156"/>
      <c r="E443" s="111"/>
      <c r="F443" s="112"/>
      <c r="G443" s="113"/>
      <c r="H443" s="53">
        <f t="shared" si="1"/>
        <v>0</v>
      </c>
      <c r="I443" s="115"/>
      <c r="J443" s="115"/>
      <c r="K443" s="60">
        <f t="shared" si="2"/>
        <v>0</v>
      </c>
      <c r="L443" s="117"/>
    </row>
    <row r="444" ht="15.75" customHeight="1">
      <c r="A444" s="9"/>
      <c r="B444" s="164"/>
      <c r="C444" s="110"/>
      <c r="D444" s="156"/>
      <c r="E444" s="111"/>
      <c r="F444" s="112"/>
      <c r="G444" s="113"/>
      <c r="H444" s="53">
        <f t="shared" si="1"/>
        <v>0</v>
      </c>
      <c r="I444" s="115"/>
      <c r="J444" s="115"/>
      <c r="K444" s="60">
        <f t="shared" si="2"/>
        <v>0</v>
      </c>
      <c r="L444" s="117"/>
    </row>
    <row r="445" ht="15.75" customHeight="1">
      <c r="A445" s="9"/>
      <c r="B445" s="164"/>
      <c r="C445" s="110"/>
      <c r="D445" s="156"/>
      <c r="E445" s="111"/>
      <c r="F445" s="112"/>
      <c r="G445" s="113"/>
      <c r="H445" s="53">
        <f t="shared" si="1"/>
        <v>0</v>
      </c>
      <c r="I445" s="115"/>
      <c r="J445" s="115"/>
      <c r="K445" s="60">
        <f t="shared" si="2"/>
        <v>0</v>
      </c>
      <c r="L445" s="117"/>
    </row>
    <row r="446" ht="15.75" customHeight="1">
      <c r="A446" s="9"/>
      <c r="B446" s="164"/>
      <c r="C446" s="110"/>
      <c r="D446" s="156"/>
      <c r="E446" s="111"/>
      <c r="F446" s="112"/>
      <c r="G446" s="113"/>
      <c r="H446" s="53">
        <f t="shared" si="1"/>
        <v>0</v>
      </c>
      <c r="I446" s="115"/>
      <c r="J446" s="115"/>
      <c r="K446" s="60">
        <f t="shared" si="2"/>
        <v>0</v>
      </c>
      <c r="L446" s="117"/>
    </row>
    <row r="447" ht="15.75" customHeight="1">
      <c r="A447" s="9"/>
      <c r="B447" s="164"/>
      <c r="C447" s="110"/>
      <c r="D447" s="156"/>
      <c r="E447" s="111"/>
      <c r="F447" s="112"/>
      <c r="G447" s="113"/>
      <c r="H447" s="53">
        <f t="shared" si="1"/>
        <v>0</v>
      </c>
      <c r="I447" s="115"/>
      <c r="J447" s="115"/>
      <c r="K447" s="60">
        <f t="shared" si="2"/>
        <v>0</v>
      </c>
      <c r="L447" s="117"/>
    </row>
    <row r="448" ht="15.75" customHeight="1">
      <c r="A448" s="9"/>
      <c r="B448" s="164"/>
      <c r="C448" s="110"/>
      <c r="D448" s="156"/>
      <c r="E448" s="111"/>
      <c r="F448" s="112"/>
      <c r="G448" s="113"/>
      <c r="H448" s="53">
        <f t="shared" si="1"/>
        <v>0</v>
      </c>
      <c r="I448" s="115"/>
      <c r="J448" s="115"/>
      <c r="K448" s="60">
        <f t="shared" si="2"/>
        <v>0</v>
      </c>
      <c r="L448" s="117"/>
    </row>
    <row r="449" ht="15.75" customHeight="1">
      <c r="A449" s="9"/>
      <c r="B449" s="164"/>
      <c r="C449" s="110"/>
      <c r="D449" s="156"/>
      <c r="E449" s="111"/>
      <c r="F449" s="112"/>
      <c r="G449" s="113"/>
      <c r="H449" s="53">
        <f t="shared" si="1"/>
        <v>0</v>
      </c>
      <c r="I449" s="115"/>
      <c r="J449" s="115"/>
      <c r="K449" s="60">
        <f t="shared" si="2"/>
        <v>0</v>
      </c>
      <c r="L449" s="117"/>
    </row>
    <row r="450" ht="15.75" customHeight="1">
      <c r="A450" s="9"/>
      <c r="B450" s="164"/>
      <c r="C450" s="110"/>
      <c r="D450" s="156"/>
      <c r="E450" s="111"/>
      <c r="F450" s="112"/>
      <c r="G450" s="113"/>
      <c r="H450" s="53">
        <f t="shared" si="1"/>
        <v>0</v>
      </c>
      <c r="I450" s="115"/>
      <c r="J450" s="115"/>
      <c r="K450" s="60">
        <f t="shared" si="2"/>
        <v>0</v>
      </c>
      <c r="L450" s="117"/>
    </row>
    <row r="451" ht="15.75" customHeight="1">
      <c r="A451" s="9"/>
      <c r="B451" s="164"/>
      <c r="C451" s="110"/>
      <c r="D451" s="156"/>
      <c r="E451" s="111"/>
      <c r="F451" s="112"/>
      <c r="G451" s="113"/>
      <c r="H451" s="53">
        <f t="shared" si="1"/>
        <v>0</v>
      </c>
      <c r="I451" s="115"/>
      <c r="J451" s="115"/>
      <c r="K451" s="60">
        <f t="shared" si="2"/>
        <v>0</v>
      </c>
      <c r="L451" s="117"/>
    </row>
    <row r="452" ht="15.75" customHeight="1">
      <c r="A452" s="9"/>
      <c r="B452" s="164"/>
      <c r="C452" s="110"/>
      <c r="D452" s="156"/>
      <c r="E452" s="111"/>
      <c r="F452" s="112"/>
      <c r="G452" s="113"/>
      <c r="H452" s="53">
        <f t="shared" si="1"/>
        <v>0</v>
      </c>
      <c r="I452" s="115"/>
      <c r="J452" s="115"/>
      <c r="K452" s="60">
        <f t="shared" si="2"/>
        <v>0</v>
      </c>
      <c r="L452" s="117"/>
    </row>
    <row r="453" ht="15.75" customHeight="1">
      <c r="A453" s="9"/>
      <c r="B453" s="164"/>
      <c r="C453" s="110"/>
      <c r="D453" s="156"/>
      <c r="E453" s="111"/>
      <c r="F453" s="112"/>
      <c r="G453" s="113"/>
      <c r="H453" s="53">
        <f t="shared" si="1"/>
        <v>0</v>
      </c>
      <c r="I453" s="115"/>
      <c r="J453" s="115"/>
      <c r="K453" s="60">
        <f t="shared" si="2"/>
        <v>0</v>
      </c>
      <c r="L453" s="117"/>
    </row>
    <row r="454" ht="15.75" customHeight="1">
      <c r="A454" s="9"/>
      <c r="B454" s="164"/>
      <c r="C454" s="110"/>
      <c r="D454" s="156"/>
      <c r="E454" s="111"/>
      <c r="F454" s="112"/>
      <c r="G454" s="113"/>
      <c r="H454" s="53">
        <f t="shared" si="1"/>
        <v>0</v>
      </c>
      <c r="I454" s="115"/>
      <c r="J454" s="115"/>
      <c r="K454" s="60">
        <f t="shared" si="2"/>
        <v>0</v>
      </c>
      <c r="L454" s="117"/>
    </row>
    <row r="455" ht="15.75" customHeight="1">
      <c r="A455" s="9"/>
      <c r="B455" s="164"/>
      <c r="C455" s="110"/>
      <c r="D455" s="156"/>
      <c r="E455" s="111"/>
      <c r="F455" s="112"/>
      <c r="G455" s="113"/>
      <c r="H455" s="53">
        <f t="shared" si="1"/>
        <v>0</v>
      </c>
      <c r="I455" s="115"/>
      <c r="J455" s="115"/>
      <c r="K455" s="60">
        <f t="shared" si="2"/>
        <v>0</v>
      </c>
      <c r="L455" s="117"/>
    </row>
    <row r="456" ht="15.75" customHeight="1">
      <c r="A456" s="9"/>
      <c r="B456" s="164"/>
      <c r="C456" s="110"/>
      <c r="D456" s="156"/>
      <c r="E456" s="111"/>
      <c r="F456" s="112"/>
      <c r="G456" s="113"/>
      <c r="H456" s="53">
        <f t="shared" si="1"/>
        <v>0</v>
      </c>
      <c r="I456" s="115"/>
      <c r="J456" s="115"/>
      <c r="K456" s="60">
        <f t="shared" si="2"/>
        <v>0</v>
      </c>
      <c r="L456" s="117"/>
    </row>
    <row r="457" ht="15.75" customHeight="1">
      <c r="A457" s="9"/>
      <c r="B457" s="164"/>
      <c r="C457" s="110"/>
      <c r="D457" s="156"/>
      <c r="E457" s="111"/>
      <c r="F457" s="112"/>
      <c r="G457" s="113"/>
      <c r="H457" s="53">
        <f t="shared" si="1"/>
        <v>0</v>
      </c>
      <c r="I457" s="115"/>
      <c r="J457" s="115"/>
      <c r="K457" s="60">
        <f t="shared" si="2"/>
        <v>0</v>
      </c>
      <c r="L457" s="117"/>
    </row>
    <row r="458" ht="15.75" customHeight="1">
      <c r="A458" s="9"/>
      <c r="B458" s="164"/>
      <c r="C458" s="110"/>
      <c r="D458" s="156"/>
      <c r="E458" s="111"/>
      <c r="F458" s="112"/>
      <c r="G458" s="113"/>
      <c r="H458" s="53">
        <f t="shared" si="1"/>
        <v>0</v>
      </c>
      <c r="I458" s="115"/>
      <c r="J458" s="115"/>
      <c r="K458" s="60">
        <f t="shared" si="2"/>
        <v>0</v>
      </c>
      <c r="L458" s="117"/>
    </row>
    <row r="459" ht="15.75" customHeight="1">
      <c r="A459" s="9"/>
      <c r="B459" s="164"/>
      <c r="C459" s="110"/>
      <c r="D459" s="156"/>
      <c r="E459" s="111"/>
      <c r="F459" s="112"/>
      <c r="G459" s="113"/>
      <c r="H459" s="53">
        <f t="shared" si="1"/>
        <v>0</v>
      </c>
      <c r="I459" s="115"/>
      <c r="J459" s="115"/>
      <c r="K459" s="60">
        <f t="shared" si="2"/>
        <v>0</v>
      </c>
      <c r="L459" s="117"/>
    </row>
    <row r="460" ht="15.75" customHeight="1">
      <c r="A460" s="9"/>
      <c r="B460" s="164"/>
      <c r="C460" s="110"/>
      <c r="D460" s="156"/>
      <c r="E460" s="111"/>
      <c r="F460" s="112"/>
      <c r="G460" s="113"/>
      <c r="H460" s="53">
        <f t="shared" si="1"/>
        <v>0</v>
      </c>
      <c r="I460" s="115"/>
      <c r="J460" s="115"/>
      <c r="K460" s="60">
        <f t="shared" si="2"/>
        <v>0</v>
      </c>
      <c r="L460" s="117"/>
    </row>
    <row r="461" ht="15.75" customHeight="1">
      <c r="A461" s="9"/>
      <c r="B461" s="164"/>
      <c r="C461" s="110"/>
      <c r="D461" s="156"/>
      <c r="E461" s="111"/>
      <c r="F461" s="112"/>
      <c r="G461" s="113"/>
      <c r="H461" s="53">
        <f t="shared" si="1"/>
        <v>0</v>
      </c>
      <c r="I461" s="115"/>
      <c r="J461" s="115"/>
      <c r="K461" s="60">
        <f t="shared" si="2"/>
        <v>0</v>
      </c>
      <c r="L461" s="117"/>
    </row>
    <row r="462" ht="15.75" customHeight="1">
      <c r="A462" s="9"/>
      <c r="B462" s="164"/>
      <c r="C462" s="110"/>
      <c r="D462" s="156"/>
      <c r="E462" s="111"/>
      <c r="F462" s="112"/>
      <c r="G462" s="113"/>
      <c r="H462" s="53">
        <f t="shared" si="1"/>
        <v>0</v>
      </c>
      <c r="I462" s="115"/>
      <c r="J462" s="115"/>
      <c r="K462" s="60">
        <f t="shared" si="2"/>
        <v>0</v>
      </c>
      <c r="L462" s="117"/>
    </row>
    <row r="463" ht="15.75" customHeight="1">
      <c r="A463" s="9"/>
      <c r="B463" s="164"/>
      <c r="C463" s="110"/>
      <c r="D463" s="156"/>
      <c r="E463" s="111"/>
      <c r="F463" s="112"/>
      <c r="G463" s="113"/>
      <c r="H463" s="53">
        <f t="shared" si="1"/>
        <v>0</v>
      </c>
      <c r="I463" s="115"/>
      <c r="J463" s="115"/>
      <c r="K463" s="60">
        <f t="shared" si="2"/>
        <v>0</v>
      </c>
      <c r="L463" s="117"/>
    </row>
    <row r="464" ht="15.75" customHeight="1">
      <c r="A464" s="9"/>
      <c r="B464" s="164"/>
      <c r="C464" s="110"/>
      <c r="D464" s="156"/>
      <c r="E464" s="111"/>
      <c r="F464" s="112"/>
      <c r="G464" s="113"/>
      <c r="H464" s="53">
        <f t="shared" si="1"/>
        <v>0</v>
      </c>
      <c r="I464" s="115"/>
      <c r="J464" s="115"/>
      <c r="K464" s="60">
        <f t="shared" si="2"/>
        <v>0</v>
      </c>
      <c r="L464" s="117"/>
    </row>
    <row r="465" ht="15.75" customHeight="1">
      <c r="A465" s="9"/>
      <c r="B465" s="164"/>
      <c r="C465" s="110"/>
      <c r="D465" s="156"/>
      <c r="E465" s="111"/>
      <c r="F465" s="112"/>
      <c r="G465" s="113"/>
      <c r="H465" s="53">
        <f t="shared" si="1"/>
        <v>0</v>
      </c>
      <c r="I465" s="115"/>
      <c r="J465" s="115"/>
      <c r="K465" s="60">
        <f t="shared" si="2"/>
        <v>0</v>
      </c>
      <c r="L465" s="117"/>
    </row>
    <row r="466" ht="15.75" customHeight="1">
      <c r="A466" s="9"/>
      <c r="B466" s="164"/>
      <c r="C466" s="110"/>
      <c r="D466" s="156"/>
      <c r="E466" s="111"/>
      <c r="F466" s="112"/>
      <c r="G466" s="113"/>
      <c r="H466" s="53">
        <f t="shared" si="1"/>
        <v>0</v>
      </c>
      <c r="I466" s="115"/>
      <c r="J466" s="115"/>
      <c r="K466" s="60">
        <f t="shared" si="2"/>
        <v>0</v>
      </c>
      <c r="L466" s="117"/>
    </row>
    <row r="467" ht="15.75" customHeight="1">
      <c r="A467" s="9"/>
      <c r="B467" s="164"/>
      <c r="C467" s="110"/>
      <c r="D467" s="156"/>
      <c r="E467" s="111"/>
      <c r="F467" s="112"/>
      <c r="G467" s="113"/>
      <c r="H467" s="53">
        <f t="shared" si="1"/>
        <v>0</v>
      </c>
      <c r="I467" s="115"/>
      <c r="J467" s="115"/>
      <c r="K467" s="60">
        <f t="shared" si="2"/>
        <v>0</v>
      </c>
      <c r="L467" s="117"/>
    </row>
    <row r="468" ht="15.75" customHeight="1">
      <c r="A468" s="9"/>
      <c r="B468" s="164"/>
      <c r="C468" s="110"/>
      <c r="D468" s="156"/>
      <c r="E468" s="111"/>
      <c r="F468" s="112"/>
      <c r="G468" s="113"/>
      <c r="H468" s="53">
        <f t="shared" si="1"/>
        <v>0</v>
      </c>
      <c r="I468" s="115"/>
      <c r="J468" s="115"/>
      <c r="K468" s="60">
        <f t="shared" si="2"/>
        <v>0</v>
      </c>
      <c r="L468" s="117"/>
    </row>
    <row r="469" ht="15.75" customHeight="1">
      <c r="A469" s="9"/>
      <c r="B469" s="164"/>
      <c r="C469" s="110"/>
      <c r="D469" s="156"/>
      <c r="E469" s="111"/>
      <c r="F469" s="112"/>
      <c r="G469" s="113"/>
      <c r="H469" s="53">
        <f t="shared" si="1"/>
        <v>0</v>
      </c>
      <c r="I469" s="115"/>
      <c r="J469" s="115"/>
      <c r="K469" s="60">
        <f t="shared" si="2"/>
        <v>0</v>
      </c>
      <c r="L469" s="117"/>
    </row>
    <row r="470" ht="15.75" customHeight="1">
      <c r="A470" s="9"/>
      <c r="B470" s="164"/>
      <c r="C470" s="110"/>
      <c r="D470" s="156"/>
      <c r="E470" s="111"/>
      <c r="F470" s="112"/>
      <c r="G470" s="113"/>
      <c r="H470" s="53">
        <f t="shared" si="1"/>
        <v>0</v>
      </c>
      <c r="I470" s="115"/>
      <c r="J470" s="115"/>
      <c r="K470" s="60">
        <f t="shared" si="2"/>
        <v>0</v>
      </c>
      <c r="L470" s="117"/>
    </row>
    <row r="471" ht="15.75" customHeight="1">
      <c r="A471" s="9"/>
      <c r="B471" s="164"/>
      <c r="C471" s="110"/>
      <c r="D471" s="156"/>
      <c r="E471" s="111"/>
      <c r="F471" s="112"/>
      <c r="G471" s="113"/>
      <c r="H471" s="53">
        <f t="shared" si="1"/>
        <v>0</v>
      </c>
      <c r="I471" s="115"/>
      <c r="J471" s="115"/>
      <c r="K471" s="60">
        <f t="shared" si="2"/>
        <v>0</v>
      </c>
      <c r="L471" s="117"/>
    </row>
    <row r="472" ht="15.75" customHeight="1">
      <c r="A472" s="9"/>
      <c r="B472" s="164"/>
      <c r="C472" s="110"/>
      <c r="D472" s="156"/>
      <c r="E472" s="111"/>
      <c r="F472" s="112"/>
      <c r="G472" s="113"/>
      <c r="H472" s="53">
        <f t="shared" si="1"/>
        <v>0</v>
      </c>
      <c r="I472" s="115"/>
      <c r="J472" s="115"/>
      <c r="K472" s="60">
        <f t="shared" si="2"/>
        <v>0</v>
      </c>
      <c r="L472" s="117"/>
    </row>
    <row r="473" ht="15.75" customHeight="1">
      <c r="A473" s="9"/>
      <c r="B473" s="164"/>
      <c r="C473" s="110"/>
      <c r="D473" s="156"/>
      <c r="E473" s="111"/>
      <c r="F473" s="112"/>
      <c r="G473" s="113"/>
      <c r="H473" s="53">
        <f t="shared" si="1"/>
        <v>0</v>
      </c>
      <c r="I473" s="115"/>
      <c r="J473" s="115"/>
      <c r="K473" s="60">
        <f t="shared" si="2"/>
        <v>0</v>
      </c>
      <c r="L473" s="117"/>
    </row>
    <row r="474" ht="15.75" customHeight="1">
      <c r="A474" s="9"/>
      <c r="B474" s="164"/>
      <c r="C474" s="110"/>
      <c r="D474" s="156"/>
      <c r="E474" s="111"/>
      <c r="F474" s="112"/>
      <c r="G474" s="113"/>
      <c r="H474" s="53">
        <f t="shared" si="1"/>
        <v>0</v>
      </c>
      <c r="I474" s="115"/>
      <c r="J474" s="115"/>
      <c r="K474" s="60">
        <f t="shared" si="2"/>
        <v>0</v>
      </c>
      <c r="L474" s="117"/>
    </row>
    <row r="475" ht="15.75" customHeight="1">
      <c r="A475" s="9"/>
      <c r="B475" s="164"/>
      <c r="C475" s="110"/>
      <c r="D475" s="156"/>
      <c r="E475" s="111"/>
      <c r="F475" s="112"/>
      <c r="G475" s="113"/>
      <c r="H475" s="53">
        <f t="shared" si="1"/>
        <v>0</v>
      </c>
      <c r="I475" s="115"/>
      <c r="J475" s="115"/>
      <c r="K475" s="60">
        <f t="shared" si="2"/>
        <v>0</v>
      </c>
      <c r="L475" s="117"/>
    </row>
    <row r="476" ht="15.75" customHeight="1">
      <c r="A476" s="9"/>
      <c r="B476" s="164"/>
      <c r="C476" s="110"/>
      <c r="D476" s="156"/>
      <c r="E476" s="111"/>
      <c r="F476" s="112"/>
      <c r="G476" s="113"/>
      <c r="H476" s="53">
        <f t="shared" si="1"/>
        <v>0</v>
      </c>
      <c r="I476" s="115"/>
      <c r="J476" s="115"/>
      <c r="K476" s="60">
        <f t="shared" si="2"/>
        <v>0</v>
      </c>
      <c r="L476" s="117"/>
    </row>
    <row r="477" ht="15.75" customHeight="1">
      <c r="A477" s="9"/>
      <c r="B477" s="164"/>
      <c r="C477" s="110"/>
      <c r="D477" s="156"/>
      <c r="E477" s="111"/>
      <c r="F477" s="112"/>
      <c r="G477" s="113"/>
      <c r="H477" s="53">
        <f t="shared" si="1"/>
        <v>0</v>
      </c>
      <c r="I477" s="115"/>
      <c r="J477" s="115"/>
      <c r="K477" s="60">
        <f t="shared" si="2"/>
        <v>0</v>
      </c>
      <c r="L477" s="117"/>
    </row>
    <row r="478" ht="15.75" customHeight="1">
      <c r="A478" s="9"/>
      <c r="B478" s="164"/>
      <c r="C478" s="110"/>
      <c r="D478" s="156"/>
      <c r="E478" s="111"/>
      <c r="F478" s="112"/>
      <c r="G478" s="113"/>
      <c r="H478" s="53">
        <f t="shared" si="1"/>
        <v>0</v>
      </c>
      <c r="I478" s="115"/>
      <c r="J478" s="115"/>
      <c r="K478" s="60">
        <f t="shared" si="2"/>
        <v>0</v>
      </c>
      <c r="L478" s="117"/>
    </row>
    <row r="479" ht="15.75" customHeight="1">
      <c r="A479" s="9"/>
      <c r="B479" s="164"/>
      <c r="C479" s="110"/>
      <c r="D479" s="156"/>
      <c r="E479" s="111"/>
      <c r="F479" s="112"/>
      <c r="G479" s="113"/>
      <c r="H479" s="53">
        <f t="shared" si="1"/>
        <v>0</v>
      </c>
      <c r="I479" s="115"/>
      <c r="J479" s="115"/>
      <c r="K479" s="60">
        <f t="shared" si="2"/>
        <v>0</v>
      </c>
      <c r="L479" s="117"/>
    </row>
    <row r="480" ht="15.75" customHeight="1">
      <c r="A480" s="9"/>
      <c r="B480" s="164"/>
      <c r="C480" s="110"/>
      <c r="D480" s="156"/>
      <c r="E480" s="111"/>
      <c r="F480" s="112"/>
      <c r="G480" s="113"/>
      <c r="H480" s="53">
        <f t="shared" si="1"/>
        <v>0</v>
      </c>
      <c r="I480" s="115"/>
      <c r="J480" s="115"/>
      <c r="K480" s="60">
        <f t="shared" si="2"/>
        <v>0</v>
      </c>
      <c r="L480" s="117"/>
    </row>
    <row r="481" ht="15.75" customHeight="1">
      <c r="A481" s="9"/>
      <c r="B481" s="164"/>
      <c r="C481" s="110"/>
      <c r="D481" s="156"/>
      <c r="E481" s="111"/>
      <c r="F481" s="112"/>
      <c r="G481" s="113"/>
      <c r="H481" s="53">
        <f t="shared" si="1"/>
        <v>0</v>
      </c>
      <c r="I481" s="115"/>
      <c r="J481" s="115"/>
      <c r="K481" s="60">
        <f t="shared" si="2"/>
        <v>0</v>
      </c>
      <c r="L481" s="117"/>
    </row>
    <row r="482" ht="15.75" customHeight="1">
      <c r="A482" s="9"/>
      <c r="B482" s="164"/>
      <c r="C482" s="110"/>
      <c r="D482" s="156"/>
      <c r="E482" s="111"/>
      <c r="F482" s="112"/>
      <c r="G482" s="113"/>
      <c r="H482" s="53">
        <f t="shared" si="1"/>
        <v>0</v>
      </c>
      <c r="I482" s="115"/>
      <c r="J482" s="115"/>
      <c r="K482" s="60">
        <f t="shared" si="2"/>
        <v>0</v>
      </c>
      <c r="L482" s="117"/>
    </row>
    <row r="483" ht="15.75" customHeight="1">
      <c r="A483" s="9"/>
      <c r="B483" s="164"/>
      <c r="C483" s="110"/>
      <c r="D483" s="156"/>
      <c r="E483" s="111"/>
      <c r="F483" s="112"/>
      <c r="G483" s="113"/>
      <c r="H483" s="53">
        <f t="shared" si="1"/>
        <v>0</v>
      </c>
      <c r="I483" s="115"/>
      <c r="J483" s="115"/>
      <c r="K483" s="60">
        <f t="shared" si="2"/>
        <v>0</v>
      </c>
      <c r="L483" s="117"/>
    </row>
    <row r="484" ht="15.75" customHeight="1">
      <c r="A484" s="9"/>
      <c r="B484" s="164"/>
      <c r="C484" s="110"/>
      <c r="D484" s="156"/>
      <c r="E484" s="111"/>
      <c r="F484" s="112"/>
      <c r="G484" s="113"/>
      <c r="H484" s="53">
        <f t="shared" si="1"/>
        <v>0</v>
      </c>
      <c r="I484" s="115"/>
      <c r="J484" s="115"/>
      <c r="K484" s="60">
        <f t="shared" si="2"/>
        <v>0</v>
      </c>
      <c r="L484" s="117"/>
    </row>
    <row r="485" ht="15.75" customHeight="1">
      <c r="A485" s="9"/>
      <c r="B485" s="164"/>
      <c r="C485" s="110"/>
      <c r="D485" s="156"/>
      <c r="E485" s="111"/>
      <c r="F485" s="112"/>
      <c r="G485" s="113"/>
      <c r="H485" s="53">
        <f t="shared" si="1"/>
        <v>0</v>
      </c>
      <c r="I485" s="115"/>
      <c r="J485" s="115"/>
      <c r="K485" s="60">
        <f t="shared" si="2"/>
        <v>0</v>
      </c>
      <c r="L485" s="117"/>
    </row>
    <row r="486" ht="15.75" customHeight="1">
      <c r="A486" s="9"/>
      <c r="B486" s="164"/>
      <c r="C486" s="110"/>
      <c r="D486" s="156"/>
      <c r="E486" s="111"/>
      <c r="F486" s="112"/>
      <c r="G486" s="113"/>
      <c r="H486" s="53">
        <f t="shared" si="1"/>
        <v>0</v>
      </c>
      <c r="I486" s="115"/>
      <c r="J486" s="115"/>
      <c r="K486" s="60">
        <f t="shared" si="2"/>
        <v>0</v>
      </c>
      <c r="L486" s="117"/>
    </row>
    <row r="487" ht="15.75" customHeight="1">
      <c r="A487" s="9"/>
      <c r="B487" s="164"/>
      <c r="C487" s="110"/>
      <c r="D487" s="156"/>
      <c r="E487" s="111"/>
      <c r="F487" s="112"/>
      <c r="G487" s="113"/>
      <c r="H487" s="53">
        <f t="shared" si="1"/>
        <v>0</v>
      </c>
      <c r="I487" s="115"/>
      <c r="J487" s="115"/>
      <c r="K487" s="60">
        <f t="shared" si="2"/>
        <v>0</v>
      </c>
      <c r="L487" s="117"/>
    </row>
    <row r="488" ht="15.75" customHeight="1">
      <c r="A488" s="9"/>
      <c r="B488" s="164"/>
      <c r="C488" s="110"/>
      <c r="D488" s="156"/>
      <c r="E488" s="111"/>
      <c r="F488" s="112"/>
      <c r="G488" s="113"/>
      <c r="H488" s="53">
        <f t="shared" si="1"/>
        <v>0</v>
      </c>
      <c r="I488" s="115"/>
      <c r="J488" s="115"/>
      <c r="K488" s="60">
        <f t="shared" si="2"/>
        <v>0</v>
      </c>
      <c r="L488" s="117"/>
    </row>
    <row r="489" ht="15.75" customHeight="1">
      <c r="A489" s="9"/>
      <c r="B489" s="164"/>
      <c r="C489" s="110"/>
      <c r="D489" s="156"/>
      <c r="E489" s="111"/>
      <c r="F489" s="112"/>
      <c r="G489" s="113"/>
      <c r="H489" s="53">
        <f t="shared" si="1"/>
        <v>0</v>
      </c>
      <c r="I489" s="115"/>
      <c r="J489" s="115"/>
      <c r="K489" s="60">
        <f t="shared" si="2"/>
        <v>0</v>
      </c>
      <c r="L489" s="117"/>
    </row>
    <row r="490" ht="15.75" customHeight="1">
      <c r="A490" s="9"/>
      <c r="B490" s="164"/>
      <c r="C490" s="110"/>
      <c r="D490" s="156"/>
      <c r="E490" s="111"/>
      <c r="F490" s="112"/>
      <c r="G490" s="113"/>
      <c r="H490" s="53">
        <f t="shared" si="1"/>
        <v>0</v>
      </c>
      <c r="I490" s="115"/>
      <c r="J490" s="115"/>
      <c r="K490" s="60">
        <f t="shared" si="2"/>
        <v>0</v>
      </c>
      <c r="L490" s="117"/>
    </row>
    <row r="491" ht="15.75" customHeight="1">
      <c r="A491" s="9"/>
      <c r="B491" s="164"/>
      <c r="C491" s="110"/>
      <c r="D491" s="156"/>
      <c r="E491" s="111"/>
      <c r="F491" s="112"/>
      <c r="G491" s="113"/>
      <c r="H491" s="53">
        <f t="shared" si="1"/>
        <v>0</v>
      </c>
      <c r="I491" s="115"/>
      <c r="J491" s="115"/>
      <c r="K491" s="60">
        <f t="shared" si="2"/>
        <v>0</v>
      </c>
      <c r="L491" s="117"/>
    </row>
    <row r="492" ht="15.75" customHeight="1">
      <c r="A492" s="9"/>
      <c r="B492" s="164"/>
      <c r="C492" s="110"/>
      <c r="D492" s="156"/>
      <c r="E492" s="111"/>
      <c r="F492" s="112"/>
      <c r="G492" s="113"/>
      <c r="H492" s="53">
        <f t="shared" si="1"/>
        <v>0</v>
      </c>
      <c r="I492" s="115"/>
      <c r="J492" s="115"/>
      <c r="K492" s="60">
        <f t="shared" si="2"/>
        <v>0</v>
      </c>
      <c r="L492" s="117"/>
    </row>
    <row r="493" ht="15.75" customHeight="1">
      <c r="A493" s="9"/>
      <c r="B493" s="164"/>
      <c r="C493" s="110"/>
      <c r="D493" s="156"/>
      <c r="E493" s="111"/>
      <c r="F493" s="112"/>
      <c r="G493" s="113"/>
      <c r="H493" s="53">
        <f t="shared" si="1"/>
        <v>0</v>
      </c>
      <c r="I493" s="115"/>
      <c r="J493" s="115"/>
      <c r="K493" s="60">
        <f t="shared" si="2"/>
        <v>0</v>
      </c>
      <c r="L493" s="117"/>
    </row>
    <row r="494" ht="15.75" customHeight="1">
      <c r="A494" s="9"/>
      <c r="B494" s="164"/>
      <c r="C494" s="110"/>
      <c r="D494" s="156"/>
      <c r="E494" s="111"/>
      <c r="F494" s="112"/>
      <c r="G494" s="113"/>
      <c r="H494" s="53">
        <f t="shared" si="1"/>
        <v>0</v>
      </c>
      <c r="I494" s="115"/>
      <c r="J494" s="115"/>
      <c r="K494" s="60">
        <f t="shared" si="2"/>
        <v>0</v>
      </c>
      <c r="L494" s="117"/>
    </row>
    <row r="495" ht="15.75" customHeight="1">
      <c r="A495" s="9"/>
      <c r="B495" s="164"/>
      <c r="C495" s="110"/>
      <c r="D495" s="156"/>
      <c r="E495" s="111"/>
      <c r="F495" s="112"/>
      <c r="G495" s="113"/>
      <c r="H495" s="53">
        <f t="shared" si="1"/>
        <v>0</v>
      </c>
      <c r="I495" s="115"/>
      <c r="J495" s="115"/>
      <c r="K495" s="60">
        <f t="shared" si="2"/>
        <v>0</v>
      </c>
      <c r="L495" s="117"/>
    </row>
    <row r="496" ht="15.75" customHeight="1">
      <c r="A496" s="9"/>
      <c r="B496" s="164"/>
      <c r="C496" s="110"/>
      <c r="D496" s="156"/>
      <c r="E496" s="111"/>
      <c r="F496" s="112"/>
      <c r="G496" s="113"/>
      <c r="H496" s="53">
        <f t="shared" si="1"/>
        <v>0</v>
      </c>
      <c r="I496" s="115"/>
      <c r="J496" s="115"/>
      <c r="K496" s="60">
        <f t="shared" si="2"/>
        <v>0</v>
      </c>
      <c r="L496" s="117"/>
    </row>
    <row r="497" ht="15.75" customHeight="1">
      <c r="A497" s="9"/>
      <c r="B497" s="164"/>
      <c r="C497" s="110"/>
      <c r="D497" s="156"/>
      <c r="E497" s="111"/>
      <c r="F497" s="112"/>
      <c r="G497" s="113"/>
      <c r="H497" s="53">
        <f t="shared" si="1"/>
        <v>0</v>
      </c>
      <c r="I497" s="115"/>
      <c r="J497" s="115"/>
      <c r="K497" s="60">
        <f t="shared" si="2"/>
        <v>0</v>
      </c>
      <c r="L497" s="117"/>
    </row>
    <row r="498" ht="15.75" customHeight="1">
      <c r="A498" s="9"/>
      <c r="B498" s="164"/>
      <c r="C498" s="110"/>
      <c r="D498" s="156"/>
      <c r="E498" s="111"/>
      <c r="F498" s="112"/>
      <c r="G498" s="113"/>
      <c r="H498" s="53">
        <f t="shared" si="1"/>
        <v>0</v>
      </c>
      <c r="I498" s="115"/>
      <c r="J498" s="115"/>
      <c r="K498" s="60">
        <f t="shared" si="2"/>
        <v>0</v>
      </c>
      <c r="L498" s="117"/>
    </row>
    <row r="499" ht="15.75" customHeight="1">
      <c r="A499" s="9"/>
      <c r="B499" s="164"/>
      <c r="C499" s="110"/>
      <c r="D499" s="156"/>
      <c r="E499" s="111"/>
      <c r="F499" s="112"/>
      <c r="G499" s="113"/>
      <c r="H499" s="53">
        <f t="shared" si="1"/>
        <v>0</v>
      </c>
      <c r="I499" s="115"/>
      <c r="J499" s="115"/>
      <c r="K499" s="60">
        <f t="shared" si="2"/>
        <v>0</v>
      </c>
      <c r="L499" s="117"/>
    </row>
    <row r="500" ht="15.75" customHeight="1">
      <c r="A500" s="9"/>
      <c r="B500" s="164"/>
      <c r="C500" s="110"/>
      <c r="D500" s="156"/>
      <c r="E500" s="111"/>
      <c r="F500" s="112"/>
      <c r="G500" s="113"/>
      <c r="H500" s="53">
        <f t="shared" si="1"/>
        <v>0</v>
      </c>
      <c r="I500" s="115"/>
      <c r="J500" s="115"/>
      <c r="K500" s="60">
        <f t="shared" si="2"/>
        <v>0</v>
      </c>
      <c r="L500" s="117"/>
    </row>
    <row r="501" ht="15.75" customHeight="1">
      <c r="A501" s="9"/>
      <c r="B501" s="164"/>
      <c r="C501" s="110"/>
      <c r="D501" s="156"/>
      <c r="E501" s="111"/>
      <c r="F501" s="112"/>
      <c r="G501" s="113"/>
      <c r="H501" s="53">
        <f t="shared" si="1"/>
        <v>0</v>
      </c>
      <c r="I501" s="115"/>
      <c r="J501" s="115"/>
      <c r="K501" s="60">
        <f t="shared" si="2"/>
        <v>0</v>
      </c>
      <c r="L501" s="117"/>
    </row>
    <row r="502" ht="15.75" customHeight="1">
      <c r="A502" s="9"/>
      <c r="B502" s="164"/>
      <c r="C502" s="110"/>
      <c r="D502" s="156"/>
      <c r="E502" s="111"/>
      <c r="F502" s="112"/>
      <c r="G502" s="113"/>
      <c r="H502" s="53">
        <f t="shared" si="1"/>
        <v>0</v>
      </c>
      <c r="I502" s="115"/>
      <c r="J502" s="115"/>
      <c r="K502" s="60">
        <f t="shared" si="2"/>
        <v>0</v>
      </c>
      <c r="L502" s="117"/>
    </row>
    <row r="503" ht="15.75" customHeight="1">
      <c r="A503" s="9"/>
      <c r="B503" s="164"/>
      <c r="C503" s="110"/>
      <c r="D503" s="156"/>
      <c r="E503" s="111"/>
      <c r="F503" s="112"/>
      <c r="G503" s="113"/>
      <c r="H503" s="53">
        <f t="shared" si="1"/>
        <v>0</v>
      </c>
      <c r="I503" s="115"/>
      <c r="J503" s="115"/>
      <c r="K503" s="60">
        <f t="shared" si="2"/>
        <v>0</v>
      </c>
      <c r="L503" s="117"/>
    </row>
    <row r="504" ht="15.75" customHeight="1">
      <c r="A504" s="9"/>
      <c r="B504" s="164"/>
      <c r="C504" s="110"/>
      <c r="D504" s="156"/>
      <c r="E504" s="111"/>
      <c r="F504" s="112"/>
      <c r="G504" s="113"/>
      <c r="H504" s="53">
        <f t="shared" si="1"/>
        <v>0</v>
      </c>
      <c r="I504" s="115"/>
      <c r="J504" s="115"/>
      <c r="K504" s="60">
        <f t="shared" si="2"/>
        <v>0</v>
      </c>
      <c r="L504" s="117"/>
    </row>
    <row r="505" ht="15.75" customHeight="1">
      <c r="A505" s="9"/>
      <c r="B505" s="164"/>
      <c r="C505" s="110"/>
      <c r="D505" s="156"/>
      <c r="E505" s="111"/>
      <c r="F505" s="112"/>
      <c r="G505" s="113"/>
      <c r="H505" s="53">
        <f t="shared" si="1"/>
        <v>0</v>
      </c>
      <c r="I505" s="115"/>
      <c r="J505" s="115"/>
      <c r="K505" s="60">
        <f t="shared" si="2"/>
        <v>0</v>
      </c>
      <c r="L505" s="117"/>
    </row>
    <row r="506" ht="15.75" customHeight="1">
      <c r="A506" s="9"/>
      <c r="B506" s="164"/>
      <c r="C506" s="110"/>
      <c r="D506" s="156"/>
      <c r="E506" s="111"/>
      <c r="F506" s="112"/>
      <c r="G506" s="113"/>
      <c r="H506" s="53">
        <f t="shared" si="1"/>
        <v>0</v>
      </c>
      <c r="I506" s="115"/>
      <c r="J506" s="115"/>
      <c r="K506" s="60">
        <f t="shared" si="2"/>
        <v>0</v>
      </c>
      <c r="L506" s="117"/>
    </row>
    <row r="507" ht="15.75" customHeight="1">
      <c r="A507" s="9"/>
      <c r="B507" s="164"/>
      <c r="C507" s="110"/>
      <c r="D507" s="156"/>
      <c r="E507" s="111"/>
      <c r="F507" s="112"/>
      <c r="G507" s="113"/>
      <c r="H507" s="53">
        <f t="shared" si="1"/>
        <v>0</v>
      </c>
      <c r="I507" s="115"/>
      <c r="J507" s="115"/>
      <c r="K507" s="60">
        <f t="shared" si="2"/>
        <v>0</v>
      </c>
      <c r="L507" s="117"/>
    </row>
    <row r="508" ht="15.75" customHeight="1">
      <c r="A508" s="9"/>
      <c r="B508" s="164"/>
      <c r="C508" s="110"/>
      <c r="D508" s="156"/>
      <c r="E508" s="111"/>
      <c r="F508" s="112"/>
      <c r="G508" s="113"/>
      <c r="H508" s="53">
        <f t="shared" si="1"/>
        <v>0</v>
      </c>
      <c r="I508" s="115"/>
      <c r="J508" s="115"/>
      <c r="K508" s="60">
        <f t="shared" si="2"/>
        <v>0</v>
      </c>
      <c r="L508" s="117"/>
    </row>
    <row r="509" ht="15.75" customHeight="1">
      <c r="A509" s="9"/>
      <c r="B509" s="164"/>
      <c r="C509" s="110"/>
      <c r="D509" s="156"/>
      <c r="E509" s="111"/>
      <c r="F509" s="112"/>
      <c r="G509" s="113"/>
      <c r="H509" s="53">
        <f t="shared" si="1"/>
        <v>0</v>
      </c>
      <c r="I509" s="115"/>
      <c r="J509" s="115"/>
      <c r="K509" s="60">
        <f t="shared" si="2"/>
        <v>0</v>
      </c>
      <c r="L509" s="117"/>
    </row>
    <row r="510" ht="15.75" customHeight="1">
      <c r="A510" s="9"/>
      <c r="B510" s="164"/>
      <c r="C510" s="110"/>
      <c r="D510" s="156"/>
      <c r="E510" s="111"/>
      <c r="F510" s="112"/>
      <c r="G510" s="113"/>
      <c r="H510" s="53">
        <f t="shared" si="1"/>
        <v>0</v>
      </c>
      <c r="I510" s="115"/>
      <c r="J510" s="115"/>
      <c r="K510" s="60">
        <f t="shared" si="2"/>
        <v>0</v>
      </c>
      <c r="L510" s="117"/>
    </row>
    <row r="511" ht="15.75" customHeight="1">
      <c r="A511" s="9"/>
      <c r="B511" s="164"/>
      <c r="C511" s="110"/>
      <c r="D511" s="156"/>
      <c r="E511" s="111"/>
      <c r="F511" s="112"/>
      <c r="G511" s="113"/>
      <c r="H511" s="53">
        <f t="shared" si="1"/>
        <v>0</v>
      </c>
      <c r="I511" s="115"/>
      <c r="J511" s="115"/>
      <c r="K511" s="60">
        <f t="shared" si="2"/>
        <v>0</v>
      </c>
      <c r="L511" s="117"/>
    </row>
    <row r="512" ht="15.75" customHeight="1">
      <c r="A512" s="9"/>
      <c r="B512" s="164"/>
      <c r="C512" s="110"/>
      <c r="D512" s="156"/>
      <c r="E512" s="111"/>
      <c r="F512" s="112"/>
      <c r="G512" s="113"/>
      <c r="H512" s="53">
        <f t="shared" si="1"/>
        <v>0</v>
      </c>
      <c r="I512" s="115"/>
      <c r="J512" s="115"/>
      <c r="K512" s="60">
        <f t="shared" si="2"/>
        <v>0</v>
      </c>
      <c r="L512" s="117"/>
    </row>
    <row r="513" ht="15.75" customHeight="1">
      <c r="A513" s="9"/>
      <c r="B513" s="164"/>
      <c r="C513" s="110"/>
      <c r="D513" s="156"/>
      <c r="E513" s="111"/>
      <c r="F513" s="112"/>
      <c r="G513" s="113"/>
      <c r="H513" s="53">
        <f t="shared" si="1"/>
        <v>0</v>
      </c>
      <c r="I513" s="115"/>
      <c r="J513" s="115"/>
      <c r="K513" s="60">
        <f t="shared" si="2"/>
        <v>0</v>
      </c>
      <c r="L513" s="117"/>
    </row>
    <row r="514" ht="15.75" customHeight="1">
      <c r="A514" s="9"/>
      <c r="B514" s="164"/>
      <c r="C514" s="110"/>
      <c r="D514" s="156"/>
      <c r="E514" s="111"/>
      <c r="F514" s="112"/>
      <c r="G514" s="113"/>
      <c r="H514" s="53">
        <f t="shared" si="1"/>
        <v>0</v>
      </c>
      <c r="I514" s="115"/>
      <c r="J514" s="115"/>
      <c r="K514" s="60">
        <f t="shared" si="2"/>
        <v>0</v>
      </c>
      <c r="L514" s="117"/>
    </row>
    <row r="515" ht="15.75" customHeight="1">
      <c r="A515" s="9"/>
      <c r="B515" s="164"/>
      <c r="C515" s="110"/>
      <c r="D515" s="156"/>
      <c r="E515" s="111"/>
      <c r="F515" s="112"/>
      <c r="G515" s="113"/>
      <c r="H515" s="53">
        <f t="shared" si="1"/>
        <v>0</v>
      </c>
      <c r="I515" s="115"/>
      <c r="J515" s="115"/>
      <c r="K515" s="60">
        <f t="shared" si="2"/>
        <v>0</v>
      </c>
      <c r="L515" s="117"/>
    </row>
    <row r="516" ht="15.75" customHeight="1">
      <c r="A516" s="9"/>
      <c r="B516" s="164"/>
      <c r="C516" s="110"/>
      <c r="D516" s="156"/>
      <c r="E516" s="111"/>
      <c r="F516" s="112"/>
      <c r="G516" s="113"/>
      <c r="H516" s="53">
        <f t="shared" si="1"/>
        <v>0</v>
      </c>
      <c r="I516" s="115"/>
      <c r="J516" s="115"/>
      <c r="K516" s="60">
        <f t="shared" si="2"/>
        <v>0</v>
      </c>
      <c r="L516" s="117"/>
    </row>
    <row r="517" ht="15.75" customHeight="1">
      <c r="A517" s="9"/>
      <c r="B517" s="164"/>
      <c r="C517" s="110"/>
      <c r="D517" s="156"/>
      <c r="E517" s="111"/>
      <c r="F517" s="112"/>
      <c r="G517" s="113"/>
      <c r="H517" s="53">
        <f t="shared" si="1"/>
        <v>0</v>
      </c>
      <c r="I517" s="115"/>
      <c r="J517" s="115"/>
      <c r="K517" s="60">
        <f t="shared" si="2"/>
        <v>0</v>
      </c>
      <c r="L517" s="117"/>
    </row>
    <row r="518" ht="15.75" customHeight="1">
      <c r="A518" s="9"/>
      <c r="B518" s="164"/>
      <c r="C518" s="110"/>
      <c r="D518" s="156"/>
      <c r="E518" s="111"/>
      <c r="F518" s="112"/>
      <c r="G518" s="113"/>
      <c r="H518" s="53">
        <f t="shared" si="1"/>
        <v>0</v>
      </c>
      <c r="I518" s="115"/>
      <c r="J518" s="115"/>
      <c r="K518" s="60">
        <f t="shared" si="2"/>
        <v>0</v>
      </c>
      <c r="L518" s="117"/>
    </row>
    <row r="519" ht="15.75" customHeight="1">
      <c r="A519" s="9"/>
      <c r="B519" s="164"/>
      <c r="C519" s="110"/>
      <c r="D519" s="156"/>
      <c r="E519" s="111"/>
      <c r="F519" s="112"/>
      <c r="G519" s="113"/>
      <c r="H519" s="53">
        <f t="shared" si="1"/>
        <v>0</v>
      </c>
      <c r="I519" s="115"/>
      <c r="J519" s="115"/>
      <c r="K519" s="60">
        <f t="shared" si="2"/>
        <v>0</v>
      </c>
      <c r="L519" s="117"/>
    </row>
    <row r="520" ht="15.75" customHeight="1">
      <c r="A520" s="9"/>
      <c r="B520" s="164"/>
      <c r="C520" s="110"/>
      <c r="D520" s="156"/>
      <c r="E520" s="111"/>
      <c r="F520" s="112"/>
      <c r="G520" s="113"/>
      <c r="H520" s="53">
        <f t="shared" si="1"/>
        <v>0</v>
      </c>
      <c r="I520" s="115"/>
      <c r="J520" s="115"/>
      <c r="K520" s="60">
        <f t="shared" si="2"/>
        <v>0</v>
      </c>
      <c r="L520" s="117"/>
    </row>
    <row r="521" ht="15.75" customHeight="1">
      <c r="A521" s="9"/>
      <c r="B521" s="164"/>
      <c r="C521" s="110"/>
      <c r="D521" s="156"/>
      <c r="E521" s="111"/>
      <c r="F521" s="112"/>
      <c r="G521" s="113"/>
      <c r="H521" s="53">
        <f t="shared" si="1"/>
        <v>0</v>
      </c>
      <c r="I521" s="115"/>
      <c r="J521" s="115"/>
      <c r="K521" s="60">
        <f t="shared" si="2"/>
        <v>0</v>
      </c>
      <c r="L521" s="117"/>
    </row>
    <row r="522" ht="15.75" customHeight="1">
      <c r="A522" s="9"/>
      <c r="B522" s="164"/>
      <c r="C522" s="110"/>
      <c r="D522" s="156"/>
      <c r="E522" s="111"/>
      <c r="F522" s="112"/>
      <c r="G522" s="113"/>
      <c r="H522" s="53">
        <f t="shared" si="1"/>
        <v>0</v>
      </c>
      <c r="I522" s="115"/>
      <c r="J522" s="115"/>
      <c r="K522" s="60">
        <f t="shared" si="2"/>
        <v>0</v>
      </c>
      <c r="L522" s="117"/>
    </row>
    <row r="523" ht="15.75" customHeight="1">
      <c r="A523" s="9"/>
      <c r="B523" s="164"/>
      <c r="C523" s="110"/>
      <c r="D523" s="156"/>
      <c r="E523" s="111"/>
      <c r="F523" s="112"/>
      <c r="G523" s="113"/>
      <c r="H523" s="53">
        <f t="shared" si="1"/>
        <v>0</v>
      </c>
      <c r="I523" s="115"/>
      <c r="J523" s="115"/>
      <c r="K523" s="60">
        <f t="shared" si="2"/>
        <v>0</v>
      </c>
      <c r="L523" s="117"/>
    </row>
    <row r="524" ht="15.75" customHeight="1">
      <c r="A524" s="9"/>
      <c r="B524" s="164"/>
      <c r="C524" s="110"/>
      <c r="D524" s="156"/>
      <c r="E524" s="111"/>
      <c r="F524" s="112"/>
      <c r="G524" s="113"/>
      <c r="H524" s="53">
        <f t="shared" si="1"/>
        <v>0</v>
      </c>
      <c r="I524" s="115"/>
      <c r="J524" s="115"/>
      <c r="K524" s="60">
        <f t="shared" si="2"/>
        <v>0</v>
      </c>
      <c r="L524" s="117"/>
    </row>
    <row r="525" ht="15.75" customHeight="1">
      <c r="A525" s="9"/>
      <c r="B525" s="164"/>
      <c r="C525" s="110"/>
      <c r="D525" s="156"/>
      <c r="E525" s="111"/>
      <c r="F525" s="112"/>
      <c r="G525" s="113"/>
      <c r="H525" s="53">
        <f t="shared" si="1"/>
        <v>0</v>
      </c>
      <c r="I525" s="115"/>
      <c r="J525" s="115"/>
      <c r="K525" s="60">
        <f t="shared" si="2"/>
        <v>0</v>
      </c>
      <c r="L525" s="117"/>
    </row>
    <row r="526" ht="15.75" customHeight="1">
      <c r="A526" s="9"/>
      <c r="B526" s="164"/>
      <c r="C526" s="110"/>
      <c r="D526" s="156"/>
      <c r="E526" s="111"/>
      <c r="F526" s="112"/>
      <c r="G526" s="113"/>
      <c r="H526" s="53">
        <f t="shared" si="1"/>
        <v>0</v>
      </c>
      <c r="I526" s="115"/>
      <c r="J526" s="115"/>
      <c r="K526" s="60">
        <f t="shared" si="2"/>
        <v>0</v>
      </c>
      <c r="L526" s="117"/>
    </row>
    <row r="527" ht="15.75" customHeight="1">
      <c r="A527" s="9"/>
      <c r="B527" s="164"/>
      <c r="C527" s="110"/>
      <c r="D527" s="156"/>
      <c r="E527" s="111"/>
      <c r="F527" s="112"/>
      <c r="G527" s="113"/>
      <c r="H527" s="53">
        <f t="shared" si="1"/>
        <v>0</v>
      </c>
      <c r="I527" s="115"/>
      <c r="J527" s="115"/>
      <c r="K527" s="60">
        <f t="shared" si="2"/>
        <v>0</v>
      </c>
      <c r="L527" s="117"/>
    </row>
    <row r="528" ht="15.75" customHeight="1">
      <c r="A528" s="9"/>
      <c r="B528" s="164"/>
      <c r="C528" s="110"/>
      <c r="D528" s="156"/>
      <c r="E528" s="111"/>
      <c r="F528" s="112"/>
      <c r="G528" s="113"/>
      <c r="H528" s="53">
        <f t="shared" si="1"/>
        <v>0</v>
      </c>
      <c r="I528" s="115"/>
      <c r="J528" s="115"/>
      <c r="K528" s="60">
        <f t="shared" si="2"/>
        <v>0</v>
      </c>
      <c r="L528" s="117"/>
    </row>
    <row r="529" ht="15.75" customHeight="1">
      <c r="A529" s="9"/>
      <c r="B529" s="164"/>
      <c r="C529" s="110"/>
      <c r="D529" s="156"/>
      <c r="E529" s="111"/>
      <c r="F529" s="112"/>
      <c r="G529" s="113"/>
      <c r="H529" s="53">
        <f t="shared" si="1"/>
        <v>0</v>
      </c>
      <c r="I529" s="115"/>
      <c r="J529" s="115"/>
      <c r="K529" s="60">
        <f t="shared" si="2"/>
        <v>0</v>
      </c>
      <c r="L529" s="117"/>
    </row>
    <row r="530" ht="15.75" customHeight="1">
      <c r="A530" s="9"/>
      <c r="B530" s="164"/>
      <c r="C530" s="110"/>
      <c r="D530" s="156"/>
      <c r="E530" s="111"/>
      <c r="F530" s="112"/>
      <c r="G530" s="113"/>
      <c r="H530" s="53">
        <f t="shared" si="1"/>
        <v>0</v>
      </c>
      <c r="I530" s="115"/>
      <c r="J530" s="115"/>
      <c r="K530" s="60">
        <f t="shared" si="2"/>
        <v>0</v>
      </c>
      <c r="L530" s="117"/>
    </row>
    <row r="531" ht="15.75" customHeight="1">
      <c r="A531" s="9"/>
      <c r="B531" s="164"/>
      <c r="C531" s="110"/>
      <c r="D531" s="156"/>
      <c r="E531" s="111"/>
      <c r="F531" s="112"/>
      <c r="G531" s="113"/>
      <c r="H531" s="53">
        <f t="shared" si="1"/>
        <v>0</v>
      </c>
      <c r="I531" s="115"/>
      <c r="J531" s="115"/>
      <c r="K531" s="60">
        <f t="shared" si="2"/>
        <v>0</v>
      </c>
      <c r="L531" s="117"/>
    </row>
    <row r="532" ht="15.75" customHeight="1">
      <c r="A532" s="9"/>
      <c r="B532" s="164"/>
      <c r="C532" s="110"/>
      <c r="D532" s="156"/>
      <c r="E532" s="111"/>
      <c r="F532" s="112"/>
      <c r="G532" s="113"/>
      <c r="H532" s="53">
        <f t="shared" si="1"/>
        <v>0</v>
      </c>
      <c r="I532" s="115"/>
      <c r="J532" s="115"/>
      <c r="K532" s="60">
        <f t="shared" si="2"/>
        <v>0</v>
      </c>
      <c r="L532" s="117"/>
    </row>
    <row r="533" ht="15.75" customHeight="1">
      <c r="A533" s="9"/>
      <c r="B533" s="164"/>
      <c r="C533" s="110"/>
      <c r="D533" s="156"/>
      <c r="E533" s="111"/>
      <c r="F533" s="112"/>
      <c r="G533" s="113"/>
      <c r="H533" s="53">
        <f t="shared" si="1"/>
        <v>0</v>
      </c>
      <c r="I533" s="115"/>
      <c r="J533" s="115"/>
      <c r="K533" s="60">
        <f t="shared" si="2"/>
        <v>0</v>
      </c>
      <c r="L533" s="117"/>
    </row>
    <row r="534" ht="15.75" customHeight="1">
      <c r="A534" s="9"/>
      <c r="B534" s="164"/>
      <c r="C534" s="110"/>
      <c r="D534" s="156"/>
      <c r="E534" s="111"/>
      <c r="F534" s="112"/>
      <c r="G534" s="113"/>
      <c r="H534" s="53">
        <f t="shared" si="1"/>
        <v>0</v>
      </c>
      <c r="I534" s="115"/>
      <c r="J534" s="115"/>
      <c r="K534" s="60">
        <f t="shared" si="2"/>
        <v>0</v>
      </c>
      <c r="L534" s="117"/>
    </row>
    <row r="535" ht="15.75" customHeight="1">
      <c r="A535" s="9"/>
      <c r="B535" s="164"/>
      <c r="C535" s="110"/>
      <c r="D535" s="156"/>
      <c r="E535" s="111"/>
      <c r="F535" s="112"/>
      <c r="G535" s="113"/>
      <c r="H535" s="53">
        <f t="shared" si="1"/>
        <v>0</v>
      </c>
      <c r="I535" s="115"/>
      <c r="J535" s="115"/>
      <c r="K535" s="60">
        <f t="shared" si="2"/>
        <v>0</v>
      </c>
      <c r="L535" s="117"/>
    </row>
    <row r="536" ht="15.75" customHeight="1">
      <c r="A536" s="9"/>
      <c r="B536" s="164"/>
      <c r="C536" s="110"/>
      <c r="D536" s="156"/>
      <c r="E536" s="111"/>
      <c r="F536" s="112"/>
      <c r="G536" s="113"/>
      <c r="H536" s="53">
        <f t="shared" si="1"/>
        <v>0</v>
      </c>
      <c r="I536" s="115"/>
      <c r="J536" s="115"/>
      <c r="K536" s="60">
        <f t="shared" si="2"/>
        <v>0</v>
      </c>
      <c r="L536" s="117"/>
    </row>
    <row r="537" ht="15.75" customHeight="1">
      <c r="A537" s="9"/>
      <c r="B537" s="164"/>
      <c r="C537" s="110"/>
      <c r="D537" s="156"/>
      <c r="E537" s="111"/>
      <c r="F537" s="112"/>
      <c r="G537" s="113"/>
      <c r="H537" s="53">
        <f t="shared" si="1"/>
        <v>0</v>
      </c>
      <c r="I537" s="115"/>
      <c r="J537" s="115"/>
      <c r="K537" s="60">
        <f t="shared" si="2"/>
        <v>0</v>
      </c>
      <c r="L537" s="117"/>
    </row>
    <row r="538" ht="15.75" customHeight="1">
      <c r="A538" s="9"/>
      <c r="B538" s="164"/>
      <c r="C538" s="110"/>
      <c r="D538" s="156"/>
      <c r="E538" s="111"/>
      <c r="F538" s="112"/>
      <c r="G538" s="113"/>
      <c r="H538" s="53">
        <f t="shared" si="1"/>
        <v>0</v>
      </c>
      <c r="I538" s="115"/>
      <c r="J538" s="115"/>
      <c r="K538" s="60">
        <f t="shared" si="2"/>
        <v>0</v>
      </c>
      <c r="L538" s="117"/>
    </row>
    <row r="539" ht="15.75" customHeight="1">
      <c r="A539" s="9"/>
      <c r="B539" s="164"/>
      <c r="C539" s="110"/>
      <c r="D539" s="156"/>
      <c r="E539" s="111"/>
      <c r="F539" s="112"/>
      <c r="G539" s="113"/>
      <c r="H539" s="53">
        <f t="shared" si="1"/>
        <v>0</v>
      </c>
      <c r="I539" s="115"/>
      <c r="J539" s="115"/>
      <c r="K539" s="60">
        <f t="shared" si="2"/>
        <v>0</v>
      </c>
      <c r="L539" s="117"/>
    </row>
    <row r="540" ht="15.75" customHeight="1">
      <c r="A540" s="9"/>
      <c r="B540" s="164"/>
      <c r="C540" s="110"/>
      <c r="D540" s="156"/>
      <c r="E540" s="111"/>
      <c r="F540" s="112"/>
      <c r="G540" s="113"/>
      <c r="H540" s="53">
        <f t="shared" si="1"/>
        <v>0</v>
      </c>
      <c r="I540" s="115"/>
      <c r="J540" s="115"/>
      <c r="K540" s="60">
        <f t="shared" si="2"/>
        <v>0</v>
      </c>
      <c r="L540" s="117"/>
    </row>
    <row r="541" ht="15.75" customHeight="1">
      <c r="A541" s="9"/>
      <c r="B541" s="164"/>
      <c r="C541" s="110"/>
      <c r="D541" s="156"/>
      <c r="E541" s="111"/>
      <c r="F541" s="112"/>
      <c r="G541" s="113"/>
      <c r="H541" s="53">
        <f t="shared" si="1"/>
        <v>0</v>
      </c>
      <c r="I541" s="115"/>
      <c r="J541" s="115"/>
      <c r="K541" s="60">
        <f t="shared" si="2"/>
        <v>0</v>
      </c>
      <c r="L541" s="117"/>
    </row>
    <row r="542" ht="15.75" customHeight="1">
      <c r="A542" s="9"/>
      <c r="B542" s="164"/>
      <c r="C542" s="110"/>
      <c r="D542" s="156"/>
      <c r="E542" s="111"/>
      <c r="F542" s="112"/>
      <c r="G542" s="113"/>
      <c r="H542" s="53">
        <f t="shared" si="1"/>
        <v>0</v>
      </c>
      <c r="I542" s="115"/>
      <c r="J542" s="115"/>
      <c r="K542" s="60">
        <f t="shared" si="2"/>
        <v>0</v>
      </c>
      <c r="L542" s="117"/>
    </row>
    <row r="543" ht="15.75" customHeight="1">
      <c r="A543" s="9"/>
      <c r="B543" s="164"/>
      <c r="C543" s="110"/>
      <c r="D543" s="156"/>
      <c r="E543" s="111"/>
      <c r="F543" s="112"/>
      <c r="G543" s="113"/>
      <c r="H543" s="53">
        <f t="shared" si="1"/>
        <v>0</v>
      </c>
      <c r="I543" s="115"/>
      <c r="J543" s="115"/>
      <c r="K543" s="60">
        <f t="shared" si="2"/>
        <v>0</v>
      </c>
      <c r="L543" s="117"/>
    </row>
    <row r="544" ht="15.75" customHeight="1">
      <c r="A544" s="9"/>
      <c r="B544" s="164"/>
      <c r="C544" s="110"/>
      <c r="D544" s="156"/>
      <c r="E544" s="111"/>
      <c r="F544" s="112"/>
      <c r="G544" s="113"/>
      <c r="H544" s="53">
        <f t="shared" si="1"/>
        <v>0</v>
      </c>
      <c r="I544" s="115"/>
      <c r="J544" s="115"/>
      <c r="K544" s="60">
        <f t="shared" si="2"/>
        <v>0</v>
      </c>
      <c r="L544" s="117"/>
    </row>
    <row r="545" ht="15.75" customHeight="1">
      <c r="A545" s="9"/>
      <c r="B545" s="164"/>
      <c r="C545" s="110"/>
      <c r="D545" s="156"/>
      <c r="E545" s="111"/>
      <c r="F545" s="112"/>
      <c r="G545" s="113"/>
      <c r="H545" s="53">
        <f t="shared" si="1"/>
        <v>0</v>
      </c>
      <c r="I545" s="115"/>
      <c r="J545" s="115"/>
      <c r="K545" s="60">
        <f t="shared" si="2"/>
        <v>0</v>
      </c>
      <c r="L545" s="117"/>
    </row>
    <row r="546" ht="15.75" customHeight="1">
      <c r="A546" s="9"/>
      <c r="B546" s="164"/>
      <c r="C546" s="110"/>
      <c r="D546" s="156"/>
      <c r="E546" s="111"/>
      <c r="F546" s="112"/>
      <c r="G546" s="113"/>
      <c r="H546" s="53">
        <f t="shared" si="1"/>
        <v>0</v>
      </c>
      <c r="I546" s="115"/>
      <c r="J546" s="115"/>
      <c r="K546" s="60">
        <f t="shared" si="2"/>
        <v>0</v>
      </c>
      <c r="L546" s="117"/>
    </row>
    <row r="547" ht="15.75" customHeight="1">
      <c r="A547" s="9"/>
      <c r="B547" s="164"/>
      <c r="C547" s="110"/>
      <c r="D547" s="156"/>
      <c r="E547" s="111"/>
      <c r="F547" s="112"/>
      <c r="G547" s="113"/>
      <c r="H547" s="53">
        <f t="shared" si="1"/>
        <v>0</v>
      </c>
      <c r="I547" s="115"/>
      <c r="J547" s="115"/>
      <c r="K547" s="60">
        <f t="shared" si="2"/>
        <v>0</v>
      </c>
      <c r="L547" s="117"/>
    </row>
    <row r="548" ht="15.75" customHeight="1">
      <c r="A548" s="9"/>
      <c r="B548" s="164"/>
      <c r="C548" s="110"/>
      <c r="D548" s="156"/>
      <c r="E548" s="111"/>
      <c r="F548" s="112"/>
      <c r="G548" s="113"/>
      <c r="H548" s="53">
        <f t="shared" si="1"/>
        <v>0</v>
      </c>
      <c r="I548" s="115"/>
      <c r="J548" s="115"/>
      <c r="K548" s="60">
        <f t="shared" si="2"/>
        <v>0</v>
      </c>
      <c r="L548" s="117"/>
    </row>
    <row r="549" ht="15.75" customHeight="1">
      <c r="A549" s="9"/>
      <c r="B549" s="164"/>
      <c r="C549" s="110"/>
      <c r="D549" s="156"/>
      <c r="E549" s="111"/>
      <c r="F549" s="112"/>
      <c r="G549" s="113"/>
      <c r="H549" s="53">
        <f t="shared" si="1"/>
        <v>0</v>
      </c>
      <c r="I549" s="115"/>
      <c r="J549" s="115"/>
      <c r="K549" s="60">
        <f t="shared" si="2"/>
        <v>0</v>
      </c>
      <c r="L549" s="117"/>
    </row>
    <row r="550" ht="15.75" customHeight="1">
      <c r="A550" s="9"/>
      <c r="B550" s="164"/>
      <c r="C550" s="110"/>
      <c r="D550" s="156"/>
      <c r="E550" s="111"/>
      <c r="F550" s="112"/>
      <c r="G550" s="113"/>
      <c r="H550" s="53">
        <f t="shared" si="1"/>
        <v>0</v>
      </c>
      <c r="I550" s="115"/>
      <c r="J550" s="115"/>
      <c r="K550" s="60">
        <f t="shared" si="2"/>
        <v>0</v>
      </c>
      <c r="L550" s="117"/>
    </row>
    <row r="551" ht="15.75" customHeight="1">
      <c r="A551" s="9"/>
      <c r="B551" s="164"/>
      <c r="C551" s="110"/>
      <c r="D551" s="156"/>
      <c r="E551" s="111"/>
      <c r="F551" s="112"/>
      <c r="G551" s="113"/>
      <c r="H551" s="53">
        <f t="shared" si="1"/>
        <v>0</v>
      </c>
      <c r="I551" s="115"/>
      <c r="J551" s="115"/>
      <c r="K551" s="60">
        <f t="shared" si="2"/>
        <v>0</v>
      </c>
      <c r="L551" s="117"/>
    </row>
    <row r="552" ht="15.75" customHeight="1">
      <c r="A552" s="9"/>
      <c r="B552" s="164"/>
      <c r="C552" s="110"/>
      <c r="D552" s="156"/>
      <c r="E552" s="111"/>
      <c r="F552" s="112"/>
      <c r="G552" s="113"/>
      <c r="H552" s="53">
        <f t="shared" si="1"/>
        <v>0</v>
      </c>
      <c r="I552" s="115"/>
      <c r="J552" s="115"/>
      <c r="K552" s="60">
        <f t="shared" si="2"/>
        <v>0</v>
      </c>
      <c r="L552" s="117"/>
    </row>
    <row r="553" ht="15.75" customHeight="1">
      <c r="A553" s="9"/>
      <c r="B553" s="164"/>
      <c r="C553" s="110"/>
      <c r="D553" s="156"/>
      <c r="E553" s="111"/>
      <c r="F553" s="112"/>
      <c r="G553" s="113"/>
      <c r="H553" s="53">
        <f t="shared" si="1"/>
        <v>0</v>
      </c>
      <c r="I553" s="115"/>
      <c r="J553" s="115"/>
      <c r="K553" s="60">
        <f t="shared" si="2"/>
        <v>0</v>
      </c>
      <c r="L553" s="117"/>
    </row>
    <row r="554" ht="15.75" customHeight="1">
      <c r="A554" s="9"/>
      <c r="B554" s="164"/>
      <c r="C554" s="110"/>
      <c r="D554" s="156"/>
      <c r="E554" s="111"/>
      <c r="F554" s="112"/>
      <c r="G554" s="113"/>
      <c r="H554" s="53">
        <f t="shared" si="1"/>
        <v>0</v>
      </c>
      <c r="I554" s="115"/>
      <c r="J554" s="115"/>
      <c r="K554" s="60">
        <f t="shared" si="2"/>
        <v>0</v>
      </c>
      <c r="L554" s="117"/>
    </row>
    <row r="555" ht="15.75" customHeight="1">
      <c r="A555" s="9"/>
      <c r="B555" s="164"/>
      <c r="C555" s="110"/>
      <c r="D555" s="156"/>
      <c r="E555" s="111"/>
      <c r="F555" s="112"/>
      <c r="G555" s="113"/>
      <c r="H555" s="53">
        <f t="shared" si="1"/>
        <v>0</v>
      </c>
      <c r="I555" s="115"/>
      <c r="J555" s="115"/>
      <c r="K555" s="60">
        <f t="shared" si="2"/>
        <v>0</v>
      </c>
      <c r="L555" s="117"/>
    </row>
    <row r="556" ht="15.75" customHeight="1">
      <c r="A556" s="9"/>
      <c r="B556" s="164"/>
      <c r="C556" s="110"/>
      <c r="D556" s="156"/>
      <c r="E556" s="111"/>
      <c r="F556" s="112"/>
      <c r="G556" s="113"/>
      <c r="H556" s="53">
        <f t="shared" si="1"/>
        <v>0</v>
      </c>
      <c r="I556" s="115"/>
      <c r="J556" s="115"/>
      <c r="K556" s="60">
        <f t="shared" si="2"/>
        <v>0</v>
      </c>
      <c r="L556" s="117"/>
    </row>
    <row r="557" ht="15.75" customHeight="1">
      <c r="A557" s="9"/>
      <c r="B557" s="164"/>
      <c r="C557" s="110"/>
      <c r="D557" s="156"/>
      <c r="E557" s="111"/>
      <c r="F557" s="112"/>
      <c r="G557" s="113"/>
      <c r="H557" s="53">
        <f t="shared" si="1"/>
        <v>0</v>
      </c>
      <c r="I557" s="115"/>
      <c r="J557" s="115"/>
      <c r="K557" s="60">
        <f t="shared" si="2"/>
        <v>0</v>
      </c>
      <c r="L557" s="117"/>
    </row>
    <row r="558" ht="15.75" customHeight="1">
      <c r="A558" s="9"/>
      <c r="B558" s="164"/>
      <c r="C558" s="110"/>
      <c r="D558" s="156"/>
      <c r="E558" s="111"/>
      <c r="F558" s="112"/>
      <c r="G558" s="113"/>
      <c r="H558" s="53">
        <f t="shared" si="1"/>
        <v>0</v>
      </c>
      <c r="I558" s="115"/>
      <c r="J558" s="115"/>
      <c r="K558" s="60">
        <f t="shared" si="2"/>
        <v>0</v>
      </c>
      <c r="L558" s="117"/>
    </row>
    <row r="559" ht="15.75" customHeight="1">
      <c r="A559" s="9"/>
      <c r="B559" s="164"/>
      <c r="C559" s="110"/>
      <c r="D559" s="156"/>
      <c r="E559" s="111"/>
      <c r="F559" s="112"/>
      <c r="G559" s="113"/>
      <c r="H559" s="53">
        <f t="shared" si="1"/>
        <v>0</v>
      </c>
      <c r="I559" s="115"/>
      <c r="J559" s="115"/>
      <c r="K559" s="60">
        <f t="shared" si="2"/>
        <v>0</v>
      </c>
      <c r="L559" s="117"/>
    </row>
    <row r="560" ht="15.75" customHeight="1">
      <c r="A560" s="9"/>
      <c r="B560" s="164"/>
      <c r="C560" s="110"/>
      <c r="D560" s="156"/>
      <c r="E560" s="111"/>
      <c r="F560" s="112"/>
      <c r="G560" s="113"/>
      <c r="H560" s="53">
        <f t="shared" si="1"/>
        <v>0</v>
      </c>
      <c r="I560" s="115"/>
      <c r="J560" s="115"/>
      <c r="K560" s="60">
        <f t="shared" si="2"/>
        <v>0</v>
      </c>
      <c r="L560" s="117"/>
    </row>
    <row r="561" ht="15.75" customHeight="1">
      <c r="A561" s="9"/>
      <c r="B561" s="164"/>
      <c r="C561" s="110"/>
      <c r="D561" s="156"/>
      <c r="E561" s="111"/>
      <c r="F561" s="112"/>
      <c r="G561" s="113"/>
      <c r="H561" s="53">
        <f t="shared" si="1"/>
        <v>0</v>
      </c>
      <c r="I561" s="115"/>
      <c r="J561" s="115"/>
      <c r="K561" s="60">
        <f t="shared" si="2"/>
        <v>0</v>
      </c>
      <c r="L561" s="117"/>
    </row>
    <row r="562" ht="15.75" customHeight="1">
      <c r="A562" s="9"/>
      <c r="B562" s="164"/>
      <c r="C562" s="110"/>
      <c r="D562" s="156"/>
      <c r="E562" s="111"/>
      <c r="F562" s="112"/>
      <c r="G562" s="113"/>
      <c r="H562" s="53">
        <f t="shared" si="1"/>
        <v>0</v>
      </c>
      <c r="I562" s="115"/>
      <c r="J562" s="115"/>
      <c r="K562" s="60">
        <f t="shared" si="2"/>
        <v>0</v>
      </c>
      <c r="L562" s="117"/>
    </row>
    <row r="563" ht="15.75" customHeight="1">
      <c r="A563" s="9"/>
      <c r="B563" s="164"/>
      <c r="C563" s="110"/>
      <c r="D563" s="156"/>
      <c r="E563" s="111"/>
      <c r="F563" s="112"/>
      <c r="G563" s="113"/>
      <c r="H563" s="53">
        <f t="shared" si="1"/>
        <v>0</v>
      </c>
      <c r="I563" s="115"/>
      <c r="J563" s="115"/>
      <c r="K563" s="60">
        <f t="shared" si="2"/>
        <v>0</v>
      </c>
      <c r="L563" s="117"/>
    </row>
    <row r="564" ht="15.75" customHeight="1">
      <c r="A564" s="9"/>
      <c r="B564" s="164"/>
      <c r="C564" s="110"/>
      <c r="D564" s="156"/>
      <c r="E564" s="111"/>
      <c r="F564" s="112"/>
      <c r="G564" s="113"/>
      <c r="H564" s="53">
        <f t="shared" si="1"/>
        <v>0</v>
      </c>
      <c r="I564" s="115"/>
      <c r="J564" s="115"/>
      <c r="K564" s="60">
        <f t="shared" si="2"/>
        <v>0</v>
      </c>
      <c r="L564" s="117"/>
    </row>
    <row r="565" ht="15.75" customHeight="1">
      <c r="A565" s="9"/>
      <c r="B565" s="164"/>
      <c r="C565" s="110"/>
      <c r="D565" s="156"/>
      <c r="E565" s="111"/>
      <c r="F565" s="112"/>
      <c r="G565" s="113"/>
      <c r="H565" s="53">
        <f t="shared" si="1"/>
        <v>0</v>
      </c>
      <c r="I565" s="115"/>
      <c r="J565" s="115"/>
      <c r="K565" s="60">
        <f t="shared" si="2"/>
        <v>0</v>
      </c>
      <c r="L565" s="117"/>
    </row>
    <row r="566" ht="15.75" customHeight="1">
      <c r="A566" s="9"/>
      <c r="B566" s="164"/>
      <c r="C566" s="110"/>
      <c r="D566" s="156"/>
      <c r="E566" s="111"/>
      <c r="F566" s="112"/>
      <c r="G566" s="113"/>
      <c r="H566" s="53">
        <f t="shared" si="1"/>
        <v>0</v>
      </c>
      <c r="I566" s="115"/>
      <c r="J566" s="115"/>
      <c r="K566" s="60">
        <f t="shared" si="2"/>
        <v>0</v>
      </c>
      <c r="L566" s="117"/>
    </row>
    <row r="567" ht="15.75" customHeight="1">
      <c r="A567" s="9"/>
      <c r="B567" s="164"/>
      <c r="C567" s="110"/>
      <c r="D567" s="156"/>
      <c r="E567" s="111"/>
      <c r="F567" s="112"/>
      <c r="G567" s="113"/>
      <c r="H567" s="53">
        <f t="shared" si="1"/>
        <v>0</v>
      </c>
      <c r="I567" s="115"/>
      <c r="J567" s="115"/>
      <c r="K567" s="60">
        <f t="shared" si="2"/>
        <v>0</v>
      </c>
      <c r="L567" s="117"/>
    </row>
    <row r="568" ht="15.75" customHeight="1">
      <c r="A568" s="9"/>
      <c r="B568" s="164"/>
      <c r="C568" s="110"/>
      <c r="D568" s="156"/>
      <c r="E568" s="111"/>
      <c r="F568" s="112"/>
      <c r="G568" s="113"/>
      <c r="H568" s="53">
        <f t="shared" si="1"/>
        <v>0</v>
      </c>
      <c r="I568" s="115"/>
      <c r="J568" s="115"/>
      <c r="K568" s="60">
        <f t="shared" si="2"/>
        <v>0</v>
      </c>
      <c r="L568" s="117"/>
    </row>
    <row r="569" ht="15.75" customHeight="1">
      <c r="A569" s="9"/>
      <c r="B569" s="164"/>
      <c r="C569" s="110"/>
      <c r="D569" s="156"/>
      <c r="E569" s="111"/>
      <c r="F569" s="112"/>
      <c r="G569" s="113"/>
      <c r="H569" s="53">
        <f t="shared" si="1"/>
        <v>0</v>
      </c>
      <c r="I569" s="115"/>
      <c r="J569" s="115"/>
      <c r="K569" s="60">
        <f t="shared" si="2"/>
        <v>0</v>
      </c>
      <c r="L569" s="117"/>
    </row>
    <row r="570" ht="15.75" customHeight="1">
      <c r="A570" s="9"/>
      <c r="B570" s="164"/>
      <c r="C570" s="110"/>
      <c r="D570" s="156"/>
      <c r="E570" s="111"/>
      <c r="F570" s="112"/>
      <c r="G570" s="113"/>
      <c r="H570" s="53">
        <f t="shared" si="1"/>
        <v>0</v>
      </c>
      <c r="I570" s="115"/>
      <c r="J570" s="115"/>
      <c r="K570" s="60">
        <f t="shared" si="2"/>
        <v>0</v>
      </c>
      <c r="L570" s="117"/>
    </row>
    <row r="571" ht="15.75" customHeight="1">
      <c r="A571" s="9"/>
      <c r="B571" s="164"/>
      <c r="C571" s="110"/>
      <c r="D571" s="156"/>
      <c r="E571" s="111"/>
      <c r="F571" s="112"/>
      <c r="G571" s="113"/>
      <c r="H571" s="53">
        <f t="shared" si="1"/>
        <v>0</v>
      </c>
      <c r="I571" s="115"/>
      <c r="J571" s="115"/>
      <c r="K571" s="60">
        <f t="shared" si="2"/>
        <v>0</v>
      </c>
      <c r="L571" s="117"/>
    </row>
    <row r="572" ht="15.75" customHeight="1">
      <c r="A572" s="9"/>
      <c r="B572" s="164"/>
      <c r="C572" s="110"/>
      <c r="D572" s="156"/>
      <c r="E572" s="111"/>
      <c r="F572" s="112"/>
      <c r="G572" s="113"/>
      <c r="H572" s="53">
        <f t="shared" si="1"/>
        <v>0</v>
      </c>
      <c r="I572" s="115"/>
      <c r="J572" s="115"/>
      <c r="K572" s="60">
        <f t="shared" si="2"/>
        <v>0</v>
      </c>
      <c r="L572" s="117"/>
    </row>
    <row r="573" ht="15.75" customHeight="1">
      <c r="A573" s="9"/>
      <c r="B573" s="164"/>
      <c r="C573" s="110"/>
      <c r="D573" s="156"/>
      <c r="E573" s="111"/>
      <c r="F573" s="112"/>
      <c r="G573" s="113"/>
      <c r="H573" s="53">
        <f t="shared" si="1"/>
        <v>0</v>
      </c>
      <c r="I573" s="115"/>
      <c r="J573" s="115"/>
      <c r="K573" s="60">
        <f t="shared" si="2"/>
        <v>0</v>
      </c>
      <c r="L573" s="117"/>
    </row>
    <row r="574" ht="15.75" customHeight="1">
      <c r="A574" s="9"/>
      <c r="B574" s="164"/>
      <c r="C574" s="110"/>
      <c r="D574" s="156"/>
      <c r="E574" s="111"/>
      <c r="F574" s="112"/>
      <c r="G574" s="113"/>
      <c r="H574" s="53">
        <f t="shared" si="1"/>
        <v>0</v>
      </c>
      <c r="I574" s="115"/>
      <c r="J574" s="115"/>
      <c r="K574" s="60">
        <f t="shared" si="2"/>
        <v>0</v>
      </c>
      <c r="L574" s="117"/>
    </row>
    <row r="575" ht="15.75" customHeight="1">
      <c r="A575" s="9"/>
      <c r="B575" s="164"/>
      <c r="C575" s="110"/>
      <c r="D575" s="156"/>
      <c r="E575" s="111"/>
      <c r="F575" s="112"/>
      <c r="G575" s="113"/>
      <c r="H575" s="53">
        <f t="shared" si="1"/>
        <v>0</v>
      </c>
      <c r="I575" s="115"/>
      <c r="J575" s="115"/>
      <c r="K575" s="60">
        <f t="shared" si="2"/>
        <v>0</v>
      </c>
      <c r="L575" s="117"/>
    </row>
    <row r="576" ht="15.75" customHeight="1">
      <c r="A576" s="9"/>
      <c r="B576" s="164"/>
      <c r="C576" s="110"/>
      <c r="D576" s="156"/>
      <c r="E576" s="111"/>
      <c r="F576" s="112"/>
      <c r="G576" s="113"/>
      <c r="H576" s="53">
        <f t="shared" si="1"/>
        <v>0</v>
      </c>
      <c r="I576" s="115"/>
      <c r="J576" s="115"/>
      <c r="K576" s="60">
        <f t="shared" si="2"/>
        <v>0</v>
      </c>
      <c r="L576" s="117"/>
    </row>
    <row r="577" ht="15.75" customHeight="1">
      <c r="A577" s="9"/>
      <c r="B577" s="164"/>
      <c r="C577" s="110"/>
      <c r="D577" s="156"/>
      <c r="E577" s="111"/>
      <c r="F577" s="112"/>
      <c r="G577" s="113"/>
      <c r="H577" s="53">
        <f t="shared" si="1"/>
        <v>0</v>
      </c>
      <c r="I577" s="115"/>
      <c r="J577" s="115"/>
      <c r="K577" s="60">
        <f t="shared" si="2"/>
        <v>0</v>
      </c>
      <c r="L577" s="117"/>
    </row>
    <row r="578" ht="15.75" customHeight="1">
      <c r="A578" s="9"/>
      <c r="B578" s="164"/>
      <c r="C578" s="110"/>
      <c r="D578" s="156"/>
      <c r="E578" s="111"/>
      <c r="F578" s="112"/>
      <c r="G578" s="113"/>
      <c r="H578" s="53">
        <f t="shared" si="1"/>
        <v>0</v>
      </c>
      <c r="I578" s="115"/>
      <c r="J578" s="115"/>
      <c r="K578" s="60">
        <f t="shared" si="2"/>
        <v>0</v>
      </c>
      <c r="L578" s="117"/>
    </row>
    <row r="579" ht="15.75" customHeight="1">
      <c r="A579" s="9"/>
      <c r="B579" s="164"/>
      <c r="C579" s="110"/>
      <c r="D579" s="156"/>
      <c r="E579" s="111"/>
      <c r="F579" s="112"/>
      <c r="G579" s="113"/>
      <c r="H579" s="53">
        <f t="shared" si="1"/>
        <v>0</v>
      </c>
      <c r="I579" s="115"/>
      <c r="J579" s="115"/>
      <c r="K579" s="60">
        <f t="shared" si="2"/>
        <v>0</v>
      </c>
      <c r="L579" s="117"/>
    </row>
    <row r="580" ht="15.75" customHeight="1">
      <c r="A580" s="9"/>
      <c r="B580" s="164"/>
      <c r="C580" s="110"/>
      <c r="D580" s="156"/>
      <c r="E580" s="111"/>
      <c r="F580" s="112"/>
      <c r="G580" s="113"/>
      <c r="H580" s="53">
        <f t="shared" si="1"/>
        <v>0</v>
      </c>
      <c r="I580" s="115"/>
      <c r="J580" s="115"/>
      <c r="K580" s="60">
        <f t="shared" si="2"/>
        <v>0</v>
      </c>
      <c r="L580" s="117"/>
    </row>
    <row r="581" ht="15.75" customHeight="1">
      <c r="A581" s="9"/>
      <c r="B581" s="164"/>
      <c r="C581" s="110"/>
      <c r="D581" s="156"/>
      <c r="E581" s="111"/>
      <c r="F581" s="112"/>
      <c r="G581" s="113"/>
      <c r="H581" s="53">
        <f t="shared" si="1"/>
        <v>0</v>
      </c>
      <c r="I581" s="115"/>
      <c r="J581" s="115"/>
      <c r="K581" s="60">
        <f t="shared" si="2"/>
        <v>0</v>
      </c>
      <c r="L581" s="117"/>
    </row>
    <row r="582" ht="15.75" customHeight="1">
      <c r="A582" s="9"/>
      <c r="B582" s="164"/>
      <c r="C582" s="110"/>
      <c r="D582" s="156"/>
      <c r="E582" s="111"/>
      <c r="F582" s="112"/>
      <c r="G582" s="113"/>
      <c r="H582" s="53">
        <f t="shared" si="1"/>
        <v>0</v>
      </c>
      <c r="I582" s="115"/>
      <c r="J582" s="115"/>
      <c r="K582" s="60">
        <f t="shared" si="2"/>
        <v>0</v>
      </c>
      <c r="L582" s="117"/>
    </row>
    <row r="583" ht="15.75" customHeight="1">
      <c r="A583" s="9"/>
      <c r="B583" s="164"/>
      <c r="C583" s="110"/>
      <c r="D583" s="156"/>
      <c r="E583" s="111"/>
      <c r="F583" s="112"/>
      <c r="G583" s="113"/>
      <c r="H583" s="53">
        <f t="shared" si="1"/>
        <v>0</v>
      </c>
      <c r="I583" s="115"/>
      <c r="J583" s="115"/>
      <c r="K583" s="60">
        <f t="shared" si="2"/>
        <v>0</v>
      </c>
      <c r="L583" s="117"/>
    </row>
    <row r="584" ht="15.75" customHeight="1">
      <c r="A584" s="9"/>
      <c r="B584" s="164"/>
      <c r="C584" s="110"/>
      <c r="D584" s="156"/>
      <c r="E584" s="111"/>
      <c r="F584" s="112"/>
      <c r="G584" s="113"/>
      <c r="H584" s="53">
        <f t="shared" si="1"/>
        <v>0</v>
      </c>
      <c r="I584" s="115"/>
      <c r="J584" s="115"/>
      <c r="K584" s="60">
        <f t="shared" si="2"/>
        <v>0</v>
      </c>
      <c r="L584" s="117"/>
    </row>
    <row r="585" ht="15.75" customHeight="1">
      <c r="A585" s="9"/>
      <c r="B585" s="164"/>
      <c r="C585" s="110"/>
      <c r="D585" s="156"/>
      <c r="E585" s="111"/>
      <c r="F585" s="112"/>
      <c r="G585" s="113"/>
      <c r="H585" s="53">
        <f t="shared" si="1"/>
        <v>0</v>
      </c>
      <c r="I585" s="115"/>
      <c r="J585" s="115"/>
      <c r="K585" s="60">
        <f t="shared" si="2"/>
        <v>0</v>
      </c>
      <c r="L585" s="117"/>
    </row>
    <row r="586" ht="15.75" customHeight="1">
      <c r="A586" s="9"/>
      <c r="B586" s="164"/>
      <c r="C586" s="110"/>
      <c r="D586" s="156"/>
      <c r="E586" s="111"/>
      <c r="F586" s="112"/>
      <c r="G586" s="113"/>
      <c r="H586" s="53">
        <f t="shared" si="1"/>
        <v>0</v>
      </c>
      <c r="I586" s="115"/>
      <c r="J586" s="115"/>
      <c r="K586" s="60">
        <f t="shared" si="2"/>
        <v>0</v>
      </c>
      <c r="L586" s="117"/>
    </row>
    <row r="587" ht="15.75" customHeight="1">
      <c r="A587" s="9"/>
      <c r="B587" s="164"/>
      <c r="C587" s="110"/>
      <c r="D587" s="156"/>
      <c r="E587" s="111"/>
      <c r="F587" s="112"/>
      <c r="G587" s="113"/>
      <c r="H587" s="53">
        <f t="shared" si="1"/>
        <v>0</v>
      </c>
      <c r="I587" s="115"/>
      <c r="J587" s="115"/>
      <c r="K587" s="60">
        <f t="shared" si="2"/>
        <v>0</v>
      </c>
      <c r="L587" s="117"/>
    </row>
    <row r="588" ht="15.75" customHeight="1">
      <c r="A588" s="9"/>
      <c r="B588" s="164"/>
      <c r="C588" s="110"/>
      <c r="D588" s="156"/>
      <c r="E588" s="111"/>
      <c r="F588" s="112"/>
      <c r="G588" s="113"/>
      <c r="H588" s="53">
        <f t="shared" si="1"/>
        <v>0</v>
      </c>
      <c r="I588" s="115"/>
      <c r="J588" s="115"/>
      <c r="K588" s="60">
        <f t="shared" si="2"/>
        <v>0</v>
      </c>
      <c r="L588" s="117"/>
    </row>
    <row r="589" ht="15.75" customHeight="1">
      <c r="A589" s="9"/>
      <c r="B589" s="164"/>
      <c r="C589" s="110"/>
      <c r="D589" s="156"/>
      <c r="E589" s="111"/>
      <c r="F589" s="112"/>
      <c r="G589" s="113"/>
      <c r="H589" s="53">
        <f t="shared" si="1"/>
        <v>0</v>
      </c>
      <c r="I589" s="115"/>
      <c r="J589" s="115"/>
      <c r="K589" s="60">
        <f t="shared" si="2"/>
        <v>0</v>
      </c>
      <c r="L589" s="117"/>
    </row>
    <row r="590" ht="15.75" customHeight="1">
      <c r="A590" s="9"/>
      <c r="B590" s="164"/>
      <c r="C590" s="110"/>
      <c r="D590" s="156"/>
      <c r="E590" s="111"/>
      <c r="F590" s="112"/>
      <c r="G590" s="113"/>
      <c r="H590" s="53">
        <f t="shared" si="1"/>
        <v>0</v>
      </c>
      <c r="I590" s="115"/>
      <c r="J590" s="115"/>
      <c r="K590" s="60">
        <f t="shared" si="2"/>
        <v>0</v>
      </c>
      <c r="L590" s="117"/>
    </row>
    <row r="591" ht="15.75" customHeight="1">
      <c r="A591" s="9"/>
      <c r="B591" s="164"/>
      <c r="C591" s="110"/>
      <c r="D591" s="156"/>
      <c r="E591" s="111"/>
      <c r="F591" s="112"/>
      <c r="G591" s="113"/>
      <c r="H591" s="53">
        <f t="shared" si="1"/>
        <v>0</v>
      </c>
      <c r="I591" s="115"/>
      <c r="J591" s="115"/>
      <c r="K591" s="60">
        <f t="shared" si="2"/>
        <v>0</v>
      </c>
      <c r="L591" s="117"/>
    </row>
    <row r="592" ht="15.75" customHeight="1">
      <c r="A592" s="9"/>
      <c r="B592" s="164"/>
      <c r="C592" s="110"/>
      <c r="D592" s="156"/>
      <c r="E592" s="111"/>
      <c r="F592" s="112"/>
      <c r="G592" s="113"/>
      <c r="H592" s="53">
        <f t="shared" si="1"/>
        <v>0</v>
      </c>
      <c r="I592" s="115"/>
      <c r="J592" s="115"/>
      <c r="K592" s="60">
        <f t="shared" si="2"/>
        <v>0</v>
      </c>
      <c r="L592" s="117"/>
    </row>
    <row r="593" ht="15.75" customHeight="1">
      <c r="A593" s="9"/>
      <c r="B593" s="164"/>
      <c r="C593" s="110"/>
      <c r="D593" s="156"/>
      <c r="E593" s="111"/>
      <c r="F593" s="112"/>
      <c r="G593" s="113"/>
      <c r="H593" s="53">
        <f t="shared" si="1"/>
        <v>0</v>
      </c>
      <c r="I593" s="115"/>
      <c r="J593" s="115"/>
      <c r="K593" s="60">
        <f t="shared" si="2"/>
        <v>0</v>
      </c>
      <c r="L593" s="117"/>
    </row>
    <row r="594" ht="15.75" customHeight="1">
      <c r="A594" s="9"/>
      <c r="B594" s="164"/>
      <c r="C594" s="110"/>
      <c r="D594" s="156"/>
      <c r="E594" s="111"/>
      <c r="F594" s="112"/>
      <c r="G594" s="113"/>
      <c r="H594" s="53">
        <f t="shared" si="1"/>
        <v>0</v>
      </c>
      <c r="I594" s="115"/>
      <c r="J594" s="115"/>
      <c r="K594" s="60">
        <f t="shared" si="2"/>
        <v>0</v>
      </c>
      <c r="L594" s="117"/>
    </row>
    <row r="595" ht="15.75" customHeight="1">
      <c r="A595" s="9"/>
      <c r="B595" s="164"/>
      <c r="C595" s="110"/>
      <c r="D595" s="156"/>
      <c r="E595" s="111"/>
      <c r="F595" s="112"/>
      <c r="G595" s="113"/>
      <c r="H595" s="53">
        <f t="shared" si="1"/>
        <v>0</v>
      </c>
      <c r="I595" s="115"/>
      <c r="J595" s="115"/>
      <c r="K595" s="60">
        <f t="shared" si="2"/>
        <v>0</v>
      </c>
      <c r="L595" s="117"/>
    </row>
    <row r="596" ht="15.75" customHeight="1">
      <c r="A596" s="9"/>
      <c r="B596" s="164"/>
      <c r="C596" s="110"/>
      <c r="D596" s="156"/>
      <c r="E596" s="111"/>
      <c r="F596" s="112"/>
      <c r="G596" s="113"/>
      <c r="H596" s="53">
        <f t="shared" si="1"/>
        <v>0</v>
      </c>
      <c r="I596" s="115"/>
      <c r="J596" s="115"/>
      <c r="K596" s="60">
        <f t="shared" si="2"/>
        <v>0</v>
      </c>
      <c r="L596" s="117"/>
    </row>
    <row r="597" ht="15.75" customHeight="1">
      <c r="A597" s="9"/>
      <c r="B597" s="164"/>
      <c r="C597" s="110"/>
      <c r="D597" s="156"/>
      <c r="E597" s="111"/>
      <c r="F597" s="112"/>
      <c r="G597" s="113"/>
      <c r="H597" s="53">
        <f t="shared" si="1"/>
        <v>0</v>
      </c>
      <c r="I597" s="115"/>
      <c r="J597" s="115"/>
      <c r="K597" s="60">
        <f t="shared" si="2"/>
        <v>0</v>
      </c>
      <c r="L597" s="117"/>
    </row>
    <row r="598" ht="15.75" customHeight="1">
      <c r="A598" s="9"/>
      <c r="B598" s="164"/>
      <c r="C598" s="110"/>
      <c r="D598" s="156"/>
      <c r="E598" s="111"/>
      <c r="F598" s="112"/>
      <c r="G598" s="113"/>
      <c r="H598" s="53">
        <f t="shared" si="1"/>
        <v>0</v>
      </c>
      <c r="I598" s="115"/>
      <c r="J598" s="115"/>
      <c r="K598" s="60">
        <f t="shared" si="2"/>
        <v>0</v>
      </c>
      <c r="L598" s="117"/>
    </row>
    <row r="599" ht="15.75" customHeight="1">
      <c r="A599" s="9"/>
      <c r="B599" s="164"/>
      <c r="C599" s="110"/>
      <c r="D599" s="156"/>
      <c r="E599" s="111"/>
      <c r="F599" s="112"/>
      <c r="G599" s="113"/>
      <c r="H599" s="53">
        <f t="shared" si="1"/>
        <v>0</v>
      </c>
      <c r="I599" s="115"/>
      <c r="J599" s="115"/>
      <c r="K599" s="60">
        <f t="shared" si="2"/>
        <v>0</v>
      </c>
      <c r="L599" s="117"/>
    </row>
    <row r="600" ht="15.75" customHeight="1">
      <c r="A600" s="9"/>
      <c r="B600" s="164"/>
      <c r="C600" s="110"/>
      <c r="D600" s="156"/>
      <c r="E600" s="111"/>
      <c r="F600" s="112"/>
      <c r="G600" s="113"/>
      <c r="H600" s="53">
        <f t="shared" si="1"/>
        <v>0</v>
      </c>
      <c r="I600" s="115"/>
      <c r="J600" s="115"/>
      <c r="K600" s="60">
        <f t="shared" si="2"/>
        <v>0</v>
      </c>
      <c r="L600" s="117"/>
    </row>
    <row r="601" ht="15.75" customHeight="1">
      <c r="A601" s="9"/>
      <c r="B601" s="164"/>
      <c r="C601" s="110"/>
      <c r="D601" s="156"/>
      <c r="E601" s="111"/>
      <c r="F601" s="112"/>
      <c r="G601" s="113"/>
      <c r="H601" s="53">
        <f t="shared" si="1"/>
        <v>0</v>
      </c>
      <c r="I601" s="115"/>
      <c r="J601" s="115"/>
      <c r="K601" s="60">
        <f t="shared" si="2"/>
        <v>0</v>
      </c>
      <c r="L601" s="117"/>
    </row>
    <row r="602" ht="15.75" customHeight="1">
      <c r="A602" s="9"/>
      <c r="B602" s="164"/>
      <c r="C602" s="110"/>
      <c r="D602" s="156"/>
      <c r="E602" s="111"/>
      <c r="F602" s="112"/>
      <c r="G602" s="113"/>
      <c r="H602" s="53">
        <f t="shared" si="1"/>
        <v>0</v>
      </c>
      <c r="I602" s="115"/>
      <c r="J602" s="115"/>
      <c r="K602" s="60">
        <f t="shared" si="2"/>
        <v>0</v>
      </c>
      <c r="L602" s="117"/>
    </row>
    <row r="603" ht="15.75" customHeight="1">
      <c r="A603" s="9"/>
      <c r="B603" s="164"/>
      <c r="C603" s="110"/>
      <c r="D603" s="156"/>
      <c r="E603" s="111"/>
      <c r="F603" s="112"/>
      <c r="G603" s="113"/>
      <c r="H603" s="53">
        <f t="shared" si="1"/>
        <v>0</v>
      </c>
      <c r="I603" s="115"/>
      <c r="J603" s="115"/>
      <c r="K603" s="60">
        <f t="shared" si="2"/>
        <v>0</v>
      </c>
      <c r="L603" s="117"/>
    </row>
    <row r="604" ht="15.75" customHeight="1">
      <c r="A604" s="9"/>
      <c r="B604" s="164"/>
      <c r="C604" s="110"/>
      <c r="D604" s="156"/>
      <c r="E604" s="111"/>
      <c r="F604" s="112"/>
      <c r="G604" s="113"/>
      <c r="H604" s="53">
        <f t="shared" si="1"/>
        <v>0</v>
      </c>
      <c r="I604" s="115"/>
      <c r="J604" s="115"/>
      <c r="K604" s="60">
        <f t="shared" si="2"/>
        <v>0</v>
      </c>
      <c r="L604" s="117"/>
    </row>
    <row r="605" ht="15.75" customHeight="1">
      <c r="A605" s="9"/>
      <c r="B605" s="164"/>
      <c r="C605" s="110"/>
      <c r="D605" s="156"/>
      <c r="E605" s="111"/>
      <c r="F605" s="112"/>
      <c r="G605" s="113"/>
      <c r="H605" s="53">
        <f t="shared" si="1"/>
        <v>0</v>
      </c>
      <c r="I605" s="115"/>
      <c r="J605" s="115"/>
      <c r="K605" s="60">
        <f t="shared" si="2"/>
        <v>0</v>
      </c>
      <c r="L605" s="117"/>
    </row>
    <row r="606" ht="15.75" customHeight="1">
      <c r="A606" s="9"/>
      <c r="B606" s="164"/>
      <c r="C606" s="110"/>
      <c r="D606" s="156"/>
      <c r="E606" s="111"/>
      <c r="F606" s="112"/>
      <c r="G606" s="113"/>
      <c r="H606" s="53">
        <f t="shared" si="1"/>
        <v>0</v>
      </c>
      <c r="I606" s="115"/>
      <c r="J606" s="115"/>
      <c r="K606" s="60">
        <f t="shared" si="2"/>
        <v>0</v>
      </c>
      <c r="L606" s="117"/>
    </row>
    <row r="607" ht="15.75" customHeight="1">
      <c r="A607" s="9"/>
      <c r="B607" s="164"/>
      <c r="C607" s="110"/>
      <c r="D607" s="156"/>
      <c r="E607" s="111"/>
      <c r="F607" s="112"/>
      <c r="G607" s="113"/>
      <c r="H607" s="53">
        <f t="shared" si="1"/>
        <v>0</v>
      </c>
      <c r="I607" s="115"/>
      <c r="J607" s="115"/>
      <c r="K607" s="60">
        <f t="shared" si="2"/>
        <v>0</v>
      </c>
      <c r="L607" s="117"/>
    </row>
    <row r="608" ht="15.75" customHeight="1">
      <c r="A608" s="9"/>
      <c r="B608" s="164"/>
      <c r="C608" s="110"/>
      <c r="D608" s="156"/>
      <c r="E608" s="111"/>
      <c r="F608" s="112"/>
      <c r="G608" s="113"/>
      <c r="H608" s="53">
        <f t="shared" si="1"/>
        <v>0</v>
      </c>
      <c r="I608" s="115"/>
      <c r="J608" s="115"/>
      <c r="K608" s="60">
        <f t="shared" si="2"/>
        <v>0</v>
      </c>
      <c r="L608" s="117"/>
    </row>
    <row r="609" ht="15.75" customHeight="1">
      <c r="A609" s="9"/>
      <c r="B609" s="164"/>
      <c r="C609" s="110"/>
      <c r="D609" s="156"/>
      <c r="E609" s="111"/>
      <c r="F609" s="112"/>
      <c r="G609" s="113"/>
      <c r="H609" s="53">
        <f t="shared" si="1"/>
        <v>0</v>
      </c>
      <c r="I609" s="115"/>
      <c r="J609" s="115"/>
      <c r="K609" s="60">
        <f t="shared" si="2"/>
        <v>0</v>
      </c>
      <c r="L609" s="117"/>
    </row>
    <row r="610" ht="15.75" customHeight="1">
      <c r="A610" s="9"/>
      <c r="B610" s="164"/>
      <c r="C610" s="110"/>
      <c r="D610" s="156"/>
      <c r="E610" s="111"/>
      <c r="F610" s="112"/>
      <c r="G610" s="113"/>
      <c r="H610" s="53">
        <f t="shared" si="1"/>
        <v>0</v>
      </c>
      <c r="I610" s="115"/>
      <c r="J610" s="115"/>
      <c r="K610" s="60">
        <f t="shared" si="2"/>
        <v>0</v>
      </c>
      <c r="L610" s="117"/>
    </row>
    <row r="611" ht="15.75" customHeight="1">
      <c r="A611" s="9"/>
      <c r="B611" s="164"/>
      <c r="C611" s="110"/>
      <c r="D611" s="156"/>
      <c r="E611" s="111"/>
      <c r="F611" s="112"/>
      <c r="G611" s="113"/>
      <c r="H611" s="53">
        <f t="shared" si="1"/>
        <v>0</v>
      </c>
      <c r="I611" s="115"/>
      <c r="J611" s="115"/>
      <c r="K611" s="60">
        <f t="shared" si="2"/>
        <v>0</v>
      </c>
      <c r="L611" s="117"/>
    </row>
    <row r="612" ht="15.75" customHeight="1">
      <c r="A612" s="9"/>
      <c r="B612" s="164"/>
      <c r="C612" s="110"/>
      <c r="D612" s="156"/>
      <c r="E612" s="111"/>
      <c r="F612" s="112"/>
      <c r="G612" s="113"/>
      <c r="H612" s="53">
        <f t="shared" si="1"/>
        <v>0</v>
      </c>
      <c r="I612" s="115"/>
      <c r="J612" s="115"/>
      <c r="K612" s="60">
        <f t="shared" si="2"/>
        <v>0</v>
      </c>
      <c r="L612" s="117"/>
    </row>
    <row r="613" ht="15.75" customHeight="1">
      <c r="A613" s="9"/>
      <c r="B613" s="164"/>
      <c r="C613" s="110"/>
      <c r="D613" s="156"/>
      <c r="E613" s="111"/>
      <c r="F613" s="112"/>
      <c r="G613" s="113"/>
      <c r="H613" s="53">
        <f t="shared" si="1"/>
        <v>0</v>
      </c>
      <c r="I613" s="115"/>
      <c r="J613" s="115"/>
      <c r="K613" s="60">
        <f t="shared" si="2"/>
        <v>0</v>
      </c>
      <c r="L613" s="117"/>
    </row>
    <row r="614" ht="15.75" customHeight="1">
      <c r="A614" s="9"/>
      <c r="B614" s="164"/>
      <c r="C614" s="110"/>
      <c r="D614" s="156"/>
      <c r="E614" s="111"/>
      <c r="F614" s="112"/>
      <c r="G614" s="113"/>
      <c r="H614" s="53">
        <f t="shared" si="1"/>
        <v>0</v>
      </c>
      <c r="I614" s="115"/>
      <c r="J614" s="115"/>
      <c r="K614" s="60">
        <f t="shared" si="2"/>
        <v>0</v>
      </c>
      <c r="L614" s="117"/>
    </row>
    <row r="615" ht="15.75" customHeight="1">
      <c r="A615" s="9"/>
      <c r="B615" s="164"/>
      <c r="C615" s="110"/>
      <c r="D615" s="156"/>
      <c r="E615" s="111"/>
      <c r="F615" s="112"/>
      <c r="G615" s="113"/>
      <c r="H615" s="53">
        <f t="shared" si="1"/>
        <v>0</v>
      </c>
      <c r="I615" s="115"/>
      <c r="J615" s="115"/>
      <c r="K615" s="60">
        <f t="shared" si="2"/>
        <v>0</v>
      </c>
      <c r="L615" s="117"/>
    </row>
    <row r="616" ht="15.75" customHeight="1">
      <c r="A616" s="9"/>
      <c r="B616" s="164"/>
      <c r="C616" s="110"/>
      <c r="D616" s="156"/>
      <c r="E616" s="111"/>
      <c r="F616" s="112"/>
      <c r="G616" s="113"/>
      <c r="H616" s="53">
        <f t="shared" si="1"/>
        <v>0</v>
      </c>
      <c r="I616" s="115"/>
      <c r="J616" s="115"/>
      <c r="K616" s="60">
        <f t="shared" si="2"/>
        <v>0</v>
      </c>
      <c r="L616" s="117"/>
    </row>
    <row r="617" ht="15.75" customHeight="1">
      <c r="A617" s="9"/>
      <c r="B617" s="164"/>
      <c r="C617" s="110"/>
      <c r="D617" s="156"/>
      <c r="E617" s="111"/>
      <c r="F617" s="112"/>
      <c r="G617" s="113"/>
      <c r="H617" s="53">
        <f t="shared" si="1"/>
        <v>0</v>
      </c>
      <c r="I617" s="115"/>
      <c r="J617" s="115"/>
      <c r="K617" s="60">
        <f t="shared" si="2"/>
        <v>0</v>
      </c>
      <c r="L617" s="117"/>
    </row>
    <row r="618" ht="15.75" customHeight="1">
      <c r="A618" s="9"/>
      <c r="B618" s="164"/>
      <c r="C618" s="110"/>
      <c r="D618" s="156"/>
      <c r="E618" s="111"/>
      <c r="F618" s="112"/>
      <c r="G618" s="113"/>
      <c r="H618" s="53">
        <f t="shared" si="1"/>
        <v>0</v>
      </c>
      <c r="I618" s="115"/>
      <c r="J618" s="115"/>
      <c r="K618" s="60">
        <f t="shared" si="2"/>
        <v>0</v>
      </c>
      <c r="L618" s="117"/>
    </row>
    <row r="619" ht="15.75" customHeight="1">
      <c r="A619" s="9"/>
      <c r="B619" s="164"/>
      <c r="C619" s="110"/>
      <c r="D619" s="156"/>
      <c r="E619" s="111"/>
      <c r="F619" s="112"/>
      <c r="G619" s="113"/>
      <c r="H619" s="53">
        <f t="shared" si="1"/>
        <v>0</v>
      </c>
      <c r="I619" s="115"/>
      <c r="J619" s="115"/>
      <c r="K619" s="60">
        <f t="shared" si="2"/>
        <v>0</v>
      </c>
      <c r="L619" s="117"/>
    </row>
    <row r="620" ht="15.75" customHeight="1">
      <c r="A620" s="9"/>
      <c r="B620" s="164"/>
      <c r="C620" s="110"/>
      <c r="D620" s="156"/>
      <c r="E620" s="111"/>
      <c r="F620" s="112"/>
      <c r="G620" s="113"/>
      <c r="H620" s="53">
        <f t="shared" si="1"/>
        <v>0</v>
      </c>
      <c r="I620" s="115"/>
      <c r="J620" s="115"/>
      <c r="K620" s="60">
        <f t="shared" si="2"/>
        <v>0</v>
      </c>
      <c r="L620" s="117"/>
    </row>
    <row r="621" ht="15.75" customHeight="1">
      <c r="A621" s="9"/>
      <c r="B621" s="164"/>
      <c r="C621" s="110"/>
      <c r="D621" s="156"/>
      <c r="E621" s="111"/>
      <c r="F621" s="112"/>
      <c r="G621" s="113"/>
      <c r="H621" s="53">
        <f t="shared" si="1"/>
        <v>0</v>
      </c>
      <c r="I621" s="115"/>
      <c r="J621" s="115"/>
      <c r="K621" s="60">
        <f t="shared" si="2"/>
        <v>0</v>
      </c>
      <c r="L621" s="117"/>
    </row>
    <row r="622" ht="15.75" customHeight="1">
      <c r="A622" s="9"/>
      <c r="B622" s="164"/>
      <c r="C622" s="110"/>
      <c r="D622" s="156"/>
      <c r="E622" s="111"/>
      <c r="F622" s="112"/>
      <c r="G622" s="113"/>
      <c r="H622" s="53">
        <f t="shared" si="1"/>
        <v>0</v>
      </c>
      <c r="I622" s="115"/>
      <c r="J622" s="115"/>
      <c r="K622" s="60">
        <f t="shared" si="2"/>
        <v>0</v>
      </c>
      <c r="L622" s="117"/>
    </row>
    <row r="623" ht="15.75" customHeight="1">
      <c r="A623" s="9"/>
      <c r="B623" s="164"/>
      <c r="C623" s="110"/>
      <c r="D623" s="156"/>
      <c r="E623" s="111"/>
      <c r="F623" s="112"/>
      <c r="G623" s="113"/>
      <c r="H623" s="53">
        <f t="shared" si="1"/>
        <v>0</v>
      </c>
      <c r="I623" s="115"/>
      <c r="J623" s="115"/>
      <c r="K623" s="60">
        <f t="shared" si="2"/>
        <v>0</v>
      </c>
      <c r="L623" s="117"/>
    </row>
    <row r="624" ht="15.75" customHeight="1">
      <c r="A624" s="9"/>
      <c r="B624" s="164"/>
      <c r="C624" s="110"/>
      <c r="D624" s="156"/>
      <c r="E624" s="111"/>
      <c r="F624" s="112"/>
      <c r="G624" s="113"/>
      <c r="H624" s="53">
        <f t="shared" si="1"/>
        <v>0</v>
      </c>
      <c r="I624" s="115"/>
      <c r="J624" s="115"/>
      <c r="K624" s="60">
        <f t="shared" si="2"/>
        <v>0</v>
      </c>
      <c r="L624" s="117"/>
    </row>
    <row r="625" ht="15.75" customHeight="1">
      <c r="A625" s="9"/>
      <c r="B625" s="164"/>
      <c r="C625" s="110"/>
      <c r="D625" s="156"/>
      <c r="E625" s="111"/>
      <c r="F625" s="112"/>
      <c r="G625" s="113"/>
      <c r="H625" s="53">
        <f t="shared" si="1"/>
        <v>0</v>
      </c>
      <c r="I625" s="115"/>
      <c r="J625" s="115"/>
      <c r="K625" s="60">
        <f t="shared" si="2"/>
        <v>0</v>
      </c>
      <c r="L625" s="117"/>
    </row>
    <row r="626" ht="15.75" customHeight="1">
      <c r="A626" s="9"/>
      <c r="B626" s="164"/>
      <c r="C626" s="110"/>
      <c r="D626" s="156"/>
      <c r="E626" s="111"/>
      <c r="F626" s="112"/>
      <c r="G626" s="113"/>
      <c r="H626" s="53">
        <f t="shared" si="1"/>
        <v>0</v>
      </c>
      <c r="I626" s="115"/>
      <c r="J626" s="115"/>
      <c r="K626" s="60">
        <f t="shared" si="2"/>
        <v>0</v>
      </c>
      <c r="L626" s="117"/>
    </row>
    <row r="627" ht="15.75" customHeight="1">
      <c r="A627" s="9"/>
      <c r="B627" s="164"/>
      <c r="C627" s="110"/>
      <c r="D627" s="156"/>
      <c r="E627" s="111"/>
      <c r="F627" s="112"/>
      <c r="G627" s="113"/>
      <c r="H627" s="53">
        <f t="shared" si="1"/>
        <v>0</v>
      </c>
      <c r="I627" s="115"/>
      <c r="J627" s="115"/>
      <c r="K627" s="60">
        <f t="shared" si="2"/>
        <v>0</v>
      </c>
      <c r="L627" s="117"/>
    </row>
    <row r="628" ht="15.75" customHeight="1">
      <c r="A628" s="9"/>
      <c r="B628" s="164"/>
      <c r="C628" s="110"/>
      <c r="D628" s="156"/>
      <c r="E628" s="111"/>
      <c r="F628" s="112"/>
      <c r="G628" s="113"/>
      <c r="H628" s="53">
        <f t="shared" si="1"/>
        <v>0</v>
      </c>
      <c r="I628" s="115"/>
      <c r="J628" s="115"/>
      <c r="K628" s="60">
        <f t="shared" si="2"/>
        <v>0</v>
      </c>
      <c r="L628" s="117"/>
    </row>
    <row r="629" ht="15.75" customHeight="1">
      <c r="A629" s="9"/>
      <c r="B629" s="164"/>
      <c r="C629" s="110"/>
      <c r="D629" s="156"/>
      <c r="E629" s="111"/>
      <c r="F629" s="112"/>
      <c r="G629" s="113"/>
      <c r="H629" s="53">
        <f t="shared" si="1"/>
        <v>0</v>
      </c>
      <c r="I629" s="115"/>
      <c r="J629" s="115"/>
      <c r="K629" s="60">
        <f t="shared" si="2"/>
        <v>0</v>
      </c>
      <c r="L629" s="117"/>
    </row>
    <row r="630" ht="15.75" customHeight="1">
      <c r="A630" s="9"/>
      <c r="B630" s="164"/>
      <c r="C630" s="110"/>
      <c r="D630" s="156"/>
      <c r="E630" s="111"/>
      <c r="F630" s="112"/>
      <c r="G630" s="113"/>
      <c r="H630" s="53">
        <f t="shared" si="1"/>
        <v>0</v>
      </c>
      <c r="I630" s="115"/>
      <c r="J630" s="115"/>
      <c r="K630" s="60">
        <f t="shared" si="2"/>
        <v>0</v>
      </c>
      <c r="L630" s="117"/>
    </row>
    <row r="631" ht="15.75" customHeight="1">
      <c r="A631" s="9"/>
      <c r="B631" s="164"/>
      <c r="C631" s="110"/>
      <c r="D631" s="156"/>
      <c r="E631" s="111"/>
      <c r="F631" s="112"/>
      <c r="G631" s="113"/>
      <c r="H631" s="53">
        <f t="shared" si="1"/>
        <v>0</v>
      </c>
      <c r="I631" s="115"/>
      <c r="J631" s="115"/>
      <c r="K631" s="60">
        <f t="shared" si="2"/>
        <v>0</v>
      </c>
      <c r="L631" s="117"/>
    </row>
    <row r="632" ht="15.75" customHeight="1">
      <c r="A632" s="9"/>
      <c r="B632" s="164"/>
      <c r="C632" s="110"/>
      <c r="D632" s="156"/>
      <c r="E632" s="111"/>
      <c r="F632" s="112"/>
      <c r="G632" s="113"/>
      <c r="H632" s="53">
        <f t="shared" si="1"/>
        <v>0</v>
      </c>
      <c r="I632" s="115"/>
      <c r="J632" s="115"/>
      <c r="K632" s="60">
        <f t="shared" si="2"/>
        <v>0</v>
      </c>
      <c r="L632" s="117"/>
    </row>
    <row r="633" ht="15.75" customHeight="1">
      <c r="A633" s="9"/>
      <c r="B633" s="164"/>
      <c r="C633" s="110"/>
      <c r="D633" s="156"/>
      <c r="E633" s="111"/>
      <c r="F633" s="112"/>
      <c r="G633" s="113"/>
      <c r="H633" s="53">
        <f t="shared" si="1"/>
        <v>0</v>
      </c>
      <c r="I633" s="115"/>
      <c r="J633" s="115"/>
      <c r="K633" s="60">
        <f t="shared" si="2"/>
        <v>0</v>
      </c>
      <c r="L633" s="117"/>
    </row>
    <row r="634" ht="15.75" customHeight="1">
      <c r="A634" s="9"/>
      <c r="B634" s="164"/>
      <c r="C634" s="110"/>
      <c r="D634" s="156"/>
      <c r="E634" s="111"/>
      <c r="F634" s="112"/>
      <c r="G634" s="113"/>
      <c r="H634" s="53">
        <f t="shared" si="1"/>
        <v>0</v>
      </c>
      <c r="I634" s="115"/>
      <c r="J634" s="115"/>
      <c r="K634" s="60">
        <f t="shared" si="2"/>
        <v>0</v>
      </c>
      <c r="L634" s="117"/>
    </row>
    <row r="635" ht="15.75" customHeight="1">
      <c r="A635" s="9"/>
      <c r="B635" s="164"/>
      <c r="C635" s="110"/>
      <c r="D635" s="156"/>
      <c r="E635" s="111"/>
      <c r="F635" s="112"/>
      <c r="G635" s="113"/>
      <c r="H635" s="53">
        <f t="shared" si="1"/>
        <v>0</v>
      </c>
      <c r="I635" s="115"/>
      <c r="J635" s="115"/>
      <c r="K635" s="60">
        <f t="shared" si="2"/>
        <v>0</v>
      </c>
      <c r="L635" s="117"/>
    </row>
    <row r="636" ht="15.75" customHeight="1">
      <c r="A636" s="9"/>
      <c r="B636" s="164"/>
      <c r="C636" s="110"/>
      <c r="D636" s="156"/>
      <c r="E636" s="111"/>
      <c r="F636" s="112"/>
      <c r="G636" s="113"/>
      <c r="H636" s="53">
        <f t="shared" si="1"/>
        <v>0</v>
      </c>
      <c r="I636" s="115"/>
      <c r="J636" s="115"/>
      <c r="K636" s="60">
        <f t="shared" si="2"/>
        <v>0</v>
      </c>
      <c r="L636" s="117"/>
    </row>
    <row r="637" ht="15.75" customHeight="1">
      <c r="A637" s="9"/>
      <c r="B637" s="164"/>
      <c r="C637" s="110"/>
      <c r="D637" s="156"/>
      <c r="E637" s="111"/>
      <c r="F637" s="112"/>
      <c r="G637" s="113"/>
      <c r="H637" s="53">
        <f t="shared" si="1"/>
        <v>0</v>
      </c>
      <c r="I637" s="115"/>
      <c r="J637" s="115"/>
      <c r="K637" s="60">
        <f t="shared" si="2"/>
        <v>0</v>
      </c>
      <c r="L637" s="117"/>
    </row>
    <row r="638" ht="15.75" customHeight="1">
      <c r="A638" s="9"/>
      <c r="B638" s="164"/>
      <c r="C638" s="110"/>
      <c r="D638" s="156"/>
      <c r="E638" s="111"/>
      <c r="F638" s="112"/>
      <c r="G638" s="113"/>
      <c r="H638" s="53">
        <f t="shared" si="1"/>
        <v>0</v>
      </c>
      <c r="I638" s="115"/>
      <c r="J638" s="115"/>
      <c r="K638" s="60">
        <f t="shared" si="2"/>
        <v>0</v>
      </c>
      <c r="L638" s="117"/>
    </row>
    <row r="639" ht="15.75" customHeight="1">
      <c r="A639" s="9"/>
      <c r="B639" s="164"/>
      <c r="C639" s="110"/>
      <c r="D639" s="156"/>
      <c r="E639" s="111"/>
      <c r="F639" s="112"/>
      <c r="G639" s="113"/>
      <c r="H639" s="53">
        <f t="shared" si="1"/>
        <v>0</v>
      </c>
      <c r="I639" s="115"/>
      <c r="J639" s="115"/>
      <c r="K639" s="60">
        <f t="shared" si="2"/>
        <v>0</v>
      </c>
      <c r="L639" s="117"/>
    </row>
    <row r="640" ht="15.75" customHeight="1">
      <c r="A640" s="9"/>
      <c r="B640" s="164"/>
      <c r="C640" s="110"/>
      <c r="D640" s="156"/>
      <c r="E640" s="111"/>
      <c r="F640" s="112"/>
      <c r="G640" s="113"/>
      <c r="H640" s="53">
        <f t="shared" si="1"/>
        <v>0</v>
      </c>
      <c r="I640" s="115"/>
      <c r="J640" s="115"/>
      <c r="K640" s="60">
        <f t="shared" si="2"/>
        <v>0</v>
      </c>
      <c r="L640" s="117"/>
    </row>
    <row r="641" ht="15.75" customHeight="1">
      <c r="A641" s="9"/>
      <c r="B641" s="164"/>
      <c r="C641" s="110"/>
      <c r="D641" s="156"/>
      <c r="E641" s="111"/>
      <c r="F641" s="112"/>
      <c r="G641" s="113"/>
      <c r="H641" s="53">
        <f t="shared" si="1"/>
        <v>0</v>
      </c>
      <c r="I641" s="115"/>
      <c r="J641" s="115"/>
      <c r="K641" s="60">
        <f t="shared" si="2"/>
        <v>0</v>
      </c>
      <c r="L641" s="117"/>
    </row>
    <row r="642" ht="15.75" customHeight="1">
      <c r="A642" s="9"/>
      <c r="B642" s="164"/>
      <c r="C642" s="110"/>
      <c r="D642" s="156"/>
      <c r="E642" s="111"/>
      <c r="F642" s="112"/>
      <c r="G642" s="113"/>
      <c r="H642" s="53">
        <f t="shared" si="1"/>
        <v>0</v>
      </c>
      <c r="I642" s="115"/>
      <c r="J642" s="115"/>
      <c r="K642" s="60">
        <f t="shared" si="2"/>
        <v>0</v>
      </c>
      <c r="L642" s="117"/>
    </row>
    <row r="643" ht="15.75" customHeight="1">
      <c r="A643" s="9"/>
      <c r="B643" s="164"/>
      <c r="C643" s="110"/>
      <c r="D643" s="156"/>
      <c r="E643" s="111"/>
      <c r="F643" s="112"/>
      <c r="G643" s="113"/>
      <c r="H643" s="53">
        <f t="shared" si="1"/>
        <v>0</v>
      </c>
      <c r="I643" s="115"/>
      <c r="J643" s="115"/>
      <c r="K643" s="60">
        <f t="shared" si="2"/>
        <v>0</v>
      </c>
      <c r="L643" s="117"/>
    </row>
    <row r="644" ht="15.75" customHeight="1">
      <c r="A644" s="9"/>
      <c r="B644" s="164"/>
      <c r="C644" s="110"/>
      <c r="D644" s="156"/>
      <c r="E644" s="111"/>
      <c r="F644" s="112"/>
      <c r="G644" s="113"/>
      <c r="H644" s="53">
        <f t="shared" si="1"/>
        <v>0</v>
      </c>
      <c r="I644" s="115"/>
      <c r="J644" s="115"/>
      <c r="K644" s="60">
        <f t="shared" si="2"/>
        <v>0</v>
      </c>
      <c r="L644" s="117"/>
    </row>
    <row r="645" ht="15.75" customHeight="1">
      <c r="A645" s="9"/>
      <c r="B645" s="164"/>
      <c r="C645" s="110"/>
      <c r="D645" s="156"/>
      <c r="E645" s="111"/>
      <c r="F645" s="112"/>
      <c r="G645" s="113"/>
      <c r="H645" s="53">
        <f t="shared" si="1"/>
        <v>0</v>
      </c>
      <c r="I645" s="115"/>
      <c r="J645" s="115"/>
      <c r="K645" s="60">
        <f t="shared" si="2"/>
        <v>0</v>
      </c>
      <c r="L645" s="117"/>
    </row>
    <row r="646" ht="15.75" customHeight="1">
      <c r="A646" s="9"/>
      <c r="B646" s="164"/>
      <c r="C646" s="110"/>
      <c r="D646" s="156"/>
      <c r="E646" s="111"/>
      <c r="F646" s="112"/>
      <c r="G646" s="113"/>
      <c r="H646" s="53">
        <f t="shared" si="1"/>
        <v>0</v>
      </c>
      <c r="I646" s="115"/>
      <c r="J646" s="115"/>
      <c r="K646" s="60">
        <f t="shared" si="2"/>
        <v>0</v>
      </c>
      <c r="L646" s="117"/>
    </row>
    <row r="647" ht="15.75" customHeight="1">
      <c r="A647" s="9"/>
      <c r="B647" s="164"/>
      <c r="C647" s="110"/>
      <c r="D647" s="156"/>
      <c r="E647" s="111"/>
      <c r="F647" s="112"/>
      <c r="G647" s="113"/>
      <c r="H647" s="53">
        <f t="shared" si="1"/>
        <v>0</v>
      </c>
      <c r="I647" s="115"/>
      <c r="J647" s="115"/>
      <c r="K647" s="60">
        <f t="shared" si="2"/>
        <v>0</v>
      </c>
      <c r="L647" s="117"/>
    </row>
    <row r="648" ht="15.75" customHeight="1">
      <c r="A648" s="9"/>
      <c r="B648" s="164"/>
      <c r="C648" s="110"/>
      <c r="D648" s="156"/>
      <c r="E648" s="111"/>
      <c r="F648" s="112"/>
      <c r="G648" s="113"/>
      <c r="H648" s="53">
        <f t="shared" si="1"/>
        <v>0</v>
      </c>
      <c r="I648" s="115"/>
      <c r="J648" s="115"/>
      <c r="K648" s="60">
        <f t="shared" si="2"/>
        <v>0</v>
      </c>
      <c r="L648" s="117"/>
    </row>
    <row r="649" ht="15.75" customHeight="1">
      <c r="A649" s="9"/>
      <c r="B649" s="164"/>
      <c r="C649" s="110"/>
      <c r="D649" s="156"/>
      <c r="E649" s="111"/>
      <c r="F649" s="112"/>
      <c r="G649" s="113"/>
      <c r="H649" s="53">
        <f t="shared" si="1"/>
        <v>0</v>
      </c>
      <c r="I649" s="115"/>
      <c r="J649" s="115"/>
      <c r="K649" s="60">
        <f t="shared" si="2"/>
        <v>0</v>
      </c>
      <c r="L649" s="117"/>
    </row>
    <row r="650" ht="15.75" customHeight="1">
      <c r="A650" s="9"/>
      <c r="B650" s="164"/>
      <c r="C650" s="110"/>
      <c r="D650" s="156"/>
      <c r="E650" s="111"/>
      <c r="F650" s="112"/>
      <c r="G650" s="113"/>
      <c r="H650" s="53">
        <f t="shared" si="1"/>
        <v>0</v>
      </c>
      <c r="I650" s="115"/>
      <c r="J650" s="115"/>
      <c r="K650" s="60">
        <f t="shared" si="2"/>
        <v>0</v>
      </c>
      <c r="L650" s="117"/>
    </row>
    <row r="651" ht="15.75" customHeight="1">
      <c r="A651" s="9"/>
      <c r="B651" s="164"/>
      <c r="C651" s="110"/>
      <c r="D651" s="156"/>
      <c r="E651" s="111"/>
      <c r="F651" s="112"/>
      <c r="G651" s="113"/>
      <c r="H651" s="53">
        <f t="shared" si="1"/>
        <v>0</v>
      </c>
      <c r="I651" s="115"/>
      <c r="J651" s="115"/>
      <c r="K651" s="60">
        <f t="shared" si="2"/>
        <v>0</v>
      </c>
      <c r="L651" s="117"/>
    </row>
    <row r="652" ht="15.75" customHeight="1">
      <c r="A652" s="9"/>
      <c r="B652" s="164"/>
      <c r="C652" s="110"/>
      <c r="D652" s="156"/>
      <c r="E652" s="111"/>
      <c r="F652" s="112"/>
      <c r="G652" s="113"/>
      <c r="H652" s="53">
        <f t="shared" si="1"/>
        <v>0</v>
      </c>
      <c r="I652" s="115"/>
      <c r="J652" s="115"/>
      <c r="K652" s="60">
        <f t="shared" si="2"/>
        <v>0</v>
      </c>
      <c r="L652" s="117"/>
    </row>
    <row r="653" ht="15.75" customHeight="1">
      <c r="A653" s="9"/>
      <c r="B653" s="164"/>
      <c r="C653" s="110"/>
      <c r="D653" s="156"/>
      <c r="E653" s="111"/>
      <c r="F653" s="112"/>
      <c r="G653" s="113"/>
      <c r="H653" s="53">
        <f t="shared" si="1"/>
        <v>0</v>
      </c>
      <c r="I653" s="115"/>
      <c r="J653" s="115"/>
      <c r="K653" s="60">
        <f t="shared" si="2"/>
        <v>0</v>
      </c>
      <c r="L653" s="117"/>
    </row>
    <row r="654" ht="15.75" customHeight="1">
      <c r="A654" s="9"/>
      <c r="B654" s="164"/>
      <c r="C654" s="110"/>
      <c r="D654" s="156"/>
      <c r="E654" s="111"/>
      <c r="F654" s="112"/>
      <c r="G654" s="113"/>
      <c r="H654" s="53">
        <f t="shared" si="1"/>
        <v>0</v>
      </c>
      <c r="I654" s="115"/>
      <c r="J654" s="115"/>
      <c r="K654" s="60">
        <f t="shared" si="2"/>
        <v>0</v>
      </c>
      <c r="L654" s="117"/>
    </row>
    <row r="655" ht="15.75" customHeight="1">
      <c r="A655" s="9"/>
      <c r="B655" s="164"/>
      <c r="C655" s="110"/>
      <c r="D655" s="156"/>
      <c r="E655" s="111"/>
      <c r="F655" s="112"/>
      <c r="G655" s="113"/>
      <c r="H655" s="53">
        <f t="shared" si="1"/>
        <v>0</v>
      </c>
      <c r="I655" s="115"/>
      <c r="J655" s="115"/>
      <c r="K655" s="60">
        <f t="shared" si="2"/>
        <v>0</v>
      </c>
      <c r="L655" s="117"/>
    </row>
    <row r="656" ht="15.75" customHeight="1">
      <c r="A656" s="9"/>
      <c r="B656" s="164"/>
      <c r="C656" s="110"/>
      <c r="D656" s="156"/>
      <c r="E656" s="111"/>
      <c r="F656" s="112"/>
      <c r="G656" s="113"/>
      <c r="H656" s="53">
        <f t="shared" si="1"/>
        <v>0</v>
      </c>
      <c r="I656" s="115"/>
      <c r="J656" s="115"/>
      <c r="K656" s="60">
        <f t="shared" si="2"/>
        <v>0</v>
      </c>
      <c r="L656" s="117"/>
    </row>
    <row r="657" ht="15.75" customHeight="1">
      <c r="A657" s="9"/>
      <c r="B657" s="164"/>
      <c r="C657" s="110"/>
      <c r="D657" s="156"/>
      <c r="E657" s="111"/>
      <c r="F657" s="112"/>
      <c r="G657" s="113"/>
      <c r="H657" s="53">
        <f t="shared" si="1"/>
        <v>0</v>
      </c>
      <c r="I657" s="115"/>
      <c r="J657" s="115"/>
      <c r="K657" s="60">
        <f t="shared" si="2"/>
        <v>0</v>
      </c>
      <c r="L657" s="117"/>
    </row>
    <row r="658" ht="15.75" customHeight="1">
      <c r="A658" s="9"/>
      <c r="B658" s="164"/>
      <c r="C658" s="110"/>
      <c r="D658" s="156"/>
      <c r="E658" s="111"/>
      <c r="F658" s="112"/>
      <c r="G658" s="113"/>
      <c r="H658" s="53">
        <f t="shared" si="1"/>
        <v>0</v>
      </c>
      <c r="I658" s="115"/>
      <c r="J658" s="115"/>
      <c r="K658" s="60">
        <f t="shared" si="2"/>
        <v>0</v>
      </c>
      <c r="L658" s="117"/>
    </row>
    <row r="659" ht="15.75" customHeight="1">
      <c r="A659" s="9"/>
      <c r="B659" s="164"/>
      <c r="C659" s="110"/>
      <c r="D659" s="156"/>
      <c r="E659" s="111"/>
      <c r="F659" s="112"/>
      <c r="G659" s="113"/>
      <c r="H659" s="53">
        <f t="shared" si="1"/>
        <v>0</v>
      </c>
      <c r="I659" s="115"/>
      <c r="J659" s="115"/>
      <c r="K659" s="60">
        <f t="shared" si="2"/>
        <v>0</v>
      </c>
      <c r="L659" s="117"/>
    </row>
    <row r="660" ht="15.75" customHeight="1">
      <c r="A660" s="9"/>
      <c r="B660" s="164"/>
      <c r="C660" s="110"/>
      <c r="D660" s="156"/>
      <c r="E660" s="111"/>
      <c r="F660" s="112"/>
      <c r="G660" s="113"/>
      <c r="H660" s="53">
        <f t="shared" si="1"/>
        <v>0</v>
      </c>
      <c r="I660" s="115"/>
      <c r="J660" s="115"/>
      <c r="K660" s="60">
        <f t="shared" si="2"/>
        <v>0</v>
      </c>
      <c r="L660" s="117"/>
    </row>
    <row r="661" ht="15.75" customHeight="1">
      <c r="A661" s="9"/>
      <c r="B661" s="164"/>
      <c r="C661" s="110"/>
      <c r="D661" s="156"/>
      <c r="E661" s="111"/>
      <c r="F661" s="112"/>
      <c r="G661" s="113"/>
      <c r="H661" s="53">
        <f t="shared" si="1"/>
        <v>0</v>
      </c>
      <c r="I661" s="115"/>
      <c r="J661" s="115"/>
      <c r="K661" s="60">
        <f t="shared" si="2"/>
        <v>0</v>
      </c>
      <c r="L661" s="117"/>
    </row>
    <row r="662" ht="15.75" customHeight="1">
      <c r="A662" s="9"/>
      <c r="B662" s="164"/>
      <c r="C662" s="110"/>
      <c r="D662" s="156"/>
      <c r="E662" s="111"/>
      <c r="F662" s="112"/>
      <c r="G662" s="113"/>
      <c r="H662" s="53">
        <f t="shared" si="1"/>
        <v>0</v>
      </c>
      <c r="I662" s="115"/>
      <c r="J662" s="115"/>
      <c r="K662" s="60">
        <f t="shared" si="2"/>
        <v>0</v>
      </c>
      <c r="L662" s="117"/>
    </row>
    <row r="663" ht="15.75" customHeight="1">
      <c r="A663" s="9"/>
      <c r="B663" s="164"/>
      <c r="C663" s="110"/>
      <c r="D663" s="156"/>
      <c r="E663" s="111"/>
      <c r="F663" s="112"/>
      <c r="G663" s="113"/>
      <c r="H663" s="53">
        <f t="shared" si="1"/>
        <v>0</v>
      </c>
      <c r="I663" s="115"/>
      <c r="J663" s="115"/>
      <c r="K663" s="60">
        <f t="shared" si="2"/>
        <v>0</v>
      </c>
      <c r="L663" s="117"/>
    </row>
    <row r="664" ht="15.75" customHeight="1">
      <c r="A664" s="9"/>
      <c r="B664" s="164"/>
      <c r="C664" s="110"/>
      <c r="D664" s="156"/>
      <c r="E664" s="111"/>
      <c r="F664" s="112"/>
      <c r="G664" s="113"/>
      <c r="H664" s="53">
        <f t="shared" si="1"/>
        <v>0</v>
      </c>
      <c r="I664" s="115"/>
      <c r="J664" s="115"/>
      <c r="K664" s="60">
        <f t="shared" si="2"/>
        <v>0</v>
      </c>
      <c r="L664" s="117"/>
    </row>
    <row r="665" ht="15.75" customHeight="1">
      <c r="A665" s="9"/>
      <c r="B665" s="164"/>
      <c r="C665" s="110"/>
      <c r="D665" s="156"/>
      <c r="E665" s="111"/>
      <c r="F665" s="112"/>
      <c r="G665" s="113"/>
      <c r="H665" s="53">
        <f t="shared" si="1"/>
        <v>0</v>
      </c>
      <c r="I665" s="115"/>
      <c r="J665" s="115"/>
      <c r="K665" s="60">
        <f t="shared" si="2"/>
        <v>0</v>
      </c>
      <c r="L665" s="117"/>
    </row>
    <row r="666" ht="15.75" customHeight="1">
      <c r="A666" s="9"/>
      <c r="B666" s="164"/>
      <c r="C666" s="110"/>
      <c r="D666" s="156"/>
      <c r="E666" s="111"/>
      <c r="F666" s="112"/>
      <c r="G666" s="113"/>
      <c r="H666" s="53">
        <f t="shared" si="1"/>
        <v>0</v>
      </c>
      <c r="I666" s="115"/>
      <c r="J666" s="115"/>
      <c r="K666" s="60">
        <f t="shared" si="2"/>
        <v>0</v>
      </c>
      <c r="L666" s="117"/>
    </row>
    <row r="667" ht="15.75" customHeight="1">
      <c r="A667" s="9"/>
      <c r="B667" s="164"/>
      <c r="C667" s="110"/>
      <c r="D667" s="156"/>
      <c r="E667" s="111"/>
      <c r="F667" s="112"/>
      <c r="G667" s="113"/>
      <c r="H667" s="53">
        <f t="shared" si="1"/>
        <v>0</v>
      </c>
      <c r="I667" s="115"/>
      <c r="J667" s="115"/>
      <c r="K667" s="60">
        <f t="shared" si="2"/>
        <v>0</v>
      </c>
      <c r="L667" s="117"/>
    </row>
    <row r="668" ht="15.75" customHeight="1">
      <c r="A668" s="9"/>
      <c r="B668" s="164"/>
      <c r="C668" s="110"/>
      <c r="D668" s="156"/>
      <c r="E668" s="111"/>
      <c r="F668" s="112"/>
      <c r="G668" s="113"/>
      <c r="H668" s="53">
        <f t="shared" si="1"/>
        <v>0</v>
      </c>
      <c r="I668" s="115"/>
      <c r="J668" s="115"/>
      <c r="K668" s="60">
        <f t="shared" si="2"/>
        <v>0</v>
      </c>
      <c r="L668" s="117"/>
    </row>
    <row r="669" ht="15.75" customHeight="1">
      <c r="A669" s="9"/>
      <c r="B669" s="164"/>
      <c r="C669" s="110"/>
      <c r="D669" s="156"/>
      <c r="E669" s="111"/>
      <c r="F669" s="112"/>
      <c r="G669" s="113"/>
      <c r="H669" s="53">
        <f t="shared" si="1"/>
        <v>0</v>
      </c>
      <c r="I669" s="115"/>
      <c r="J669" s="115"/>
      <c r="K669" s="60">
        <f t="shared" si="2"/>
        <v>0</v>
      </c>
      <c r="L669" s="117"/>
    </row>
    <row r="670" ht="15.75" customHeight="1">
      <c r="A670" s="9"/>
      <c r="B670" s="164"/>
      <c r="C670" s="110"/>
      <c r="D670" s="156"/>
      <c r="E670" s="111"/>
      <c r="F670" s="112"/>
      <c r="G670" s="113"/>
      <c r="H670" s="53">
        <f t="shared" si="1"/>
        <v>0</v>
      </c>
      <c r="I670" s="115"/>
      <c r="J670" s="115"/>
      <c r="K670" s="60">
        <f t="shared" si="2"/>
        <v>0</v>
      </c>
      <c r="L670" s="117"/>
    </row>
    <row r="671" ht="15.75" customHeight="1">
      <c r="A671" s="9"/>
      <c r="B671" s="164"/>
      <c r="C671" s="110"/>
      <c r="D671" s="156"/>
      <c r="E671" s="111"/>
      <c r="F671" s="112"/>
      <c r="G671" s="113"/>
      <c r="H671" s="53">
        <f t="shared" si="1"/>
        <v>0</v>
      </c>
      <c r="I671" s="115"/>
      <c r="J671" s="115"/>
      <c r="K671" s="60">
        <f t="shared" si="2"/>
        <v>0</v>
      </c>
      <c r="L671" s="117"/>
    </row>
    <row r="672" ht="15.75" customHeight="1">
      <c r="A672" s="9"/>
      <c r="B672" s="164"/>
      <c r="C672" s="110"/>
      <c r="D672" s="156"/>
      <c r="E672" s="111"/>
      <c r="F672" s="112"/>
      <c r="G672" s="113"/>
      <c r="H672" s="53">
        <f t="shared" si="1"/>
        <v>0</v>
      </c>
      <c r="I672" s="115"/>
      <c r="J672" s="115"/>
      <c r="K672" s="60">
        <f t="shared" si="2"/>
        <v>0</v>
      </c>
      <c r="L672" s="117"/>
    </row>
    <row r="673" ht="15.75" customHeight="1">
      <c r="A673" s="9"/>
      <c r="B673" s="164"/>
      <c r="C673" s="110"/>
      <c r="D673" s="156"/>
      <c r="E673" s="111"/>
      <c r="F673" s="112"/>
      <c r="G673" s="113"/>
      <c r="H673" s="53">
        <f t="shared" si="1"/>
        <v>0</v>
      </c>
      <c r="I673" s="115"/>
      <c r="J673" s="115"/>
      <c r="K673" s="60">
        <f t="shared" si="2"/>
        <v>0</v>
      </c>
      <c r="L673" s="117"/>
    </row>
    <row r="674" ht="15.75" customHeight="1">
      <c r="A674" s="9"/>
      <c r="B674" s="164"/>
      <c r="C674" s="110"/>
      <c r="D674" s="156"/>
      <c r="E674" s="111"/>
      <c r="F674" s="112"/>
      <c r="G674" s="113"/>
      <c r="H674" s="53">
        <f t="shared" si="1"/>
        <v>0</v>
      </c>
      <c r="I674" s="115"/>
      <c r="J674" s="115"/>
      <c r="K674" s="60">
        <f t="shared" si="2"/>
        <v>0</v>
      </c>
      <c r="L674" s="117"/>
    </row>
    <row r="675" ht="15.75" customHeight="1">
      <c r="A675" s="9"/>
      <c r="B675" s="164"/>
      <c r="C675" s="110"/>
      <c r="D675" s="156"/>
      <c r="E675" s="111"/>
      <c r="F675" s="112"/>
      <c r="G675" s="113"/>
      <c r="H675" s="53">
        <f t="shared" si="1"/>
        <v>0</v>
      </c>
      <c r="I675" s="115"/>
      <c r="J675" s="115"/>
      <c r="K675" s="60">
        <f t="shared" si="2"/>
        <v>0</v>
      </c>
      <c r="L675" s="117"/>
    </row>
    <row r="676" ht="15.75" customHeight="1">
      <c r="A676" s="9"/>
      <c r="B676" s="164"/>
      <c r="C676" s="110"/>
      <c r="D676" s="156"/>
      <c r="E676" s="111"/>
      <c r="F676" s="112"/>
      <c r="G676" s="113"/>
      <c r="H676" s="53">
        <f t="shared" si="1"/>
        <v>0</v>
      </c>
      <c r="I676" s="115"/>
      <c r="J676" s="115"/>
      <c r="K676" s="60">
        <f t="shared" si="2"/>
        <v>0</v>
      </c>
      <c r="L676" s="117"/>
    </row>
    <row r="677" ht="15.75" customHeight="1">
      <c r="A677" s="9"/>
      <c r="B677" s="164"/>
      <c r="C677" s="110"/>
      <c r="D677" s="156"/>
      <c r="E677" s="111"/>
      <c r="F677" s="112"/>
      <c r="G677" s="113"/>
      <c r="H677" s="53">
        <f t="shared" si="1"/>
        <v>0</v>
      </c>
      <c r="I677" s="115"/>
      <c r="J677" s="115"/>
      <c r="K677" s="60">
        <f t="shared" si="2"/>
        <v>0</v>
      </c>
      <c r="L677" s="117"/>
    </row>
    <row r="678" ht="15.75" customHeight="1">
      <c r="A678" s="9"/>
      <c r="B678" s="164"/>
      <c r="C678" s="110"/>
      <c r="D678" s="156"/>
      <c r="E678" s="111"/>
      <c r="F678" s="112"/>
      <c r="G678" s="113"/>
      <c r="H678" s="53">
        <f t="shared" si="1"/>
        <v>0</v>
      </c>
      <c r="I678" s="115"/>
      <c r="J678" s="115"/>
      <c r="K678" s="60">
        <f t="shared" si="2"/>
        <v>0</v>
      </c>
      <c r="L678" s="117"/>
    </row>
    <row r="679" ht="15.75" customHeight="1">
      <c r="A679" s="9"/>
      <c r="B679" s="164"/>
      <c r="C679" s="110"/>
      <c r="D679" s="156"/>
      <c r="E679" s="111"/>
      <c r="F679" s="112"/>
      <c r="G679" s="113"/>
      <c r="H679" s="53">
        <f t="shared" si="1"/>
        <v>0</v>
      </c>
      <c r="I679" s="115"/>
      <c r="J679" s="115"/>
      <c r="K679" s="60">
        <f t="shared" si="2"/>
        <v>0</v>
      </c>
      <c r="L679" s="117"/>
    </row>
    <row r="680" ht="15.75" customHeight="1">
      <c r="A680" s="9"/>
      <c r="B680" s="164"/>
      <c r="C680" s="110"/>
      <c r="D680" s="156"/>
      <c r="E680" s="111"/>
      <c r="F680" s="112"/>
      <c r="G680" s="113"/>
      <c r="H680" s="53">
        <f t="shared" si="1"/>
        <v>0</v>
      </c>
      <c r="I680" s="115"/>
      <c r="J680" s="115"/>
      <c r="K680" s="60">
        <f t="shared" si="2"/>
        <v>0</v>
      </c>
      <c r="L680" s="117"/>
    </row>
    <row r="681" ht="15.75" customHeight="1">
      <c r="A681" s="9"/>
      <c r="B681" s="164"/>
      <c r="C681" s="110"/>
      <c r="D681" s="156"/>
      <c r="E681" s="111"/>
      <c r="F681" s="112"/>
      <c r="G681" s="113"/>
      <c r="H681" s="53">
        <f t="shared" si="1"/>
        <v>0</v>
      </c>
      <c r="I681" s="115"/>
      <c r="J681" s="115"/>
      <c r="K681" s="60">
        <f t="shared" si="2"/>
        <v>0</v>
      </c>
      <c r="L681" s="117"/>
    </row>
    <row r="682" ht="15.75" customHeight="1">
      <c r="A682" s="9"/>
      <c r="B682" s="164"/>
      <c r="C682" s="110"/>
      <c r="D682" s="156"/>
      <c r="E682" s="111"/>
      <c r="F682" s="112"/>
      <c r="G682" s="113"/>
      <c r="H682" s="53">
        <f t="shared" si="1"/>
        <v>0</v>
      </c>
      <c r="I682" s="115"/>
      <c r="J682" s="115"/>
      <c r="K682" s="60">
        <f t="shared" si="2"/>
        <v>0</v>
      </c>
      <c r="L682" s="117"/>
    </row>
    <row r="683" ht="15.75" customHeight="1">
      <c r="A683" s="9"/>
      <c r="B683" s="164"/>
      <c r="C683" s="110"/>
      <c r="D683" s="156"/>
      <c r="E683" s="111"/>
      <c r="F683" s="112"/>
      <c r="G683" s="113"/>
      <c r="H683" s="53">
        <f t="shared" si="1"/>
        <v>0</v>
      </c>
      <c r="I683" s="115"/>
      <c r="J683" s="115"/>
      <c r="K683" s="60">
        <f t="shared" si="2"/>
        <v>0</v>
      </c>
      <c r="L683" s="117"/>
    </row>
    <row r="684" ht="15.75" customHeight="1">
      <c r="A684" s="9"/>
      <c r="B684" s="164"/>
      <c r="C684" s="110"/>
      <c r="D684" s="156"/>
      <c r="E684" s="111"/>
      <c r="F684" s="112"/>
      <c r="G684" s="113"/>
      <c r="H684" s="53">
        <f t="shared" si="1"/>
        <v>0</v>
      </c>
      <c r="I684" s="115"/>
      <c r="J684" s="115"/>
      <c r="K684" s="60">
        <f t="shared" si="2"/>
        <v>0</v>
      </c>
      <c r="L684" s="117"/>
    </row>
    <row r="685" ht="15.75" customHeight="1">
      <c r="A685" s="9"/>
      <c r="B685" s="164"/>
      <c r="C685" s="110"/>
      <c r="D685" s="156"/>
      <c r="E685" s="111"/>
      <c r="F685" s="112"/>
      <c r="G685" s="113"/>
      <c r="H685" s="53">
        <f t="shared" si="1"/>
        <v>0</v>
      </c>
      <c r="I685" s="115"/>
      <c r="J685" s="115"/>
      <c r="K685" s="60">
        <f t="shared" si="2"/>
        <v>0</v>
      </c>
      <c r="L685" s="117"/>
    </row>
    <row r="686" ht="15.75" customHeight="1">
      <c r="A686" s="9"/>
      <c r="B686" s="164"/>
      <c r="C686" s="110"/>
      <c r="D686" s="156"/>
      <c r="E686" s="111"/>
      <c r="F686" s="112"/>
      <c r="G686" s="113"/>
      <c r="H686" s="53">
        <f t="shared" si="1"/>
        <v>0</v>
      </c>
      <c r="I686" s="115"/>
      <c r="J686" s="115"/>
      <c r="K686" s="60">
        <f t="shared" si="2"/>
        <v>0</v>
      </c>
      <c r="L686" s="117"/>
    </row>
    <row r="687" ht="15.75" customHeight="1">
      <c r="A687" s="9"/>
      <c r="B687" s="164"/>
      <c r="C687" s="110"/>
      <c r="D687" s="156"/>
      <c r="E687" s="111"/>
      <c r="F687" s="112"/>
      <c r="G687" s="113"/>
      <c r="H687" s="53">
        <f t="shared" si="1"/>
        <v>0</v>
      </c>
      <c r="I687" s="115"/>
      <c r="J687" s="115"/>
      <c r="K687" s="60">
        <f t="shared" si="2"/>
        <v>0</v>
      </c>
      <c r="L687" s="117"/>
    </row>
    <row r="688" ht="15.75" customHeight="1">
      <c r="A688" s="9"/>
      <c r="B688" s="164"/>
      <c r="C688" s="110"/>
      <c r="D688" s="156"/>
      <c r="E688" s="111"/>
      <c r="F688" s="112"/>
      <c r="G688" s="113"/>
      <c r="H688" s="53">
        <f t="shared" si="1"/>
        <v>0</v>
      </c>
      <c r="I688" s="115"/>
      <c r="J688" s="115"/>
      <c r="K688" s="60">
        <f t="shared" si="2"/>
        <v>0</v>
      </c>
      <c r="L688" s="117"/>
    </row>
    <row r="689" ht="15.75" customHeight="1">
      <c r="A689" s="9"/>
      <c r="B689" s="164"/>
      <c r="C689" s="110"/>
      <c r="D689" s="156"/>
      <c r="E689" s="111"/>
      <c r="F689" s="112"/>
      <c r="G689" s="113"/>
      <c r="H689" s="53">
        <f t="shared" si="1"/>
        <v>0</v>
      </c>
      <c r="I689" s="115"/>
      <c r="J689" s="115"/>
      <c r="K689" s="60">
        <f t="shared" si="2"/>
        <v>0</v>
      </c>
      <c r="L689" s="117"/>
    </row>
    <row r="690" ht="15.75" customHeight="1">
      <c r="A690" s="9"/>
      <c r="B690" s="164"/>
      <c r="C690" s="110"/>
      <c r="D690" s="156"/>
      <c r="E690" s="111"/>
      <c r="F690" s="112"/>
      <c r="G690" s="113"/>
      <c r="H690" s="53">
        <f t="shared" si="1"/>
        <v>0</v>
      </c>
      <c r="I690" s="115"/>
      <c r="J690" s="115"/>
      <c r="K690" s="60">
        <f t="shared" si="2"/>
        <v>0</v>
      </c>
      <c r="L690" s="117"/>
    </row>
    <row r="691" ht="15.75" customHeight="1">
      <c r="A691" s="9"/>
      <c r="B691" s="164"/>
      <c r="C691" s="110"/>
      <c r="D691" s="156"/>
      <c r="E691" s="111"/>
      <c r="F691" s="112"/>
      <c r="G691" s="113"/>
      <c r="H691" s="53">
        <f t="shared" si="1"/>
        <v>0</v>
      </c>
      <c r="I691" s="115"/>
      <c r="J691" s="115"/>
      <c r="K691" s="60">
        <f t="shared" si="2"/>
        <v>0</v>
      </c>
      <c r="L691" s="117"/>
    </row>
    <row r="692" ht="15.75" customHeight="1">
      <c r="A692" s="9"/>
      <c r="B692" s="164"/>
      <c r="C692" s="110"/>
      <c r="D692" s="156"/>
      <c r="E692" s="111"/>
      <c r="F692" s="112"/>
      <c r="G692" s="113"/>
      <c r="H692" s="53">
        <f t="shared" si="1"/>
        <v>0</v>
      </c>
      <c r="I692" s="115"/>
      <c r="J692" s="115"/>
      <c r="K692" s="60">
        <f t="shared" si="2"/>
        <v>0</v>
      </c>
      <c r="L692" s="117"/>
    </row>
    <row r="693" ht="15.75" customHeight="1">
      <c r="A693" s="9"/>
      <c r="B693" s="164"/>
      <c r="C693" s="110"/>
      <c r="D693" s="156"/>
      <c r="E693" s="111"/>
      <c r="F693" s="112"/>
      <c r="G693" s="113"/>
      <c r="H693" s="53">
        <f t="shared" si="1"/>
        <v>0</v>
      </c>
      <c r="I693" s="115"/>
      <c r="J693" s="115"/>
      <c r="K693" s="60">
        <f t="shared" si="2"/>
        <v>0</v>
      </c>
      <c r="L693" s="117"/>
    </row>
    <row r="694" ht="15.75" customHeight="1">
      <c r="A694" s="9"/>
      <c r="B694" s="164"/>
      <c r="C694" s="110"/>
      <c r="D694" s="156"/>
      <c r="E694" s="111"/>
      <c r="F694" s="112"/>
      <c r="G694" s="113"/>
      <c r="H694" s="53">
        <f t="shared" si="1"/>
        <v>0</v>
      </c>
      <c r="I694" s="115"/>
      <c r="J694" s="115"/>
      <c r="K694" s="60">
        <f t="shared" si="2"/>
        <v>0</v>
      </c>
      <c r="L694" s="117"/>
    </row>
    <row r="695" ht="15.75" customHeight="1">
      <c r="A695" s="9"/>
      <c r="B695" s="164"/>
      <c r="C695" s="110"/>
      <c r="D695" s="156"/>
      <c r="E695" s="111"/>
      <c r="F695" s="112"/>
      <c r="G695" s="113"/>
      <c r="H695" s="53">
        <f t="shared" si="1"/>
        <v>0</v>
      </c>
      <c r="I695" s="115"/>
      <c r="J695" s="115"/>
      <c r="K695" s="60">
        <f t="shared" si="2"/>
        <v>0</v>
      </c>
      <c r="L695" s="117"/>
    </row>
    <row r="696" ht="15.75" customHeight="1">
      <c r="A696" s="9"/>
      <c r="B696" s="164"/>
      <c r="C696" s="110"/>
      <c r="D696" s="156"/>
      <c r="E696" s="111"/>
      <c r="F696" s="112"/>
      <c r="G696" s="113"/>
      <c r="H696" s="53">
        <f t="shared" si="1"/>
        <v>0</v>
      </c>
      <c r="I696" s="115"/>
      <c r="J696" s="115"/>
      <c r="K696" s="60">
        <f t="shared" si="2"/>
        <v>0</v>
      </c>
      <c r="L696" s="117"/>
    </row>
    <row r="697" ht="15.75" customHeight="1">
      <c r="A697" s="9"/>
      <c r="B697" s="164"/>
      <c r="C697" s="110"/>
      <c r="D697" s="156"/>
      <c r="E697" s="111"/>
      <c r="F697" s="112"/>
      <c r="G697" s="113"/>
      <c r="H697" s="53">
        <f t="shared" si="1"/>
        <v>0</v>
      </c>
      <c r="I697" s="115"/>
      <c r="J697" s="115"/>
      <c r="K697" s="60">
        <f t="shared" si="2"/>
        <v>0</v>
      </c>
      <c r="L697" s="117"/>
    </row>
    <row r="698" ht="15.75" customHeight="1">
      <c r="A698" s="9"/>
      <c r="B698" s="164"/>
      <c r="C698" s="110"/>
      <c r="D698" s="156"/>
      <c r="E698" s="111"/>
      <c r="F698" s="112"/>
      <c r="G698" s="113"/>
      <c r="H698" s="53">
        <f t="shared" si="1"/>
        <v>0</v>
      </c>
      <c r="I698" s="115"/>
      <c r="J698" s="115"/>
      <c r="K698" s="60">
        <f t="shared" si="2"/>
        <v>0</v>
      </c>
      <c r="L698" s="117"/>
    </row>
    <row r="699" ht="15.75" customHeight="1">
      <c r="A699" s="9"/>
      <c r="B699" s="164"/>
      <c r="C699" s="110"/>
      <c r="D699" s="156"/>
      <c r="E699" s="111"/>
      <c r="F699" s="112"/>
      <c r="G699" s="113"/>
      <c r="H699" s="53">
        <f t="shared" si="1"/>
        <v>0</v>
      </c>
      <c r="I699" s="115"/>
      <c r="J699" s="115"/>
      <c r="K699" s="60">
        <f t="shared" si="2"/>
        <v>0</v>
      </c>
      <c r="L699" s="117"/>
    </row>
    <row r="700" ht="15.75" customHeight="1">
      <c r="A700" s="9"/>
      <c r="B700" s="164"/>
      <c r="C700" s="110"/>
      <c r="D700" s="156"/>
      <c r="E700" s="111"/>
      <c r="F700" s="112"/>
      <c r="G700" s="113"/>
      <c r="H700" s="53">
        <f t="shared" si="1"/>
        <v>0</v>
      </c>
      <c r="I700" s="115"/>
      <c r="J700" s="115"/>
      <c r="K700" s="60">
        <f t="shared" si="2"/>
        <v>0</v>
      </c>
      <c r="L700" s="117"/>
    </row>
    <row r="701" ht="15.75" customHeight="1">
      <c r="A701" s="9"/>
      <c r="B701" s="164"/>
      <c r="C701" s="110"/>
      <c r="D701" s="156"/>
      <c r="E701" s="111"/>
      <c r="F701" s="112"/>
      <c r="G701" s="113"/>
      <c r="H701" s="53">
        <f t="shared" si="1"/>
        <v>0</v>
      </c>
      <c r="I701" s="115"/>
      <c r="J701" s="115"/>
      <c r="K701" s="60">
        <f t="shared" si="2"/>
        <v>0</v>
      </c>
      <c r="L701" s="117"/>
    </row>
    <row r="702" ht="15.75" customHeight="1">
      <c r="A702" s="9"/>
      <c r="B702" s="164"/>
      <c r="C702" s="110"/>
      <c r="D702" s="156"/>
      <c r="E702" s="111"/>
      <c r="F702" s="112"/>
      <c r="G702" s="113"/>
      <c r="H702" s="53">
        <f t="shared" si="1"/>
        <v>0</v>
      </c>
      <c r="I702" s="115"/>
      <c r="J702" s="115"/>
      <c r="K702" s="60">
        <f t="shared" si="2"/>
        <v>0</v>
      </c>
      <c r="L702" s="117"/>
    </row>
    <row r="703" ht="15.75" customHeight="1">
      <c r="A703" s="9"/>
      <c r="B703" s="164"/>
      <c r="C703" s="110"/>
      <c r="D703" s="156"/>
      <c r="E703" s="111"/>
      <c r="F703" s="112"/>
      <c r="G703" s="113"/>
      <c r="H703" s="53">
        <f t="shared" si="1"/>
        <v>0</v>
      </c>
      <c r="I703" s="115"/>
      <c r="J703" s="115"/>
      <c r="K703" s="60">
        <f t="shared" si="2"/>
        <v>0</v>
      </c>
      <c r="L703" s="117"/>
    </row>
    <row r="704" ht="15.75" customHeight="1">
      <c r="A704" s="9"/>
      <c r="B704" s="164"/>
      <c r="C704" s="110"/>
      <c r="D704" s="156"/>
      <c r="E704" s="111"/>
      <c r="F704" s="112"/>
      <c r="G704" s="113"/>
      <c r="H704" s="53">
        <f t="shared" si="1"/>
        <v>0</v>
      </c>
      <c r="I704" s="115"/>
      <c r="J704" s="115"/>
      <c r="K704" s="60">
        <f t="shared" si="2"/>
        <v>0</v>
      </c>
      <c r="L704" s="117"/>
    </row>
    <row r="705" ht="15.75" customHeight="1">
      <c r="A705" s="9"/>
      <c r="B705" s="164"/>
      <c r="C705" s="110"/>
      <c r="D705" s="156"/>
      <c r="E705" s="111"/>
      <c r="F705" s="112"/>
      <c r="G705" s="113"/>
      <c r="H705" s="53">
        <f t="shared" si="1"/>
        <v>0</v>
      </c>
      <c r="I705" s="115"/>
      <c r="J705" s="115"/>
      <c r="K705" s="60">
        <f t="shared" si="2"/>
        <v>0</v>
      </c>
      <c r="L705" s="117"/>
    </row>
    <row r="706" ht="15.75" customHeight="1">
      <c r="A706" s="9"/>
      <c r="B706" s="164"/>
      <c r="C706" s="110"/>
      <c r="D706" s="156"/>
      <c r="E706" s="111"/>
      <c r="F706" s="112"/>
      <c r="G706" s="113"/>
      <c r="H706" s="53">
        <f t="shared" si="1"/>
        <v>0</v>
      </c>
      <c r="I706" s="115"/>
      <c r="J706" s="115"/>
      <c r="K706" s="60">
        <f t="shared" si="2"/>
        <v>0</v>
      </c>
      <c r="L706" s="117"/>
    </row>
    <row r="707" ht="15.75" customHeight="1">
      <c r="A707" s="9"/>
      <c r="B707" s="164"/>
      <c r="C707" s="110"/>
      <c r="D707" s="156"/>
      <c r="E707" s="111"/>
      <c r="F707" s="112"/>
      <c r="G707" s="113"/>
      <c r="H707" s="53">
        <f t="shared" si="1"/>
        <v>0</v>
      </c>
      <c r="I707" s="115"/>
      <c r="J707" s="115"/>
      <c r="K707" s="60">
        <f t="shared" si="2"/>
        <v>0</v>
      </c>
      <c r="L707" s="117"/>
    </row>
    <row r="708" ht="15.75" customHeight="1">
      <c r="A708" s="9"/>
      <c r="B708" s="164"/>
      <c r="C708" s="110"/>
      <c r="D708" s="156"/>
      <c r="E708" s="111"/>
      <c r="F708" s="112"/>
      <c r="G708" s="113"/>
      <c r="H708" s="53">
        <f t="shared" si="1"/>
        <v>0</v>
      </c>
      <c r="I708" s="115"/>
      <c r="J708" s="115"/>
      <c r="K708" s="60">
        <f t="shared" si="2"/>
        <v>0</v>
      </c>
      <c r="L708" s="117"/>
    </row>
    <row r="709" ht="15.75" customHeight="1">
      <c r="A709" s="9"/>
      <c r="B709" s="164"/>
      <c r="C709" s="110"/>
      <c r="D709" s="156"/>
      <c r="E709" s="111"/>
      <c r="F709" s="112"/>
      <c r="G709" s="113"/>
      <c r="H709" s="53">
        <f t="shared" si="1"/>
        <v>0</v>
      </c>
      <c r="I709" s="115"/>
      <c r="J709" s="115"/>
      <c r="K709" s="60">
        <f t="shared" si="2"/>
        <v>0</v>
      </c>
      <c r="L709" s="117"/>
    </row>
    <row r="710" ht="15.75" customHeight="1">
      <c r="A710" s="9"/>
      <c r="B710" s="164"/>
      <c r="C710" s="110"/>
      <c r="D710" s="156"/>
      <c r="E710" s="111"/>
      <c r="F710" s="112"/>
      <c r="G710" s="113"/>
      <c r="H710" s="53">
        <f t="shared" si="1"/>
        <v>0</v>
      </c>
      <c r="I710" s="115"/>
      <c r="J710" s="115"/>
      <c r="K710" s="60">
        <f t="shared" si="2"/>
        <v>0</v>
      </c>
      <c r="L710" s="117"/>
    </row>
    <row r="711" ht="15.75" customHeight="1">
      <c r="A711" s="9"/>
      <c r="B711" s="164"/>
      <c r="C711" s="110"/>
      <c r="D711" s="156"/>
      <c r="E711" s="111"/>
      <c r="F711" s="112"/>
      <c r="G711" s="113"/>
      <c r="H711" s="53">
        <f t="shared" si="1"/>
        <v>0</v>
      </c>
      <c r="I711" s="115"/>
      <c r="J711" s="115"/>
      <c r="K711" s="60">
        <f t="shared" si="2"/>
        <v>0</v>
      </c>
      <c r="L711" s="117"/>
    </row>
    <row r="712" ht="15.75" customHeight="1">
      <c r="A712" s="9"/>
      <c r="B712" s="164"/>
      <c r="C712" s="110"/>
      <c r="D712" s="156"/>
      <c r="E712" s="111"/>
      <c r="F712" s="112"/>
      <c r="G712" s="113"/>
      <c r="H712" s="53">
        <f t="shared" si="1"/>
        <v>0</v>
      </c>
      <c r="I712" s="115"/>
      <c r="J712" s="115"/>
      <c r="K712" s="60">
        <f t="shared" si="2"/>
        <v>0</v>
      </c>
      <c r="L712" s="117"/>
    </row>
    <row r="713" ht="15.75" customHeight="1">
      <c r="A713" s="9"/>
      <c r="B713" s="164"/>
      <c r="C713" s="110"/>
      <c r="D713" s="156"/>
      <c r="E713" s="111"/>
      <c r="F713" s="112"/>
      <c r="G713" s="113"/>
      <c r="H713" s="53">
        <f t="shared" si="1"/>
        <v>0</v>
      </c>
      <c r="I713" s="115"/>
      <c r="J713" s="115"/>
      <c r="K713" s="60">
        <f t="shared" si="2"/>
        <v>0</v>
      </c>
      <c r="L713" s="117"/>
    </row>
    <row r="714" ht="15.75" customHeight="1">
      <c r="A714" s="9"/>
      <c r="B714" s="164"/>
      <c r="C714" s="110"/>
      <c r="D714" s="156"/>
      <c r="E714" s="111"/>
      <c r="F714" s="112"/>
      <c r="G714" s="113"/>
      <c r="H714" s="53">
        <f t="shared" si="1"/>
        <v>0</v>
      </c>
      <c r="I714" s="115"/>
      <c r="J714" s="115"/>
      <c r="K714" s="60">
        <f t="shared" si="2"/>
        <v>0</v>
      </c>
      <c r="L714" s="117"/>
    </row>
    <row r="715" ht="15.75" customHeight="1">
      <c r="A715" s="9"/>
      <c r="B715" s="164"/>
      <c r="C715" s="110"/>
      <c r="D715" s="156"/>
      <c r="E715" s="111"/>
      <c r="F715" s="112"/>
      <c r="G715" s="113"/>
      <c r="H715" s="53">
        <f t="shared" si="1"/>
        <v>0</v>
      </c>
      <c r="I715" s="115"/>
      <c r="J715" s="115"/>
      <c r="K715" s="60">
        <f t="shared" si="2"/>
        <v>0</v>
      </c>
      <c r="L715" s="117"/>
    </row>
    <row r="716" ht="15.75" customHeight="1">
      <c r="A716" s="9"/>
      <c r="B716" s="164"/>
      <c r="C716" s="110"/>
      <c r="D716" s="156"/>
      <c r="E716" s="111"/>
      <c r="F716" s="112"/>
      <c r="G716" s="113"/>
      <c r="H716" s="53">
        <f t="shared" si="1"/>
        <v>0</v>
      </c>
      <c r="I716" s="115"/>
      <c r="J716" s="115"/>
      <c r="K716" s="60">
        <f t="shared" si="2"/>
        <v>0</v>
      </c>
      <c r="L716" s="117"/>
    </row>
    <row r="717" ht="15.75" customHeight="1">
      <c r="A717" s="9"/>
      <c r="B717" s="164"/>
      <c r="C717" s="110"/>
      <c r="D717" s="156"/>
      <c r="E717" s="111"/>
      <c r="F717" s="112"/>
      <c r="G717" s="113"/>
      <c r="H717" s="53">
        <f t="shared" si="1"/>
        <v>0</v>
      </c>
      <c r="I717" s="115"/>
      <c r="J717" s="115"/>
      <c r="K717" s="60">
        <f t="shared" si="2"/>
        <v>0</v>
      </c>
      <c r="L717" s="117"/>
    </row>
    <row r="718" ht="15.75" customHeight="1">
      <c r="A718" s="9"/>
      <c r="B718" s="164"/>
      <c r="C718" s="110"/>
      <c r="D718" s="156"/>
      <c r="E718" s="111"/>
      <c r="F718" s="112"/>
      <c r="G718" s="113"/>
      <c r="H718" s="53">
        <f t="shared" si="1"/>
        <v>0</v>
      </c>
      <c r="I718" s="115"/>
      <c r="J718" s="115"/>
      <c r="K718" s="60">
        <f t="shared" si="2"/>
        <v>0</v>
      </c>
      <c r="L718" s="117"/>
    </row>
    <row r="719" ht="15.75" customHeight="1">
      <c r="A719" s="9"/>
      <c r="B719" s="164"/>
      <c r="C719" s="110"/>
      <c r="D719" s="156"/>
      <c r="E719" s="111"/>
      <c r="F719" s="112"/>
      <c r="G719" s="113"/>
      <c r="H719" s="53">
        <f t="shared" si="1"/>
        <v>0</v>
      </c>
      <c r="I719" s="115"/>
      <c r="J719" s="115"/>
      <c r="K719" s="60">
        <f t="shared" si="2"/>
        <v>0</v>
      </c>
      <c r="L719" s="117"/>
    </row>
    <row r="720" ht="15.75" customHeight="1">
      <c r="A720" s="9"/>
      <c r="B720" s="164"/>
      <c r="C720" s="110"/>
      <c r="D720" s="156"/>
      <c r="E720" s="111"/>
      <c r="F720" s="112"/>
      <c r="G720" s="113"/>
      <c r="H720" s="53">
        <f t="shared" si="1"/>
        <v>0</v>
      </c>
      <c r="I720" s="115"/>
      <c r="J720" s="115"/>
      <c r="K720" s="60">
        <f t="shared" si="2"/>
        <v>0</v>
      </c>
      <c r="L720" s="117"/>
    </row>
    <row r="721" ht="15.75" customHeight="1">
      <c r="A721" s="9"/>
      <c r="B721" s="164"/>
      <c r="C721" s="110"/>
      <c r="D721" s="156"/>
      <c r="E721" s="111"/>
      <c r="F721" s="112"/>
      <c r="G721" s="113"/>
      <c r="H721" s="53">
        <f t="shared" si="1"/>
        <v>0</v>
      </c>
      <c r="I721" s="115"/>
      <c r="J721" s="115"/>
      <c r="K721" s="60">
        <f t="shared" si="2"/>
        <v>0</v>
      </c>
      <c r="L721" s="117"/>
    </row>
    <row r="722" ht="15.75" customHeight="1">
      <c r="A722" s="9"/>
      <c r="B722" s="164"/>
      <c r="C722" s="110"/>
      <c r="D722" s="156"/>
      <c r="E722" s="111"/>
      <c r="F722" s="112"/>
      <c r="G722" s="113"/>
      <c r="H722" s="53">
        <f t="shared" si="1"/>
        <v>0</v>
      </c>
      <c r="I722" s="115"/>
      <c r="J722" s="115"/>
      <c r="K722" s="60">
        <f t="shared" si="2"/>
        <v>0</v>
      </c>
      <c r="L722" s="117"/>
    </row>
    <row r="723" ht="15.75" customHeight="1">
      <c r="A723" s="9"/>
      <c r="B723" s="164"/>
      <c r="C723" s="110"/>
      <c r="D723" s="156"/>
      <c r="E723" s="111"/>
      <c r="F723" s="112"/>
      <c r="G723" s="113"/>
      <c r="H723" s="53">
        <f t="shared" si="1"/>
        <v>0</v>
      </c>
      <c r="I723" s="115"/>
      <c r="J723" s="115"/>
      <c r="K723" s="60">
        <f t="shared" si="2"/>
        <v>0</v>
      </c>
      <c r="L723" s="117"/>
    </row>
    <row r="724" ht="15.75" customHeight="1">
      <c r="A724" s="9"/>
      <c r="B724" s="164"/>
      <c r="C724" s="110"/>
      <c r="D724" s="156"/>
      <c r="E724" s="111"/>
      <c r="F724" s="112"/>
      <c r="G724" s="113"/>
      <c r="H724" s="53">
        <f t="shared" si="1"/>
        <v>0</v>
      </c>
      <c r="I724" s="115"/>
      <c r="J724" s="115"/>
      <c r="K724" s="60">
        <f t="shared" si="2"/>
        <v>0</v>
      </c>
      <c r="L724" s="117"/>
    </row>
    <row r="725" ht="15.75" customHeight="1">
      <c r="A725" s="9"/>
      <c r="B725" s="164"/>
      <c r="C725" s="110"/>
      <c r="D725" s="156"/>
      <c r="E725" s="111"/>
      <c r="F725" s="112"/>
      <c r="G725" s="113"/>
      <c r="H725" s="53">
        <f t="shared" si="1"/>
        <v>0</v>
      </c>
      <c r="I725" s="115"/>
      <c r="J725" s="115"/>
      <c r="K725" s="60">
        <f t="shared" si="2"/>
        <v>0</v>
      </c>
      <c r="L725" s="117"/>
    </row>
    <row r="726" ht="15.75" customHeight="1">
      <c r="A726" s="9"/>
      <c r="B726" s="164"/>
      <c r="C726" s="110"/>
      <c r="D726" s="156"/>
      <c r="E726" s="111"/>
      <c r="F726" s="112"/>
      <c r="G726" s="113"/>
      <c r="H726" s="53">
        <f t="shared" si="1"/>
        <v>0</v>
      </c>
      <c r="I726" s="115"/>
      <c r="J726" s="115"/>
      <c r="K726" s="60">
        <f t="shared" si="2"/>
        <v>0</v>
      </c>
      <c r="L726" s="117"/>
    </row>
    <row r="727" ht="15.75" customHeight="1">
      <c r="A727" s="9"/>
      <c r="B727" s="164"/>
      <c r="C727" s="110"/>
      <c r="D727" s="156"/>
      <c r="E727" s="111"/>
      <c r="F727" s="112"/>
      <c r="G727" s="113"/>
      <c r="H727" s="53">
        <f t="shared" si="1"/>
        <v>0</v>
      </c>
      <c r="I727" s="115"/>
      <c r="J727" s="115"/>
      <c r="K727" s="60">
        <f t="shared" si="2"/>
        <v>0</v>
      </c>
      <c r="L727" s="117"/>
    </row>
    <row r="728" ht="15.75" customHeight="1">
      <c r="A728" s="9"/>
      <c r="B728" s="164"/>
      <c r="C728" s="110"/>
      <c r="D728" s="156"/>
      <c r="E728" s="111"/>
      <c r="F728" s="112"/>
      <c r="G728" s="113"/>
      <c r="H728" s="53">
        <f t="shared" si="1"/>
        <v>0</v>
      </c>
      <c r="I728" s="115"/>
      <c r="J728" s="115"/>
      <c r="K728" s="60">
        <f t="shared" si="2"/>
        <v>0</v>
      </c>
      <c r="L728" s="117"/>
    </row>
    <row r="729" ht="15.75" customHeight="1">
      <c r="A729" s="9"/>
      <c r="B729" s="164"/>
      <c r="C729" s="110"/>
      <c r="D729" s="156"/>
      <c r="E729" s="111"/>
      <c r="F729" s="112"/>
      <c r="G729" s="113"/>
      <c r="H729" s="53">
        <f t="shared" si="1"/>
        <v>0</v>
      </c>
      <c r="I729" s="115"/>
      <c r="J729" s="115"/>
      <c r="K729" s="60">
        <f t="shared" si="2"/>
        <v>0</v>
      </c>
      <c r="L729" s="117"/>
    </row>
    <row r="730" ht="15.75" customHeight="1">
      <c r="A730" s="9"/>
      <c r="B730" s="164"/>
      <c r="C730" s="110"/>
      <c r="D730" s="156"/>
      <c r="E730" s="111"/>
      <c r="F730" s="112"/>
      <c r="G730" s="113"/>
      <c r="H730" s="53">
        <f t="shared" si="1"/>
        <v>0</v>
      </c>
      <c r="I730" s="115"/>
      <c r="J730" s="115"/>
      <c r="K730" s="60">
        <f t="shared" si="2"/>
        <v>0</v>
      </c>
      <c r="L730" s="117"/>
    </row>
    <row r="731" ht="15.75" customHeight="1">
      <c r="A731" s="9"/>
      <c r="B731" s="164"/>
      <c r="C731" s="110"/>
      <c r="D731" s="156"/>
      <c r="E731" s="111"/>
      <c r="F731" s="112"/>
      <c r="G731" s="113"/>
      <c r="H731" s="53">
        <f t="shared" si="1"/>
        <v>0</v>
      </c>
      <c r="I731" s="115"/>
      <c r="J731" s="115"/>
      <c r="K731" s="60">
        <f t="shared" si="2"/>
        <v>0</v>
      </c>
      <c r="L731" s="117"/>
    </row>
    <row r="732" ht="15.75" customHeight="1">
      <c r="A732" s="9"/>
      <c r="B732" s="164"/>
      <c r="C732" s="110"/>
      <c r="D732" s="156"/>
      <c r="E732" s="111"/>
      <c r="F732" s="112"/>
      <c r="G732" s="113"/>
      <c r="H732" s="53">
        <f t="shared" si="1"/>
        <v>0</v>
      </c>
      <c r="I732" s="115"/>
      <c r="J732" s="115"/>
      <c r="K732" s="60">
        <f t="shared" si="2"/>
        <v>0</v>
      </c>
      <c r="L732" s="117"/>
    </row>
    <row r="733" ht="15.75" customHeight="1">
      <c r="A733" s="9"/>
      <c r="B733" s="164"/>
      <c r="C733" s="110"/>
      <c r="D733" s="156"/>
      <c r="E733" s="111"/>
      <c r="F733" s="112"/>
      <c r="G733" s="113"/>
      <c r="H733" s="53">
        <f t="shared" si="1"/>
        <v>0</v>
      </c>
      <c r="I733" s="115"/>
      <c r="J733" s="115"/>
      <c r="K733" s="60">
        <f t="shared" si="2"/>
        <v>0</v>
      </c>
      <c r="L733" s="117"/>
    </row>
    <row r="734" ht="15.75" customHeight="1">
      <c r="A734" s="9"/>
      <c r="B734" s="164"/>
      <c r="C734" s="110"/>
      <c r="D734" s="156"/>
      <c r="E734" s="111"/>
      <c r="F734" s="112"/>
      <c r="G734" s="113"/>
      <c r="H734" s="53">
        <f t="shared" si="1"/>
        <v>0</v>
      </c>
      <c r="I734" s="115"/>
      <c r="J734" s="115"/>
      <c r="K734" s="60">
        <f t="shared" si="2"/>
        <v>0</v>
      </c>
      <c r="L734" s="117"/>
    </row>
    <row r="735" ht="15.75" customHeight="1">
      <c r="A735" s="9"/>
      <c r="B735" s="164"/>
      <c r="C735" s="110"/>
      <c r="D735" s="156"/>
      <c r="E735" s="111"/>
      <c r="F735" s="112"/>
      <c r="G735" s="113"/>
      <c r="H735" s="53">
        <f t="shared" si="1"/>
        <v>0</v>
      </c>
      <c r="I735" s="115"/>
      <c r="J735" s="115"/>
      <c r="K735" s="60">
        <f t="shared" si="2"/>
        <v>0</v>
      </c>
      <c r="L735" s="117"/>
    </row>
    <row r="736" ht="15.75" customHeight="1">
      <c r="A736" s="9"/>
      <c r="B736" s="164"/>
      <c r="C736" s="110"/>
      <c r="D736" s="156"/>
      <c r="E736" s="111"/>
      <c r="F736" s="112"/>
      <c r="G736" s="113"/>
      <c r="H736" s="53">
        <f t="shared" si="1"/>
        <v>0</v>
      </c>
      <c r="I736" s="115"/>
      <c r="J736" s="115"/>
      <c r="K736" s="60">
        <f t="shared" si="2"/>
        <v>0</v>
      </c>
      <c r="L736" s="117"/>
    </row>
    <row r="737" ht="15.75" customHeight="1">
      <c r="A737" s="9"/>
      <c r="B737" s="164"/>
      <c r="C737" s="110"/>
      <c r="D737" s="156"/>
      <c r="E737" s="111"/>
      <c r="F737" s="112"/>
      <c r="G737" s="113"/>
      <c r="H737" s="53">
        <f t="shared" si="1"/>
        <v>0</v>
      </c>
      <c r="I737" s="115"/>
      <c r="J737" s="115"/>
      <c r="K737" s="60">
        <f t="shared" si="2"/>
        <v>0</v>
      </c>
      <c r="L737" s="117"/>
    </row>
    <row r="738" ht="15.75" customHeight="1">
      <c r="A738" s="9"/>
      <c r="B738" s="164"/>
      <c r="C738" s="110"/>
      <c r="D738" s="156"/>
      <c r="E738" s="111"/>
      <c r="F738" s="112"/>
      <c r="G738" s="113"/>
      <c r="H738" s="53">
        <f t="shared" si="1"/>
        <v>0</v>
      </c>
      <c r="I738" s="115"/>
      <c r="J738" s="115"/>
      <c r="K738" s="60">
        <f t="shared" si="2"/>
        <v>0</v>
      </c>
      <c r="L738" s="117"/>
    </row>
    <row r="739" ht="15.75" customHeight="1">
      <c r="A739" s="9"/>
      <c r="B739" s="164"/>
      <c r="C739" s="110"/>
      <c r="D739" s="156"/>
      <c r="E739" s="111"/>
      <c r="F739" s="112"/>
      <c r="G739" s="113"/>
      <c r="H739" s="53">
        <f t="shared" si="1"/>
        <v>0</v>
      </c>
      <c r="I739" s="115"/>
      <c r="J739" s="115"/>
      <c r="K739" s="60">
        <f t="shared" si="2"/>
        <v>0</v>
      </c>
      <c r="L739" s="117"/>
    </row>
    <row r="740" ht="15.75" customHeight="1">
      <c r="A740" s="9"/>
      <c r="B740" s="164"/>
      <c r="C740" s="110"/>
      <c r="D740" s="156"/>
      <c r="E740" s="111"/>
      <c r="F740" s="112"/>
      <c r="G740" s="113"/>
      <c r="H740" s="53">
        <f t="shared" si="1"/>
        <v>0</v>
      </c>
      <c r="I740" s="115"/>
      <c r="J740" s="115"/>
      <c r="K740" s="60">
        <f t="shared" si="2"/>
        <v>0</v>
      </c>
      <c r="L740" s="117"/>
    </row>
    <row r="741" ht="15.75" customHeight="1">
      <c r="A741" s="9"/>
      <c r="B741" s="164"/>
      <c r="C741" s="110"/>
      <c r="D741" s="156"/>
      <c r="E741" s="111"/>
      <c r="F741" s="112"/>
      <c r="G741" s="113"/>
      <c r="H741" s="53">
        <f t="shared" si="1"/>
        <v>0</v>
      </c>
      <c r="I741" s="115"/>
      <c r="J741" s="115"/>
      <c r="K741" s="60">
        <f t="shared" si="2"/>
        <v>0</v>
      </c>
      <c r="L741" s="117"/>
    </row>
    <row r="742" ht="15.75" customHeight="1">
      <c r="A742" s="9"/>
      <c r="B742" s="164"/>
      <c r="C742" s="110"/>
      <c r="D742" s="156"/>
      <c r="E742" s="111"/>
      <c r="F742" s="112"/>
      <c r="G742" s="113"/>
      <c r="H742" s="53">
        <f t="shared" si="1"/>
        <v>0</v>
      </c>
      <c r="I742" s="115"/>
      <c r="J742" s="115"/>
      <c r="K742" s="60">
        <f t="shared" si="2"/>
        <v>0</v>
      </c>
      <c r="L742" s="117"/>
    </row>
    <row r="743" ht="15.75" customHeight="1">
      <c r="A743" s="9"/>
      <c r="B743" s="164"/>
      <c r="C743" s="110"/>
      <c r="D743" s="156"/>
      <c r="E743" s="111"/>
      <c r="F743" s="112"/>
      <c r="G743" s="113"/>
      <c r="H743" s="53">
        <f t="shared" si="1"/>
        <v>0</v>
      </c>
      <c r="I743" s="115"/>
      <c r="J743" s="115"/>
      <c r="K743" s="60">
        <f t="shared" si="2"/>
        <v>0</v>
      </c>
      <c r="L743" s="117"/>
    </row>
    <row r="744" ht="15.75" customHeight="1">
      <c r="A744" s="9"/>
      <c r="B744" s="164"/>
      <c r="C744" s="110"/>
      <c r="D744" s="156"/>
      <c r="E744" s="111"/>
      <c r="F744" s="112"/>
      <c r="G744" s="113"/>
      <c r="H744" s="53">
        <f t="shared" si="1"/>
        <v>0</v>
      </c>
      <c r="I744" s="115"/>
      <c r="J744" s="115"/>
      <c r="K744" s="60">
        <f t="shared" si="2"/>
        <v>0</v>
      </c>
      <c r="L744" s="117"/>
    </row>
    <row r="745" ht="15.75" customHeight="1">
      <c r="A745" s="9"/>
      <c r="B745" s="164"/>
      <c r="C745" s="110"/>
      <c r="D745" s="156"/>
      <c r="E745" s="111"/>
      <c r="F745" s="112"/>
      <c r="G745" s="113"/>
      <c r="H745" s="53">
        <f t="shared" si="1"/>
        <v>0</v>
      </c>
      <c r="I745" s="115"/>
      <c r="J745" s="115"/>
      <c r="K745" s="60">
        <f t="shared" si="2"/>
        <v>0</v>
      </c>
      <c r="L745" s="117"/>
    </row>
    <row r="746" ht="15.75" customHeight="1">
      <c r="A746" s="9"/>
      <c r="B746" s="164"/>
      <c r="C746" s="110"/>
      <c r="D746" s="156"/>
      <c r="E746" s="111"/>
      <c r="F746" s="112"/>
      <c r="G746" s="113"/>
      <c r="H746" s="53">
        <f t="shared" si="1"/>
        <v>0</v>
      </c>
      <c r="I746" s="115"/>
      <c r="J746" s="115"/>
      <c r="K746" s="60">
        <f t="shared" si="2"/>
        <v>0</v>
      </c>
      <c r="L746" s="117"/>
    </row>
    <row r="747" ht="15.75" customHeight="1">
      <c r="A747" s="9"/>
      <c r="B747" s="164"/>
      <c r="C747" s="110"/>
      <c r="D747" s="156"/>
      <c r="E747" s="111"/>
      <c r="F747" s="112"/>
      <c r="G747" s="113"/>
      <c r="H747" s="53">
        <f t="shared" si="1"/>
        <v>0</v>
      </c>
      <c r="I747" s="115"/>
      <c r="J747" s="115"/>
      <c r="K747" s="60">
        <f t="shared" si="2"/>
        <v>0</v>
      </c>
      <c r="L747" s="117"/>
    </row>
    <row r="748" ht="15.75" customHeight="1">
      <c r="A748" s="9"/>
      <c r="B748" s="164"/>
      <c r="C748" s="110"/>
      <c r="D748" s="156"/>
      <c r="E748" s="111"/>
      <c r="F748" s="112"/>
      <c r="G748" s="113"/>
      <c r="H748" s="53">
        <f t="shared" si="1"/>
        <v>0</v>
      </c>
      <c r="I748" s="115"/>
      <c r="J748" s="115"/>
      <c r="K748" s="60">
        <f t="shared" si="2"/>
        <v>0</v>
      </c>
      <c r="L748" s="117"/>
    </row>
    <row r="749" ht="15.75" customHeight="1">
      <c r="A749" s="9"/>
      <c r="B749" s="164"/>
      <c r="C749" s="110"/>
      <c r="D749" s="156"/>
      <c r="E749" s="111"/>
      <c r="F749" s="112"/>
      <c r="G749" s="113"/>
      <c r="H749" s="53">
        <f t="shared" si="1"/>
        <v>0</v>
      </c>
      <c r="I749" s="115"/>
      <c r="J749" s="115"/>
      <c r="K749" s="60">
        <f t="shared" si="2"/>
        <v>0</v>
      </c>
      <c r="L749" s="117"/>
    </row>
    <row r="750" ht="15.75" customHeight="1">
      <c r="A750" s="9"/>
      <c r="B750" s="164"/>
      <c r="C750" s="110"/>
      <c r="D750" s="156"/>
      <c r="E750" s="111"/>
      <c r="F750" s="112"/>
      <c r="G750" s="113"/>
      <c r="H750" s="53">
        <f t="shared" si="1"/>
        <v>0</v>
      </c>
      <c r="I750" s="115"/>
      <c r="J750" s="115"/>
      <c r="K750" s="60">
        <f t="shared" si="2"/>
        <v>0</v>
      </c>
      <c r="L750" s="117"/>
    </row>
    <row r="751" ht="15.75" customHeight="1">
      <c r="A751" s="9"/>
      <c r="B751" s="164"/>
      <c r="C751" s="110"/>
      <c r="D751" s="156"/>
      <c r="E751" s="111"/>
      <c r="F751" s="112"/>
      <c r="G751" s="113"/>
      <c r="H751" s="53">
        <f t="shared" si="1"/>
        <v>0</v>
      </c>
      <c r="I751" s="115"/>
      <c r="J751" s="115"/>
      <c r="K751" s="60">
        <f t="shared" si="2"/>
        <v>0</v>
      </c>
      <c r="L751" s="117"/>
    </row>
    <row r="752" ht="15.75" customHeight="1">
      <c r="A752" s="9"/>
      <c r="B752" s="164"/>
      <c r="C752" s="110"/>
      <c r="D752" s="156"/>
      <c r="E752" s="111"/>
      <c r="F752" s="112"/>
      <c r="G752" s="113"/>
      <c r="H752" s="53">
        <f t="shared" si="1"/>
        <v>0</v>
      </c>
      <c r="I752" s="115"/>
      <c r="J752" s="115"/>
      <c r="K752" s="60">
        <f t="shared" si="2"/>
        <v>0</v>
      </c>
      <c r="L752" s="117"/>
    </row>
    <row r="753" ht="15.75" customHeight="1">
      <c r="A753" s="9"/>
      <c r="B753" s="164"/>
      <c r="C753" s="110"/>
      <c r="D753" s="156"/>
      <c r="E753" s="111"/>
      <c r="F753" s="112"/>
      <c r="G753" s="113"/>
      <c r="H753" s="53">
        <f t="shared" si="1"/>
        <v>0</v>
      </c>
      <c r="I753" s="115"/>
      <c r="J753" s="115"/>
      <c r="K753" s="60">
        <f t="shared" si="2"/>
        <v>0</v>
      </c>
      <c r="L753" s="117"/>
    </row>
    <row r="754" ht="15.75" customHeight="1">
      <c r="A754" s="9"/>
      <c r="B754" s="164"/>
      <c r="C754" s="110"/>
      <c r="D754" s="156"/>
      <c r="E754" s="111"/>
      <c r="F754" s="112"/>
      <c r="G754" s="113"/>
      <c r="H754" s="53">
        <f t="shared" si="1"/>
        <v>0</v>
      </c>
      <c r="I754" s="115"/>
      <c r="J754" s="115"/>
      <c r="K754" s="60">
        <f t="shared" si="2"/>
        <v>0</v>
      </c>
      <c r="L754" s="117"/>
    </row>
    <row r="755" ht="15.75" customHeight="1">
      <c r="A755" s="9"/>
      <c r="B755" s="164"/>
      <c r="C755" s="110"/>
      <c r="D755" s="156"/>
      <c r="E755" s="111"/>
      <c r="F755" s="112"/>
      <c r="G755" s="113"/>
      <c r="H755" s="53">
        <f t="shared" si="1"/>
        <v>0</v>
      </c>
      <c r="I755" s="115"/>
      <c r="J755" s="115"/>
      <c r="K755" s="60">
        <f t="shared" si="2"/>
        <v>0</v>
      </c>
      <c r="L755" s="117"/>
    </row>
    <row r="756" ht="15.75" customHeight="1">
      <c r="A756" s="9"/>
      <c r="B756" s="164"/>
      <c r="C756" s="110"/>
      <c r="D756" s="156"/>
      <c r="E756" s="111"/>
      <c r="F756" s="112"/>
      <c r="G756" s="113"/>
      <c r="H756" s="53">
        <f t="shared" si="1"/>
        <v>0</v>
      </c>
      <c r="I756" s="115"/>
      <c r="J756" s="115"/>
      <c r="K756" s="60">
        <f t="shared" si="2"/>
        <v>0</v>
      </c>
      <c r="L756" s="117"/>
    </row>
    <row r="757" ht="15.75" customHeight="1">
      <c r="A757" s="9"/>
      <c r="B757" s="164"/>
      <c r="C757" s="110"/>
      <c r="D757" s="156"/>
      <c r="E757" s="111"/>
      <c r="F757" s="112"/>
      <c r="G757" s="113"/>
      <c r="H757" s="53">
        <f t="shared" si="1"/>
        <v>0</v>
      </c>
      <c r="I757" s="115"/>
      <c r="J757" s="115"/>
      <c r="K757" s="60">
        <f t="shared" si="2"/>
        <v>0</v>
      </c>
      <c r="L757" s="117"/>
    </row>
    <row r="758" ht="15.75" customHeight="1">
      <c r="A758" s="9"/>
      <c r="B758" s="164"/>
      <c r="C758" s="110"/>
      <c r="D758" s="156"/>
      <c r="E758" s="111"/>
      <c r="F758" s="112"/>
      <c r="G758" s="113"/>
      <c r="H758" s="53">
        <f t="shared" si="1"/>
        <v>0</v>
      </c>
      <c r="I758" s="115"/>
      <c r="J758" s="115"/>
      <c r="K758" s="60">
        <f t="shared" si="2"/>
        <v>0</v>
      </c>
      <c r="L758" s="117"/>
    </row>
    <row r="759" ht="15.75" customHeight="1">
      <c r="A759" s="9"/>
      <c r="B759" s="164"/>
      <c r="C759" s="110"/>
      <c r="D759" s="156"/>
      <c r="E759" s="111"/>
      <c r="F759" s="112"/>
      <c r="G759" s="113"/>
      <c r="H759" s="53">
        <f t="shared" si="1"/>
        <v>0</v>
      </c>
      <c r="I759" s="115"/>
      <c r="J759" s="115"/>
      <c r="K759" s="60">
        <f t="shared" si="2"/>
        <v>0</v>
      </c>
      <c r="L759" s="117"/>
    </row>
    <row r="760" ht="15.75" customHeight="1">
      <c r="A760" s="9"/>
      <c r="B760" s="164"/>
      <c r="C760" s="110"/>
      <c r="D760" s="156"/>
      <c r="E760" s="111"/>
      <c r="F760" s="112"/>
      <c r="G760" s="113"/>
      <c r="H760" s="53">
        <f t="shared" si="1"/>
        <v>0</v>
      </c>
      <c r="I760" s="115"/>
      <c r="J760" s="115"/>
      <c r="K760" s="60">
        <f t="shared" si="2"/>
        <v>0</v>
      </c>
      <c r="L760" s="117"/>
    </row>
    <row r="761" ht="15.75" customHeight="1">
      <c r="A761" s="9"/>
      <c r="B761" s="164"/>
      <c r="C761" s="110"/>
      <c r="D761" s="156"/>
      <c r="E761" s="111"/>
      <c r="F761" s="112"/>
      <c r="G761" s="113"/>
      <c r="H761" s="53">
        <f t="shared" si="1"/>
        <v>0</v>
      </c>
      <c r="I761" s="115"/>
      <c r="J761" s="115"/>
      <c r="K761" s="60">
        <f t="shared" si="2"/>
        <v>0</v>
      </c>
      <c r="L761" s="117"/>
    </row>
    <row r="762" ht="15.75" customHeight="1">
      <c r="A762" s="9"/>
      <c r="B762" s="164"/>
      <c r="C762" s="110"/>
      <c r="D762" s="156"/>
      <c r="E762" s="111"/>
      <c r="F762" s="112"/>
      <c r="G762" s="113"/>
      <c r="H762" s="53">
        <f t="shared" si="1"/>
        <v>0</v>
      </c>
      <c r="I762" s="115"/>
      <c r="J762" s="115"/>
      <c r="K762" s="60">
        <f t="shared" si="2"/>
        <v>0</v>
      </c>
      <c r="L762" s="117"/>
    </row>
    <row r="763" ht="15.75" customHeight="1">
      <c r="A763" s="9"/>
      <c r="B763" s="164"/>
      <c r="C763" s="110"/>
      <c r="D763" s="156"/>
      <c r="E763" s="111"/>
      <c r="F763" s="112"/>
      <c r="G763" s="113"/>
      <c r="H763" s="53">
        <f t="shared" si="1"/>
        <v>0</v>
      </c>
      <c r="I763" s="115"/>
      <c r="J763" s="115"/>
      <c r="K763" s="60">
        <f t="shared" si="2"/>
        <v>0</v>
      </c>
      <c r="L763" s="117"/>
    </row>
    <row r="764" ht="15.75" customHeight="1">
      <c r="A764" s="9"/>
      <c r="B764" s="164"/>
      <c r="C764" s="110"/>
      <c r="D764" s="156"/>
      <c r="E764" s="111"/>
      <c r="F764" s="112"/>
      <c r="G764" s="113"/>
      <c r="H764" s="53">
        <f t="shared" si="1"/>
        <v>0</v>
      </c>
      <c r="I764" s="115"/>
      <c r="J764" s="115"/>
      <c r="K764" s="60">
        <f t="shared" si="2"/>
        <v>0</v>
      </c>
      <c r="L764" s="117"/>
    </row>
    <row r="765" ht="15.75" customHeight="1">
      <c r="A765" s="9"/>
      <c r="B765" s="164"/>
      <c r="C765" s="110"/>
      <c r="D765" s="156"/>
      <c r="E765" s="111"/>
      <c r="F765" s="112"/>
      <c r="G765" s="113"/>
      <c r="H765" s="53">
        <f t="shared" si="1"/>
        <v>0</v>
      </c>
      <c r="I765" s="115"/>
      <c r="J765" s="115"/>
      <c r="K765" s="60">
        <f t="shared" si="2"/>
        <v>0</v>
      </c>
      <c r="L765" s="117"/>
    </row>
    <row r="766" ht="15.75" customHeight="1">
      <c r="A766" s="9"/>
      <c r="B766" s="164"/>
      <c r="C766" s="110"/>
      <c r="D766" s="156"/>
      <c r="E766" s="111"/>
      <c r="F766" s="112"/>
      <c r="G766" s="113"/>
      <c r="H766" s="53">
        <f t="shared" si="1"/>
        <v>0</v>
      </c>
      <c r="I766" s="115"/>
      <c r="J766" s="115"/>
      <c r="K766" s="60">
        <f t="shared" si="2"/>
        <v>0</v>
      </c>
      <c r="L766" s="117"/>
    </row>
    <row r="767" ht="15.75" customHeight="1">
      <c r="A767" s="9"/>
      <c r="B767" s="164"/>
      <c r="C767" s="110"/>
      <c r="D767" s="156"/>
      <c r="E767" s="111"/>
      <c r="F767" s="112"/>
      <c r="G767" s="113"/>
      <c r="H767" s="53">
        <f t="shared" si="1"/>
        <v>0</v>
      </c>
      <c r="I767" s="115"/>
      <c r="J767" s="115"/>
      <c r="K767" s="60">
        <f t="shared" si="2"/>
        <v>0</v>
      </c>
      <c r="L767" s="117"/>
    </row>
    <row r="768" ht="15.75" customHeight="1">
      <c r="A768" s="9"/>
      <c r="B768" s="164"/>
      <c r="C768" s="110"/>
      <c r="D768" s="156"/>
      <c r="E768" s="111"/>
      <c r="F768" s="112"/>
      <c r="G768" s="113"/>
      <c r="H768" s="53">
        <f t="shared" si="1"/>
        <v>0</v>
      </c>
      <c r="I768" s="115"/>
      <c r="J768" s="115"/>
      <c r="K768" s="60">
        <f t="shared" si="2"/>
        <v>0</v>
      </c>
      <c r="L768" s="117"/>
    </row>
    <row r="769" ht="15.75" customHeight="1">
      <c r="A769" s="9"/>
      <c r="B769" s="164"/>
      <c r="C769" s="110"/>
      <c r="D769" s="156"/>
      <c r="E769" s="111"/>
      <c r="F769" s="112"/>
      <c r="G769" s="113"/>
      <c r="H769" s="53">
        <f t="shared" si="1"/>
        <v>0</v>
      </c>
      <c r="I769" s="115"/>
      <c r="J769" s="115"/>
      <c r="K769" s="60">
        <f t="shared" si="2"/>
        <v>0</v>
      </c>
      <c r="L769" s="117"/>
    </row>
    <row r="770" ht="15.75" customHeight="1">
      <c r="A770" s="9"/>
      <c r="B770" s="164"/>
      <c r="C770" s="110"/>
      <c r="D770" s="156"/>
      <c r="E770" s="111"/>
      <c r="F770" s="112"/>
      <c r="G770" s="113"/>
      <c r="H770" s="53">
        <f t="shared" si="1"/>
        <v>0</v>
      </c>
      <c r="I770" s="115"/>
      <c r="J770" s="115"/>
      <c r="K770" s="60">
        <f t="shared" si="2"/>
        <v>0</v>
      </c>
      <c r="L770" s="117"/>
    </row>
    <row r="771" ht="15.75" customHeight="1">
      <c r="A771" s="9"/>
      <c r="B771" s="164"/>
      <c r="C771" s="110"/>
      <c r="D771" s="156"/>
      <c r="E771" s="111"/>
      <c r="F771" s="112"/>
      <c r="G771" s="113"/>
      <c r="H771" s="53">
        <f t="shared" si="1"/>
        <v>0</v>
      </c>
      <c r="I771" s="115"/>
      <c r="J771" s="115"/>
      <c r="K771" s="60">
        <f t="shared" si="2"/>
        <v>0</v>
      </c>
      <c r="L771" s="117"/>
    </row>
    <row r="772" ht="15.75" customHeight="1">
      <c r="A772" s="9"/>
      <c r="B772" s="164"/>
      <c r="C772" s="110"/>
      <c r="D772" s="156"/>
      <c r="E772" s="111"/>
      <c r="F772" s="112"/>
      <c r="G772" s="113"/>
      <c r="H772" s="53">
        <f t="shared" si="1"/>
        <v>0</v>
      </c>
      <c r="I772" s="115"/>
      <c r="J772" s="115"/>
      <c r="K772" s="60">
        <f t="shared" si="2"/>
        <v>0</v>
      </c>
      <c r="L772" s="117"/>
    </row>
    <row r="773" ht="15.75" customHeight="1">
      <c r="A773" s="9"/>
      <c r="B773" s="164"/>
      <c r="C773" s="110"/>
      <c r="D773" s="156"/>
      <c r="E773" s="111"/>
      <c r="F773" s="112"/>
      <c r="G773" s="113"/>
      <c r="H773" s="53">
        <f t="shared" si="1"/>
        <v>0</v>
      </c>
      <c r="I773" s="115"/>
      <c r="J773" s="115"/>
      <c r="K773" s="60">
        <f t="shared" si="2"/>
        <v>0</v>
      </c>
      <c r="L773" s="117"/>
    </row>
    <row r="774" ht="15.75" customHeight="1">
      <c r="A774" s="9"/>
      <c r="B774" s="164"/>
      <c r="C774" s="110"/>
      <c r="D774" s="156"/>
      <c r="E774" s="111"/>
      <c r="F774" s="112"/>
      <c r="G774" s="113"/>
      <c r="H774" s="53">
        <f t="shared" si="1"/>
        <v>0</v>
      </c>
      <c r="I774" s="115"/>
      <c r="J774" s="115"/>
      <c r="K774" s="60">
        <f t="shared" si="2"/>
        <v>0</v>
      </c>
      <c r="L774" s="117"/>
    </row>
    <row r="775" ht="15.75" customHeight="1">
      <c r="A775" s="9"/>
      <c r="B775" s="164"/>
      <c r="C775" s="110"/>
      <c r="D775" s="156"/>
      <c r="E775" s="111"/>
      <c r="F775" s="112"/>
      <c r="G775" s="113"/>
      <c r="H775" s="53">
        <f t="shared" si="1"/>
        <v>0</v>
      </c>
      <c r="I775" s="115"/>
      <c r="J775" s="115"/>
      <c r="K775" s="60">
        <f t="shared" si="2"/>
        <v>0</v>
      </c>
      <c r="L775" s="117"/>
    </row>
    <row r="776" ht="15.75" customHeight="1">
      <c r="A776" s="9"/>
      <c r="B776" s="164"/>
      <c r="C776" s="110"/>
      <c r="D776" s="156"/>
      <c r="E776" s="111"/>
      <c r="F776" s="112"/>
      <c r="G776" s="113"/>
      <c r="H776" s="53">
        <f t="shared" si="1"/>
        <v>0</v>
      </c>
      <c r="I776" s="115"/>
      <c r="J776" s="115"/>
      <c r="K776" s="60">
        <f t="shared" si="2"/>
        <v>0</v>
      </c>
      <c r="L776" s="117"/>
    </row>
    <row r="777" ht="15.75" customHeight="1">
      <c r="A777" s="9"/>
      <c r="B777" s="164"/>
      <c r="C777" s="110"/>
      <c r="D777" s="156"/>
      <c r="E777" s="111"/>
      <c r="F777" s="112"/>
      <c r="G777" s="113"/>
      <c r="H777" s="53">
        <f t="shared" si="1"/>
        <v>0</v>
      </c>
      <c r="I777" s="115"/>
      <c r="J777" s="115"/>
      <c r="K777" s="60">
        <f t="shared" si="2"/>
        <v>0</v>
      </c>
      <c r="L777" s="117"/>
    </row>
    <row r="778" ht="15.75" customHeight="1">
      <c r="A778" s="9"/>
      <c r="B778" s="164"/>
      <c r="C778" s="110"/>
      <c r="D778" s="156"/>
      <c r="E778" s="111"/>
      <c r="F778" s="112"/>
      <c r="G778" s="113"/>
      <c r="H778" s="53">
        <f t="shared" si="1"/>
        <v>0</v>
      </c>
      <c r="I778" s="115"/>
      <c r="J778" s="115"/>
      <c r="K778" s="60">
        <f t="shared" si="2"/>
        <v>0</v>
      </c>
      <c r="L778" s="117"/>
    </row>
    <row r="779" ht="15.75" customHeight="1">
      <c r="A779" s="9"/>
      <c r="B779" s="164"/>
      <c r="C779" s="110"/>
      <c r="D779" s="156"/>
      <c r="E779" s="111"/>
      <c r="F779" s="112"/>
      <c r="G779" s="113"/>
      <c r="H779" s="53">
        <f t="shared" si="1"/>
        <v>0</v>
      </c>
      <c r="I779" s="115"/>
      <c r="J779" s="115"/>
      <c r="K779" s="60">
        <f t="shared" si="2"/>
        <v>0</v>
      </c>
      <c r="L779" s="117"/>
    </row>
    <row r="780" ht="15.75" customHeight="1">
      <c r="A780" s="9"/>
      <c r="B780" s="164"/>
      <c r="C780" s="110"/>
      <c r="D780" s="156"/>
      <c r="E780" s="111"/>
      <c r="F780" s="112"/>
      <c r="G780" s="113"/>
      <c r="H780" s="53">
        <f t="shared" si="1"/>
        <v>0</v>
      </c>
      <c r="I780" s="115"/>
      <c r="J780" s="115"/>
      <c r="K780" s="60">
        <f t="shared" si="2"/>
        <v>0</v>
      </c>
      <c r="L780" s="117"/>
    </row>
    <row r="781" ht="15.75" customHeight="1">
      <c r="A781" s="9"/>
      <c r="B781" s="164"/>
      <c r="C781" s="110"/>
      <c r="D781" s="156"/>
      <c r="E781" s="111"/>
      <c r="F781" s="112"/>
      <c r="G781" s="113"/>
      <c r="H781" s="53">
        <f t="shared" si="1"/>
        <v>0</v>
      </c>
      <c r="I781" s="115"/>
      <c r="J781" s="115"/>
      <c r="K781" s="60">
        <f t="shared" si="2"/>
        <v>0</v>
      </c>
      <c r="L781" s="117"/>
    </row>
    <row r="782" ht="15.75" customHeight="1">
      <c r="A782" s="9"/>
      <c r="B782" s="164"/>
      <c r="C782" s="110"/>
      <c r="D782" s="156"/>
      <c r="E782" s="111"/>
      <c r="F782" s="112"/>
      <c r="G782" s="113"/>
      <c r="H782" s="53">
        <f t="shared" si="1"/>
        <v>0</v>
      </c>
      <c r="I782" s="115"/>
      <c r="J782" s="115"/>
      <c r="K782" s="60">
        <f t="shared" si="2"/>
        <v>0</v>
      </c>
      <c r="L782" s="117"/>
    </row>
    <row r="783" ht="15.75" customHeight="1">
      <c r="A783" s="9"/>
      <c r="B783" s="164"/>
      <c r="C783" s="110"/>
      <c r="D783" s="156"/>
      <c r="E783" s="111"/>
      <c r="F783" s="112"/>
      <c r="G783" s="113"/>
      <c r="H783" s="53">
        <f t="shared" si="1"/>
        <v>0</v>
      </c>
      <c r="I783" s="115"/>
      <c r="J783" s="115"/>
      <c r="K783" s="60">
        <f t="shared" si="2"/>
        <v>0</v>
      </c>
      <c r="L783" s="117"/>
    </row>
    <row r="784" ht="15.75" customHeight="1">
      <c r="A784" s="9"/>
      <c r="B784" s="164"/>
      <c r="C784" s="110"/>
      <c r="D784" s="156"/>
      <c r="E784" s="111"/>
      <c r="F784" s="112"/>
      <c r="G784" s="113"/>
      <c r="H784" s="53">
        <f t="shared" si="1"/>
        <v>0</v>
      </c>
      <c r="I784" s="115"/>
      <c r="J784" s="115"/>
      <c r="K784" s="60">
        <f t="shared" si="2"/>
        <v>0</v>
      </c>
      <c r="L784" s="117"/>
    </row>
    <row r="785" ht="15.75" customHeight="1">
      <c r="A785" s="9"/>
      <c r="B785" s="164"/>
      <c r="C785" s="110"/>
      <c r="D785" s="156"/>
      <c r="E785" s="111"/>
      <c r="F785" s="112"/>
      <c r="G785" s="113"/>
      <c r="H785" s="53">
        <f t="shared" si="1"/>
        <v>0</v>
      </c>
      <c r="I785" s="115"/>
      <c r="J785" s="115"/>
      <c r="K785" s="60">
        <f t="shared" si="2"/>
        <v>0</v>
      </c>
      <c r="L785" s="117"/>
    </row>
    <row r="786" ht="15.75" customHeight="1">
      <c r="A786" s="9"/>
      <c r="B786" s="164"/>
      <c r="C786" s="110"/>
      <c r="D786" s="156"/>
      <c r="E786" s="111"/>
      <c r="F786" s="112"/>
      <c r="G786" s="113"/>
      <c r="H786" s="53">
        <f t="shared" si="1"/>
        <v>0</v>
      </c>
      <c r="I786" s="115"/>
      <c r="J786" s="115"/>
      <c r="K786" s="60">
        <f t="shared" si="2"/>
        <v>0</v>
      </c>
      <c r="L786" s="117"/>
    </row>
    <row r="787" ht="15.75" customHeight="1">
      <c r="A787" s="9"/>
      <c r="B787" s="164"/>
      <c r="C787" s="110"/>
      <c r="D787" s="156"/>
      <c r="E787" s="111"/>
      <c r="F787" s="112"/>
      <c r="G787" s="113"/>
      <c r="H787" s="53">
        <f t="shared" si="1"/>
        <v>0</v>
      </c>
      <c r="I787" s="115"/>
      <c r="J787" s="115"/>
      <c r="K787" s="60">
        <f t="shared" si="2"/>
        <v>0</v>
      </c>
      <c r="L787" s="117"/>
    </row>
    <row r="788" ht="15.75" customHeight="1">
      <c r="A788" s="9"/>
      <c r="B788" s="164"/>
      <c r="C788" s="110"/>
      <c r="D788" s="156"/>
      <c r="E788" s="111"/>
      <c r="F788" s="112"/>
      <c r="G788" s="113"/>
      <c r="H788" s="53">
        <f t="shared" si="1"/>
        <v>0</v>
      </c>
      <c r="I788" s="115"/>
      <c r="J788" s="115"/>
      <c r="K788" s="60">
        <f t="shared" si="2"/>
        <v>0</v>
      </c>
      <c r="L788" s="117"/>
    </row>
    <row r="789" ht="15.75" customHeight="1">
      <c r="A789" s="9"/>
      <c r="B789" s="164"/>
      <c r="C789" s="110"/>
      <c r="D789" s="156"/>
      <c r="E789" s="111"/>
      <c r="F789" s="112"/>
      <c r="G789" s="113"/>
      <c r="H789" s="53">
        <f t="shared" si="1"/>
        <v>0</v>
      </c>
      <c r="I789" s="115"/>
      <c r="J789" s="115"/>
      <c r="K789" s="60">
        <f t="shared" si="2"/>
        <v>0</v>
      </c>
      <c r="L789" s="117"/>
    </row>
    <row r="790" ht="15.75" customHeight="1">
      <c r="A790" s="9"/>
      <c r="B790" s="164"/>
      <c r="C790" s="110"/>
      <c r="D790" s="156"/>
      <c r="E790" s="111"/>
      <c r="F790" s="112"/>
      <c r="G790" s="113"/>
      <c r="H790" s="53">
        <f t="shared" si="1"/>
        <v>0</v>
      </c>
      <c r="I790" s="115"/>
      <c r="J790" s="115"/>
      <c r="K790" s="60">
        <f t="shared" si="2"/>
        <v>0</v>
      </c>
      <c r="L790" s="117"/>
    </row>
    <row r="791" ht="15.75" customHeight="1">
      <c r="A791" s="9"/>
      <c r="B791" s="164"/>
      <c r="C791" s="110"/>
      <c r="D791" s="156"/>
      <c r="E791" s="111"/>
      <c r="F791" s="112"/>
      <c r="G791" s="113"/>
      <c r="H791" s="53">
        <f t="shared" si="1"/>
        <v>0</v>
      </c>
      <c r="I791" s="115"/>
      <c r="J791" s="115"/>
      <c r="K791" s="60">
        <f t="shared" si="2"/>
        <v>0</v>
      </c>
      <c r="L791" s="117"/>
    </row>
    <row r="792" ht="15.75" customHeight="1">
      <c r="A792" s="9"/>
      <c r="B792" s="164"/>
      <c r="C792" s="110"/>
      <c r="D792" s="156"/>
      <c r="E792" s="111"/>
      <c r="F792" s="112"/>
      <c r="G792" s="113"/>
      <c r="H792" s="53">
        <f t="shared" si="1"/>
        <v>0</v>
      </c>
      <c r="I792" s="115"/>
      <c r="J792" s="115"/>
      <c r="K792" s="60">
        <f t="shared" si="2"/>
        <v>0</v>
      </c>
      <c r="L792" s="117"/>
    </row>
    <row r="793" ht="15.75" customHeight="1">
      <c r="A793" s="9"/>
      <c r="B793" s="164"/>
      <c r="C793" s="110"/>
      <c r="D793" s="156"/>
      <c r="E793" s="111"/>
      <c r="F793" s="112"/>
      <c r="G793" s="113"/>
      <c r="H793" s="53">
        <f t="shared" si="1"/>
        <v>0</v>
      </c>
      <c r="I793" s="115"/>
      <c r="J793" s="115"/>
      <c r="K793" s="60">
        <f t="shared" si="2"/>
        <v>0</v>
      </c>
      <c r="L793" s="117"/>
    </row>
    <row r="794" ht="15.75" customHeight="1">
      <c r="A794" s="9"/>
      <c r="B794" s="164"/>
      <c r="C794" s="110"/>
      <c r="D794" s="156"/>
      <c r="E794" s="111"/>
      <c r="F794" s="112"/>
      <c r="G794" s="113"/>
      <c r="H794" s="53">
        <f t="shared" si="1"/>
        <v>0</v>
      </c>
      <c r="I794" s="115"/>
      <c r="J794" s="115"/>
      <c r="K794" s="60">
        <f t="shared" si="2"/>
        <v>0</v>
      </c>
      <c r="L794" s="117"/>
    </row>
    <row r="795" ht="15.75" customHeight="1">
      <c r="A795" s="9"/>
      <c r="B795" s="164"/>
      <c r="C795" s="110"/>
      <c r="D795" s="156"/>
      <c r="E795" s="111"/>
      <c r="F795" s="112"/>
      <c r="G795" s="113"/>
      <c r="H795" s="53">
        <f t="shared" si="1"/>
        <v>0</v>
      </c>
      <c r="I795" s="115"/>
      <c r="J795" s="115"/>
      <c r="K795" s="60">
        <f t="shared" si="2"/>
        <v>0</v>
      </c>
      <c r="L795" s="117"/>
    </row>
    <row r="796" ht="15.75" customHeight="1">
      <c r="A796" s="9"/>
      <c r="B796" s="164"/>
      <c r="C796" s="110"/>
      <c r="D796" s="156"/>
      <c r="E796" s="111"/>
      <c r="F796" s="112"/>
      <c r="G796" s="113"/>
      <c r="H796" s="53">
        <f t="shared" si="1"/>
        <v>0</v>
      </c>
      <c r="I796" s="115"/>
      <c r="J796" s="115"/>
      <c r="K796" s="60">
        <f t="shared" si="2"/>
        <v>0</v>
      </c>
      <c r="L796" s="117"/>
    </row>
    <row r="797" ht="15.75" customHeight="1">
      <c r="A797" s="9"/>
      <c r="B797" s="164"/>
      <c r="C797" s="110"/>
      <c r="D797" s="156"/>
      <c r="E797" s="111"/>
      <c r="F797" s="112"/>
      <c r="G797" s="113"/>
      <c r="H797" s="53">
        <f t="shared" si="1"/>
        <v>0</v>
      </c>
      <c r="I797" s="115"/>
      <c r="J797" s="115"/>
      <c r="K797" s="60">
        <f t="shared" si="2"/>
        <v>0</v>
      </c>
      <c r="L797" s="117"/>
    </row>
    <row r="798" ht="15.75" customHeight="1">
      <c r="A798" s="9"/>
      <c r="B798" s="164"/>
      <c r="C798" s="110"/>
      <c r="D798" s="156"/>
      <c r="E798" s="111"/>
      <c r="F798" s="112"/>
      <c r="G798" s="113"/>
      <c r="H798" s="53">
        <f t="shared" si="1"/>
        <v>0</v>
      </c>
      <c r="I798" s="115"/>
      <c r="J798" s="115"/>
      <c r="K798" s="60">
        <f t="shared" si="2"/>
        <v>0</v>
      </c>
      <c r="L798" s="117"/>
    </row>
    <row r="799" ht="15.75" customHeight="1">
      <c r="A799" s="9"/>
      <c r="B799" s="164"/>
      <c r="C799" s="110"/>
      <c r="D799" s="156"/>
      <c r="E799" s="111"/>
      <c r="F799" s="112"/>
      <c r="G799" s="113"/>
      <c r="H799" s="53">
        <f t="shared" si="1"/>
        <v>0</v>
      </c>
      <c r="I799" s="115"/>
      <c r="J799" s="115"/>
      <c r="K799" s="60">
        <f t="shared" si="2"/>
        <v>0</v>
      </c>
      <c r="L799" s="117"/>
    </row>
    <row r="800" ht="15.75" customHeight="1">
      <c r="A800" s="9"/>
      <c r="B800" s="164"/>
      <c r="C800" s="110"/>
      <c r="D800" s="156"/>
      <c r="E800" s="111"/>
      <c r="F800" s="112"/>
      <c r="G800" s="113"/>
      <c r="H800" s="53">
        <f t="shared" si="1"/>
        <v>0</v>
      </c>
      <c r="I800" s="115"/>
      <c r="J800" s="115"/>
      <c r="K800" s="60">
        <f t="shared" si="2"/>
        <v>0</v>
      </c>
      <c r="L800" s="117"/>
    </row>
    <row r="801" ht="15.75" customHeight="1">
      <c r="A801" s="9"/>
      <c r="B801" s="164"/>
      <c r="C801" s="110"/>
      <c r="D801" s="156"/>
      <c r="E801" s="111"/>
      <c r="F801" s="112"/>
      <c r="G801" s="113"/>
      <c r="H801" s="53">
        <f t="shared" si="1"/>
        <v>0</v>
      </c>
      <c r="I801" s="115"/>
      <c r="J801" s="115"/>
      <c r="K801" s="60">
        <f t="shared" si="2"/>
        <v>0</v>
      </c>
      <c r="L801" s="117"/>
    </row>
    <row r="802" ht="15.75" customHeight="1">
      <c r="A802" s="9"/>
      <c r="B802" s="164"/>
      <c r="C802" s="110"/>
      <c r="D802" s="156"/>
      <c r="E802" s="111"/>
      <c r="F802" s="112"/>
      <c r="G802" s="113"/>
      <c r="H802" s="53">
        <f t="shared" si="1"/>
        <v>0</v>
      </c>
      <c r="I802" s="115"/>
      <c r="J802" s="115"/>
      <c r="K802" s="60">
        <f t="shared" si="2"/>
        <v>0</v>
      </c>
      <c r="L802" s="117"/>
    </row>
    <row r="803" ht="15.75" customHeight="1">
      <c r="A803" s="9"/>
      <c r="B803" s="164"/>
      <c r="C803" s="110"/>
      <c r="D803" s="156"/>
      <c r="E803" s="111"/>
      <c r="F803" s="112"/>
      <c r="G803" s="113"/>
      <c r="H803" s="53">
        <f t="shared" si="1"/>
        <v>0</v>
      </c>
      <c r="I803" s="115"/>
      <c r="J803" s="115"/>
      <c r="K803" s="60">
        <f t="shared" si="2"/>
        <v>0</v>
      </c>
      <c r="L803" s="117"/>
    </row>
    <row r="804" ht="15.75" customHeight="1">
      <c r="A804" s="9"/>
      <c r="B804" s="164"/>
      <c r="C804" s="110"/>
      <c r="D804" s="156"/>
      <c r="E804" s="111"/>
      <c r="F804" s="112"/>
      <c r="G804" s="113"/>
      <c r="H804" s="53">
        <f t="shared" si="1"/>
        <v>0</v>
      </c>
      <c r="I804" s="115"/>
      <c r="J804" s="115"/>
      <c r="K804" s="60">
        <f t="shared" si="2"/>
        <v>0</v>
      </c>
      <c r="L804" s="117"/>
    </row>
    <row r="805" ht="15.75" customHeight="1">
      <c r="A805" s="9"/>
      <c r="B805" s="164"/>
      <c r="C805" s="110"/>
      <c r="D805" s="156"/>
      <c r="E805" s="111"/>
      <c r="F805" s="112"/>
      <c r="G805" s="113"/>
      <c r="H805" s="53">
        <f t="shared" si="1"/>
        <v>0</v>
      </c>
      <c r="I805" s="115"/>
      <c r="J805" s="115"/>
      <c r="K805" s="60">
        <f t="shared" si="2"/>
        <v>0</v>
      </c>
      <c r="L805" s="117"/>
    </row>
    <row r="806" ht="15.75" customHeight="1">
      <c r="A806" s="9"/>
      <c r="B806" s="164"/>
      <c r="C806" s="110"/>
      <c r="D806" s="156"/>
      <c r="E806" s="111"/>
      <c r="F806" s="112"/>
      <c r="G806" s="113"/>
      <c r="H806" s="53">
        <f t="shared" si="1"/>
        <v>0</v>
      </c>
      <c r="I806" s="115"/>
      <c r="J806" s="115"/>
      <c r="K806" s="60">
        <f t="shared" si="2"/>
        <v>0</v>
      </c>
      <c r="L806" s="117"/>
    </row>
    <row r="807" ht="15.75" customHeight="1">
      <c r="A807" s="9"/>
      <c r="B807" s="164"/>
      <c r="C807" s="110"/>
      <c r="D807" s="156"/>
      <c r="E807" s="111"/>
      <c r="F807" s="112"/>
      <c r="G807" s="113"/>
      <c r="H807" s="53">
        <f t="shared" si="1"/>
        <v>0</v>
      </c>
      <c r="I807" s="115"/>
      <c r="J807" s="115"/>
      <c r="K807" s="60">
        <f t="shared" si="2"/>
        <v>0</v>
      </c>
      <c r="L807" s="117"/>
    </row>
    <row r="808" ht="15.75" customHeight="1">
      <c r="A808" s="9"/>
      <c r="B808" s="164"/>
      <c r="C808" s="110"/>
      <c r="D808" s="156"/>
      <c r="E808" s="111"/>
      <c r="F808" s="112"/>
      <c r="G808" s="113"/>
      <c r="H808" s="53">
        <f t="shared" si="1"/>
        <v>0</v>
      </c>
      <c r="I808" s="115"/>
      <c r="J808" s="115"/>
      <c r="K808" s="60">
        <f t="shared" si="2"/>
        <v>0</v>
      </c>
      <c r="L808" s="117"/>
    </row>
    <row r="809" ht="15.75" customHeight="1">
      <c r="A809" s="9"/>
      <c r="B809" s="164"/>
      <c r="C809" s="110"/>
      <c r="D809" s="156"/>
      <c r="E809" s="111"/>
      <c r="F809" s="112"/>
      <c r="G809" s="113"/>
      <c r="H809" s="53">
        <f t="shared" si="1"/>
        <v>0</v>
      </c>
      <c r="I809" s="115"/>
      <c r="J809" s="115"/>
      <c r="K809" s="60">
        <f t="shared" si="2"/>
        <v>0</v>
      </c>
      <c r="L809" s="117"/>
    </row>
    <row r="810" ht="15.75" customHeight="1">
      <c r="A810" s="9"/>
      <c r="B810" s="164"/>
      <c r="C810" s="110"/>
      <c r="D810" s="156"/>
      <c r="E810" s="111"/>
      <c r="F810" s="112"/>
      <c r="G810" s="113"/>
      <c r="H810" s="53">
        <f t="shared" si="1"/>
        <v>0</v>
      </c>
      <c r="I810" s="115"/>
      <c r="J810" s="115"/>
      <c r="K810" s="60">
        <f t="shared" si="2"/>
        <v>0</v>
      </c>
      <c r="L810" s="117"/>
    </row>
    <row r="811" ht="15.75" customHeight="1">
      <c r="A811" s="9"/>
      <c r="B811" s="164"/>
      <c r="C811" s="110"/>
      <c r="D811" s="156"/>
      <c r="E811" s="111"/>
      <c r="F811" s="112"/>
      <c r="G811" s="113"/>
      <c r="H811" s="53">
        <f t="shared" si="1"/>
        <v>0</v>
      </c>
      <c r="I811" s="115"/>
      <c r="J811" s="115"/>
      <c r="K811" s="60">
        <f t="shared" si="2"/>
        <v>0</v>
      </c>
      <c r="L811" s="117"/>
    </row>
    <row r="812" ht="15.75" customHeight="1">
      <c r="A812" s="9"/>
      <c r="B812" s="164"/>
      <c r="C812" s="110"/>
      <c r="D812" s="156"/>
      <c r="E812" s="111"/>
      <c r="F812" s="112"/>
      <c r="G812" s="113"/>
      <c r="H812" s="53">
        <f t="shared" si="1"/>
        <v>0</v>
      </c>
      <c r="I812" s="115"/>
      <c r="J812" s="115"/>
      <c r="K812" s="60">
        <f t="shared" si="2"/>
        <v>0</v>
      </c>
      <c r="L812" s="117"/>
    </row>
    <row r="813" ht="15.75" customHeight="1">
      <c r="A813" s="9"/>
      <c r="B813" s="164"/>
      <c r="C813" s="110"/>
      <c r="D813" s="156"/>
      <c r="E813" s="111"/>
      <c r="F813" s="112"/>
      <c r="G813" s="113"/>
      <c r="H813" s="53">
        <f t="shared" si="1"/>
        <v>0</v>
      </c>
      <c r="I813" s="115"/>
      <c r="J813" s="115"/>
      <c r="K813" s="60">
        <f t="shared" si="2"/>
        <v>0</v>
      </c>
      <c r="L813" s="117"/>
    </row>
    <row r="814" ht="15.75" customHeight="1">
      <c r="A814" s="9"/>
      <c r="B814" s="164"/>
      <c r="C814" s="110"/>
      <c r="D814" s="156"/>
      <c r="E814" s="111"/>
      <c r="F814" s="112"/>
      <c r="G814" s="113"/>
      <c r="H814" s="53">
        <f t="shared" si="1"/>
        <v>0</v>
      </c>
      <c r="I814" s="115"/>
      <c r="J814" s="115"/>
      <c r="K814" s="60">
        <f t="shared" si="2"/>
        <v>0</v>
      </c>
      <c r="L814" s="117"/>
    </row>
    <row r="815" ht="15.75" customHeight="1">
      <c r="A815" s="9"/>
      <c r="B815" s="164"/>
      <c r="C815" s="110"/>
      <c r="D815" s="156"/>
      <c r="E815" s="111"/>
      <c r="F815" s="112"/>
      <c r="G815" s="113"/>
      <c r="H815" s="53">
        <f t="shared" si="1"/>
        <v>0</v>
      </c>
      <c r="I815" s="115"/>
      <c r="J815" s="115"/>
      <c r="K815" s="60">
        <f t="shared" si="2"/>
        <v>0</v>
      </c>
      <c r="L815" s="117"/>
    </row>
    <row r="816" ht="15.75" customHeight="1">
      <c r="A816" s="9"/>
      <c r="B816" s="164"/>
      <c r="C816" s="110"/>
      <c r="D816" s="156"/>
      <c r="E816" s="111"/>
      <c r="F816" s="112"/>
      <c r="G816" s="113"/>
      <c r="H816" s="53">
        <f t="shared" si="1"/>
        <v>0</v>
      </c>
      <c r="I816" s="115"/>
      <c r="J816" s="115"/>
      <c r="K816" s="60">
        <f t="shared" si="2"/>
        <v>0</v>
      </c>
      <c r="L816" s="117"/>
    </row>
    <row r="817" ht="15.75" customHeight="1">
      <c r="A817" s="9"/>
      <c r="B817" s="164"/>
      <c r="C817" s="110"/>
      <c r="D817" s="156"/>
      <c r="E817" s="111"/>
      <c r="F817" s="112"/>
      <c r="G817" s="113"/>
      <c r="H817" s="53">
        <f t="shared" si="1"/>
        <v>0</v>
      </c>
      <c r="I817" s="115"/>
      <c r="J817" s="115"/>
      <c r="K817" s="60">
        <f t="shared" si="2"/>
        <v>0</v>
      </c>
      <c r="L817" s="117"/>
    </row>
    <row r="818" ht="15.75" customHeight="1">
      <c r="A818" s="9"/>
      <c r="B818" s="164"/>
      <c r="C818" s="110"/>
      <c r="D818" s="156"/>
      <c r="E818" s="111"/>
      <c r="F818" s="112"/>
      <c r="G818" s="113"/>
      <c r="H818" s="53">
        <f t="shared" si="1"/>
        <v>0</v>
      </c>
      <c r="I818" s="115"/>
      <c r="J818" s="115"/>
      <c r="K818" s="60">
        <f t="shared" si="2"/>
        <v>0</v>
      </c>
      <c r="L818" s="117"/>
    </row>
    <row r="819" ht="15.75" customHeight="1">
      <c r="A819" s="9"/>
      <c r="B819" s="164"/>
      <c r="C819" s="110"/>
      <c r="D819" s="156"/>
      <c r="E819" s="111"/>
      <c r="F819" s="112"/>
      <c r="G819" s="113"/>
      <c r="H819" s="53">
        <f t="shared" si="1"/>
        <v>0</v>
      </c>
      <c r="I819" s="115"/>
      <c r="J819" s="115"/>
      <c r="K819" s="60">
        <f t="shared" si="2"/>
        <v>0</v>
      </c>
      <c r="L819" s="117"/>
    </row>
    <row r="820" ht="15.75" customHeight="1">
      <c r="A820" s="9"/>
      <c r="B820" s="164"/>
      <c r="C820" s="110"/>
      <c r="D820" s="156"/>
      <c r="E820" s="111"/>
      <c r="F820" s="112"/>
      <c r="G820" s="113"/>
      <c r="H820" s="53">
        <f t="shared" si="1"/>
        <v>0</v>
      </c>
      <c r="I820" s="115"/>
      <c r="J820" s="115"/>
      <c r="K820" s="60">
        <f t="shared" si="2"/>
        <v>0</v>
      </c>
      <c r="L820" s="117"/>
    </row>
    <row r="821" ht="15.75" customHeight="1">
      <c r="A821" s="9"/>
      <c r="B821" s="164"/>
      <c r="C821" s="110"/>
      <c r="D821" s="156"/>
      <c r="E821" s="111"/>
      <c r="F821" s="112"/>
      <c r="G821" s="113"/>
      <c r="H821" s="53">
        <f t="shared" si="1"/>
        <v>0</v>
      </c>
      <c r="I821" s="115"/>
      <c r="J821" s="115"/>
      <c r="K821" s="60">
        <f t="shared" si="2"/>
        <v>0</v>
      </c>
      <c r="L821" s="117"/>
    </row>
    <row r="822" ht="15.75" customHeight="1">
      <c r="A822" s="9"/>
      <c r="B822" s="164"/>
      <c r="C822" s="110"/>
      <c r="D822" s="156"/>
      <c r="E822" s="111"/>
      <c r="F822" s="112"/>
      <c r="G822" s="113"/>
      <c r="H822" s="53">
        <f t="shared" si="1"/>
        <v>0</v>
      </c>
      <c r="I822" s="115"/>
      <c r="J822" s="115"/>
      <c r="K822" s="60">
        <f t="shared" si="2"/>
        <v>0</v>
      </c>
      <c r="L822" s="117"/>
    </row>
    <row r="823" ht="15.75" customHeight="1">
      <c r="A823" s="9"/>
      <c r="B823" s="164"/>
      <c r="C823" s="110"/>
      <c r="D823" s="156"/>
      <c r="E823" s="111"/>
      <c r="F823" s="112"/>
      <c r="G823" s="113"/>
      <c r="H823" s="53">
        <f t="shared" si="1"/>
        <v>0</v>
      </c>
      <c r="I823" s="115"/>
      <c r="J823" s="115"/>
      <c r="K823" s="60">
        <f t="shared" si="2"/>
        <v>0</v>
      </c>
      <c r="L823" s="117"/>
    </row>
    <row r="824" ht="15.75" customHeight="1">
      <c r="A824" s="9"/>
      <c r="B824" s="164"/>
      <c r="C824" s="110"/>
      <c r="D824" s="156"/>
      <c r="E824" s="111"/>
      <c r="F824" s="112"/>
      <c r="G824" s="113"/>
      <c r="H824" s="53">
        <f t="shared" si="1"/>
        <v>0</v>
      </c>
      <c r="I824" s="115"/>
      <c r="J824" s="115"/>
      <c r="K824" s="60">
        <f t="shared" si="2"/>
        <v>0</v>
      </c>
      <c r="L824" s="117"/>
    </row>
    <row r="825" ht="15.75" customHeight="1">
      <c r="A825" s="9"/>
      <c r="B825" s="164"/>
      <c r="C825" s="110"/>
      <c r="D825" s="156"/>
      <c r="E825" s="111"/>
      <c r="F825" s="112"/>
      <c r="G825" s="113"/>
      <c r="H825" s="53">
        <f t="shared" si="1"/>
        <v>0</v>
      </c>
      <c r="I825" s="115"/>
      <c r="J825" s="115"/>
      <c r="K825" s="60">
        <f t="shared" si="2"/>
        <v>0</v>
      </c>
      <c r="L825" s="117"/>
    </row>
    <row r="826" ht="15.75" customHeight="1">
      <c r="A826" s="9"/>
      <c r="B826" s="164"/>
      <c r="C826" s="110"/>
      <c r="D826" s="156"/>
      <c r="E826" s="111"/>
      <c r="F826" s="112"/>
      <c r="G826" s="113"/>
      <c r="H826" s="53">
        <f t="shared" si="1"/>
        <v>0</v>
      </c>
      <c r="I826" s="115"/>
      <c r="J826" s="115"/>
      <c r="K826" s="60">
        <f t="shared" si="2"/>
        <v>0</v>
      </c>
      <c r="L826" s="117"/>
    </row>
    <row r="827" ht="15.75" customHeight="1">
      <c r="A827" s="9"/>
      <c r="B827" s="164"/>
      <c r="C827" s="110"/>
      <c r="D827" s="156"/>
      <c r="E827" s="111"/>
      <c r="F827" s="112"/>
      <c r="G827" s="113"/>
      <c r="H827" s="53">
        <f t="shared" si="1"/>
        <v>0</v>
      </c>
      <c r="I827" s="115"/>
      <c r="J827" s="115"/>
      <c r="K827" s="60">
        <f t="shared" si="2"/>
        <v>0</v>
      </c>
      <c r="L827" s="117"/>
    </row>
    <row r="828" ht="15.75" customHeight="1">
      <c r="A828" s="9"/>
      <c r="B828" s="164"/>
      <c r="C828" s="110"/>
      <c r="D828" s="156"/>
      <c r="E828" s="111"/>
      <c r="F828" s="112"/>
      <c r="G828" s="113"/>
      <c r="H828" s="53">
        <f t="shared" si="1"/>
        <v>0</v>
      </c>
      <c r="I828" s="115"/>
      <c r="J828" s="115"/>
      <c r="K828" s="60">
        <f t="shared" si="2"/>
        <v>0</v>
      </c>
      <c r="L828" s="117"/>
    </row>
    <row r="829" ht="15.75" customHeight="1">
      <c r="A829" s="9"/>
      <c r="B829" s="164"/>
      <c r="C829" s="110"/>
      <c r="D829" s="156"/>
      <c r="E829" s="111"/>
      <c r="F829" s="112"/>
      <c r="G829" s="113"/>
      <c r="H829" s="53">
        <f t="shared" si="1"/>
        <v>0</v>
      </c>
      <c r="I829" s="115"/>
      <c r="J829" s="115"/>
      <c r="K829" s="60">
        <f t="shared" si="2"/>
        <v>0</v>
      </c>
      <c r="L829" s="117"/>
    </row>
    <row r="830" ht="15.75" customHeight="1">
      <c r="A830" s="9"/>
      <c r="B830" s="164"/>
      <c r="C830" s="110"/>
      <c r="D830" s="156"/>
      <c r="E830" s="111"/>
      <c r="F830" s="112"/>
      <c r="G830" s="113"/>
      <c r="H830" s="53">
        <f t="shared" si="1"/>
        <v>0</v>
      </c>
      <c r="I830" s="115"/>
      <c r="J830" s="115"/>
      <c r="K830" s="60">
        <f t="shared" si="2"/>
        <v>0</v>
      </c>
      <c r="L830" s="117"/>
    </row>
    <row r="831" ht="15.75" customHeight="1">
      <c r="A831" s="9"/>
      <c r="B831" s="164"/>
      <c r="C831" s="110"/>
      <c r="D831" s="156"/>
      <c r="E831" s="111"/>
      <c r="F831" s="112"/>
      <c r="G831" s="113"/>
      <c r="H831" s="53">
        <f t="shared" si="1"/>
        <v>0</v>
      </c>
      <c r="I831" s="115"/>
      <c r="J831" s="115"/>
      <c r="K831" s="60">
        <f t="shared" si="2"/>
        <v>0</v>
      </c>
      <c r="L831" s="117"/>
    </row>
    <row r="832" ht="15.75" customHeight="1">
      <c r="A832" s="9"/>
      <c r="B832" s="164"/>
      <c r="C832" s="110"/>
      <c r="D832" s="156"/>
      <c r="E832" s="111"/>
      <c r="F832" s="112"/>
      <c r="G832" s="113"/>
      <c r="H832" s="53">
        <f t="shared" si="1"/>
        <v>0</v>
      </c>
      <c r="I832" s="115"/>
      <c r="J832" s="115"/>
      <c r="K832" s="60">
        <f t="shared" si="2"/>
        <v>0</v>
      </c>
      <c r="L832" s="117"/>
    </row>
    <row r="833" ht="15.75" customHeight="1">
      <c r="A833" s="9"/>
      <c r="B833" s="164"/>
      <c r="C833" s="110"/>
      <c r="D833" s="156"/>
      <c r="E833" s="111"/>
      <c r="F833" s="112"/>
      <c r="G833" s="113"/>
      <c r="H833" s="53">
        <f t="shared" si="1"/>
        <v>0</v>
      </c>
      <c r="I833" s="115"/>
      <c r="J833" s="115"/>
      <c r="K833" s="60">
        <f t="shared" si="2"/>
        <v>0</v>
      </c>
      <c r="L833" s="117"/>
    </row>
    <row r="834" ht="15.75" customHeight="1">
      <c r="A834" s="9"/>
      <c r="B834" s="164"/>
      <c r="C834" s="110"/>
      <c r="D834" s="156"/>
      <c r="E834" s="111"/>
      <c r="F834" s="112"/>
      <c r="G834" s="113"/>
      <c r="H834" s="53">
        <f t="shared" si="1"/>
        <v>0</v>
      </c>
      <c r="I834" s="115"/>
      <c r="J834" s="115"/>
      <c r="K834" s="60">
        <f t="shared" si="2"/>
        <v>0</v>
      </c>
      <c r="L834" s="117"/>
    </row>
    <row r="835" ht="15.75" customHeight="1">
      <c r="A835" s="9"/>
      <c r="B835" s="164"/>
      <c r="C835" s="110"/>
      <c r="D835" s="156"/>
      <c r="E835" s="111"/>
      <c r="F835" s="112"/>
      <c r="G835" s="113"/>
      <c r="H835" s="53">
        <f t="shared" si="1"/>
        <v>0</v>
      </c>
      <c r="I835" s="115"/>
      <c r="J835" s="115"/>
      <c r="K835" s="60">
        <f t="shared" si="2"/>
        <v>0</v>
      </c>
      <c r="L835" s="117"/>
    </row>
    <row r="836" ht="15.75" customHeight="1">
      <c r="A836" s="9"/>
      <c r="B836" s="164"/>
      <c r="C836" s="110"/>
      <c r="D836" s="156"/>
      <c r="E836" s="111"/>
      <c r="F836" s="112"/>
      <c r="G836" s="113"/>
      <c r="H836" s="53">
        <f t="shared" si="1"/>
        <v>0</v>
      </c>
      <c r="I836" s="115"/>
      <c r="J836" s="115"/>
      <c r="K836" s="60">
        <f t="shared" si="2"/>
        <v>0</v>
      </c>
      <c r="L836" s="117"/>
    </row>
    <row r="837" ht="15.75" customHeight="1">
      <c r="A837" s="9"/>
      <c r="B837" s="164"/>
      <c r="C837" s="110"/>
      <c r="D837" s="156"/>
      <c r="E837" s="111"/>
      <c r="F837" s="112"/>
      <c r="G837" s="113"/>
      <c r="H837" s="53">
        <f t="shared" si="1"/>
        <v>0</v>
      </c>
      <c r="I837" s="115"/>
      <c r="J837" s="115"/>
      <c r="K837" s="60">
        <f t="shared" si="2"/>
        <v>0</v>
      </c>
      <c r="L837" s="117"/>
    </row>
    <row r="838" ht="15.75" customHeight="1">
      <c r="A838" s="9"/>
      <c r="B838" s="164"/>
      <c r="C838" s="110"/>
      <c r="D838" s="156"/>
      <c r="E838" s="111"/>
      <c r="F838" s="112"/>
      <c r="G838" s="113"/>
      <c r="H838" s="53">
        <f t="shared" si="1"/>
        <v>0</v>
      </c>
      <c r="I838" s="115"/>
      <c r="J838" s="115"/>
      <c r="K838" s="60">
        <f t="shared" si="2"/>
        <v>0</v>
      </c>
      <c r="L838" s="117"/>
    </row>
    <row r="839" ht="15.75" customHeight="1">
      <c r="A839" s="9"/>
      <c r="B839" s="164"/>
      <c r="C839" s="110"/>
      <c r="D839" s="156"/>
      <c r="E839" s="111"/>
      <c r="F839" s="112"/>
      <c r="G839" s="113"/>
      <c r="H839" s="53">
        <f t="shared" si="1"/>
        <v>0</v>
      </c>
      <c r="I839" s="115"/>
      <c r="J839" s="115"/>
      <c r="K839" s="60">
        <f t="shared" si="2"/>
        <v>0</v>
      </c>
      <c r="L839" s="117"/>
    </row>
    <row r="840" ht="15.75" customHeight="1">
      <c r="A840" s="9"/>
      <c r="B840" s="164"/>
      <c r="C840" s="110"/>
      <c r="D840" s="156"/>
      <c r="E840" s="111"/>
      <c r="F840" s="112"/>
      <c r="G840" s="113"/>
      <c r="H840" s="53">
        <f t="shared" si="1"/>
        <v>0</v>
      </c>
      <c r="I840" s="115"/>
      <c r="J840" s="115"/>
      <c r="K840" s="60">
        <f t="shared" si="2"/>
        <v>0</v>
      </c>
      <c r="L840" s="117"/>
    </row>
    <row r="841" ht="15.75" customHeight="1">
      <c r="A841" s="9"/>
      <c r="B841" s="164"/>
      <c r="C841" s="110"/>
      <c r="D841" s="156"/>
      <c r="E841" s="111"/>
      <c r="F841" s="112"/>
      <c r="G841" s="113"/>
      <c r="H841" s="53">
        <f t="shared" si="1"/>
        <v>0</v>
      </c>
      <c r="I841" s="115"/>
      <c r="J841" s="115"/>
      <c r="K841" s="60">
        <f t="shared" si="2"/>
        <v>0</v>
      </c>
      <c r="L841" s="117"/>
    </row>
    <row r="842" ht="15.75" customHeight="1">
      <c r="A842" s="9"/>
      <c r="B842" s="164"/>
      <c r="C842" s="110"/>
      <c r="D842" s="156"/>
      <c r="E842" s="111"/>
      <c r="F842" s="112"/>
      <c r="G842" s="113"/>
      <c r="H842" s="53">
        <f t="shared" si="1"/>
        <v>0</v>
      </c>
      <c r="I842" s="115"/>
      <c r="J842" s="115"/>
      <c r="K842" s="60">
        <f t="shared" si="2"/>
        <v>0</v>
      </c>
      <c r="L842" s="117"/>
    </row>
    <row r="843" ht="15.75" customHeight="1">
      <c r="A843" s="9"/>
      <c r="B843" s="164"/>
      <c r="C843" s="110"/>
      <c r="D843" s="156"/>
      <c r="E843" s="111"/>
      <c r="F843" s="112"/>
      <c r="G843" s="113"/>
      <c r="H843" s="53">
        <f t="shared" si="1"/>
        <v>0</v>
      </c>
      <c r="I843" s="115"/>
      <c r="J843" s="115"/>
      <c r="K843" s="60">
        <f t="shared" si="2"/>
        <v>0</v>
      </c>
      <c r="L843" s="117"/>
    </row>
    <row r="844" ht="15.75" customHeight="1">
      <c r="A844" s="9"/>
      <c r="B844" s="164"/>
      <c r="C844" s="110"/>
      <c r="D844" s="156"/>
      <c r="E844" s="111"/>
      <c r="F844" s="112"/>
      <c r="G844" s="113"/>
      <c r="H844" s="53">
        <f t="shared" si="1"/>
        <v>0</v>
      </c>
      <c r="I844" s="115"/>
      <c r="J844" s="115"/>
      <c r="K844" s="60">
        <f t="shared" si="2"/>
        <v>0</v>
      </c>
      <c r="L844" s="117"/>
    </row>
    <row r="845" ht="15.75" customHeight="1">
      <c r="A845" s="9"/>
      <c r="B845" s="164"/>
      <c r="C845" s="110"/>
      <c r="D845" s="156"/>
      <c r="E845" s="111"/>
      <c r="F845" s="112"/>
      <c r="G845" s="113"/>
      <c r="H845" s="53">
        <f t="shared" si="1"/>
        <v>0</v>
      </c>
      <c r="I845" s="115"/>
      <c r="J845" s="115"/>
      <c r="K845" s="60">
        <f t="shared" si="2"/>
        <v>0</v>
      </c>
      <c r="L845" s="117"/>
    </row>
    <row r="846" ht="15.75" customHeight="1">
      <c r="A846" s="9"/>
      <c r="B846" s="164"/>
      <c r="C846" s="110"/>
      <c r="D846" s="156"/>
      <c r="E846" s="111"/>
      <c r="F846" s="112"/>
      <c r="G846" s="113"/>
      <c r="H846" s="53">
        <f t="shared" si="1"/>
        <v>0</v>
      </c>
      <c r="I846" s="115"/>
      <c r="J846" s="115"/>
      <c r="K846" s="60">
        <f t="shared" si="2"/>
        <v>0</v>
      </c>
      <c r="L846" s="117"/>
    </row>
    <row r="847" ht="15.75" customHeight="1">
      <c r="A847" s="9"/>
      <c r="B847" s="164"/>
      <c r="C847" s="110"/>
      <c r="D847" s="156"/>
      <c r="E847" s="111"/>
      <c r="F847" s="112"/>
      <c r="G847" s="113"/>
      <c r="H847" s="53">
        <f t="shared" si="1"/>
        <v>0</v>
      </c>
      <c r="I847" s="115"/>
      <c r="J847" s="115"/>
      <c r="K847" s="60">
        <f t="shared" si="2"/>
        <v>0</v>
      </c>
      <c r="L847" s="117"/>
    </row>
    <row r="848" ht="15.75" customHeight="1">
      <c r="A848" s="9"/>
      <c r="B848" s="164"/>
      <c r="C848" s="110"/>
      <c r="D848" s="156"/>
      <c r="E848" s="111"/>
      <c r="F848" s="112"/>
      <c r="G848" s="113"/>
      <c r="H848" s="53">
        <f t="shared" si="1"/>
        <v>0</v>
      </c>
      <c r="I848" s="115"/>
      <c r="J848" s="115"/>
      <c r="K848" s="60">
        <f t="shared" si="2"/>
        <v>0</v>
      </c>
      <c r="L848" s="117"/>
    </row>
    <row r="849" ht="15.75" customHeight="1">
      <c r="A849" s="9"/>
      <c r="B849" s="164"/>
      <c r="C849" s="110"/>
      <c r="D849" s="156"/>
      <c r="E849" s="111"/>
      <c r="F849" s="112"/>
      <c r="G849" s="113"/>
      <c r="H849" s="53">
        <f t="shared" si="1"/>
        <v>0</v>
      </c>
      <c r="I849" s="115"/>
      <c r="J849" s="115"/>
      <c r="K849" s="60">
        <f t="shared" si="2"/>
        <v>0</v>
      </c>
      <c r="L849" s="117"/>
    </row>
    <row r="850" ht="15.75" customHeight="1">
      <c r="A850" s="9"/>
      <c r="B850" s="164"/>
      <c r="C850" s="110"/>
      <c r="D850" s="156"/>
      <c r="E850" s="111"/>
      <c r="F850" s="112"/>
      <c r="G850" s="113"/>
      <c r="H850" s="53">
        <f t="shared" si="1"/>
        <v>0</v>
      </c>
      <c r="I850" s="115"/>
      <c r="J850" s="115"/>
      <c r="K850" s="60">
        <f t="shared" si="2"/>
        <v>0</v>
      </c>
      <c r="L850" s="117"/>
    </row>
    <row r="851" ht="15.75" customHeight="1">
      <c r="A851" s="9"/>
      <c r="B851" s="164"/>
      <c r="C851" s="110"/>
      <c r="D851" s="156"/>
      <c r="E851" s="111"/>
      <c r="F851" s="112"/>
      <c r="G851" s="113"/>
      <c r="H851" s="53">
        <f t="shared" si="1"/>
        <v>0</v>
      </c>
      <c r="I851" s="115"/>
      <c r="J851" s="115"/>
      <c r="K851" s="60">
        <f t="shared" si="2"/>
        <v>0</v>
      </c>
      <c r="L851" s="117"/>
    </row>
    <row r="852" ht="15.75" customHeight="1">
      <c r="A852" s="9"/>
      <c r="B852" s="164"/>
      <c r="C852" s="110"/>
      <c r="D852" s="156"/>
      <c r="E852" s="111"/>
      <c r="F852" s="112"/>
      <c r="G852" s="113"/>
      <c r="H852" s="53">
        <f t="shared" si="1"/>
        <v>0</v>
      </c>
      <c r="I852" s="115"/>
      <c r="J852" s="115"/>
      <c r="K852" s="60">
        <f t="shared" si="2"/>
        <v>0</v>
      </c>
      <c r="L852" s="117"/>
    </row>
    <row r="853" ht="15.75" customHeight="1">
      <c r="A853" s="9"/>
      <c r="B853" s="164"/>
      <c r="C853" s="110"/>
      <c r="D853" s="156"/>
      <c r="E853" s="111"/>
      <c r="F853" s="112"/>
      <c r="G853" s="113"/>
      <c r="H853" s="53">
        <f t="shared" si="1"/>
        <v>0</v>
      </c>
      <c r="I853" s="115"/>
      <c r="J853" s="115"/>
      <c r="K853" s="60">
        <f t="shared" si="2"/>
        <v>0</v>
      </c>
      <c r="L853" s="117"/>
    </row>
    <row r="854" ht="15.75" customHeight="1">
      <c r="A854" s="9"/>
      <c r="B854" s="164"/>
      <c r="C854" s="110"/>
      <c r="D854" s="156"/>
      <c r="E854" s="111"/>
      <c r="F854" s="112"/>
      <c r="G854" s="113"/>
      <c r="H854" s="53">
        <f t="shared" si="1"/>
        <v>0</v>
      </c>
      <c r="I854" s="115"/>
      <c r="J854" s="115"/>
      <c r="K854" s="60">
        <f t="shared" si="2"/>
        <v>0</v>
      </c>
      <c r="L854" s="117"/>
    </row>
    <row r="855" ht="15.75" customHeight="1">
      <c r="A855" s="9"/>
      <c r="B855" s="164"/>
      <c r="C855" s="110"/>
      <c r="D855" s="156"/>
      <c r="E855" s="111"/>
      <c r="F855" s="112"/>
      <c r="G855" s="113"/>
      <c r="H855" s="53">
        <f t="shared" si="1"/>
        <v>0</v>
      </c>
      <c r="I855" s="115"/>
      <c r="J855" s="115"/>
      <c r="K855" s="60">
        <f t="shared" si="2"/>
        <v>0</v>
      </c>
      <c r="L855" s="117"/>
    </row>
    <row r="856" ht="15.75" customHeight="1">
      <c r="A856" s="9"/>
      <c r="B856" s="164"/>
      <c r="C856" s="110"/>
      <c r="D856" s="156"/>
      <c r="E856" s="111"/>
      <c r="F856" s="112"/>
      <c r="G856" s="113"/>
      <c r="H856" s="53">
        <f t="shared" si="1"/>
        <v>0</v>
      </c>
      <c r="I856" s="115"/>
      <c r="J856" s="115"/>
      <c r="K856" s="60">
        <f t="shared" si="2"/>
        <v>0</v>
      </c>
      <c r="L856" s="117"/>
    </row>
    <row r="857" ht="15.75" customHeight="1">
      <c r="A857" s="9"/>
      <c r="B857" s="164"/>
      <c r="C857" s="110"/>
      <c r="D857" s="156"/>
      <c r="E857" s="111"/>
      <c r="F857" s="112"/>
      <c r="G857" s="113"/>
      <c r="H857" s="53">
        <f t="shared" si="1"/>
        <v>0</v>
      </c>
      <c r="I857" s="115"/>
      <c r="J857" s="115"/>
      <c r="K857" s="60">
        <f t="shared" si="2"/>
        <v>0</v>
      </c>
      <c r="L857" s="117"/>
    </row>
    <row r="858" ht="15.75" customHeight="1">
      <c r="A858" s="9"/>
      <c r="B858" s="164"/>
      <c r="C858" s="110"/>
      <c r="D858" s="156"/>
      <c r="E858" s="111"/>
      <c r="F858" s="112"/>
      <c r="G858" s="113"/>
      <c r="H858" s="53">
        <f t="shared" si="1"/>
        <v>0</v>
      </c>
      <c r="I858" s="115"/>
      <c r="J858" s="115"/>
      <c r="K858" s="60">
        <f t="shared" si="2"/>
        <v>0</v>
      </c>
      <c r="L858" s="117"/>
    </row>
    <row r="859" ht="15.75" customHeight="1">
      <c r="A859" s="9"/>
      <c r="B859" s="164"/>
      <c r="C859" s="110"/>
      <c r="D859" s="156"/>
      <c r="E859" s="111"/>
      <c r="F859" s="112"/>
      <c r="G859" s="113"/>
      <c r="H859" s="53">
        <f t="shared" si="1"/>
        <v>0</v>
      </c>
      <c r="I859" s="115"/>
      <c r="J859" s="115"/>
      <c r="K859" s="60">
        <f t="shared" si="2"/>
        <v>0</v>
      </c>
      <c r="L859" s="117"/>
    </row>
    <row r="860" ht="15.75" customHeight="1">
      <c r="A860" s="9"/>
      <c r="B860" s="164"/>
      <c r="C860" s="110"/>
      <c r="D860" s="156"/>
      <c r="E860" s="111"/>
      <c r="F860" s="112"/>
      <c r="G860" s="113"/>
      <c r="H860" s="53">
        <f t="shared" si="1"/>
        <v>0</v>
      </c>
      <c r="I860" s="115"/>
      <c r="J860" s="115"/>
      <c r="K860" s="60">
        <f t="shared" si="2"/>
        <v>0</v>
      </c>
      <c r="L860" s="117"/>
    </row>
    <row r="861" ht="15.75" customHeight="1">
      <c r="A861" s="9"/>
      <c r="B861" s="164"/>
      <c r="C861" s="110"/>
      <c r="D861" s="156"/>
      <c r="E861" s="111"/>
      <c r="F861" s="112"/>
      <c r="G861" s="113"/>
      <c r="H861" s="53">
        <f t="shared" si="1"/>
        <v>0</v>
      </c>
      <c r="I861" s="115"/>
      <c r="J861" s="115"/>
      <c r="K861" s="60">
        <f t="shared" si="2"/>
        <v>0</v>
      </c>
      <c r="L861" s="117"/>
    </row>
    <row r="862" ht="15.75" customHeight="1">
      <c r="A862" s="9"/>
      <c r="B862" s="164"/>
      <c r="C862" s="110"/>
      <c r="D862" s="156"/>
      <c r="E862" s="111"/>
      <c r="F862" s="112"/>
      <c r="G862" s="113"/>
      <c r="H862" s="53">
        <f t="shared" si="1"/>
        <v>0</v>
      </c>
      <c r="I862" s="115"/>
      <c r="J862" s="115"/>
      <c r="K862" s="60">
        <f t="shared" si="2"/>
        <v>0</v>
      </c>
      <c r="L862" s="117"/>
    </row>
    <row r="863" ht="15.75" customHeight="1">
      <c r="A863" s="9"/>
      <c r="B863" s="164"/>
      <c r="C863" s="110"/>
      <c r="D863" s="156"/>
      <c r="E863" s="111"/>
      <c r="F863" s="112"/>
      <c r="G863" s="113"/>
      <c r="H863" s="53">
        <f t="shared" si="1"/>
        <v>0</v>
      </c>
      <c r="I863" s="115"/>
      <c r="J863" s="115"/>
      <c r="K863" s="60">
        <f t="shared" si="2"/>
        <v>0</v>
      </c>
      <c r="L863" s="117"/>
    </row>
    <row r="864" ht="15.75" customHeight="1">
      <c r="A864" s="9"/>
      <c r="B864" s="164"/>
      <c r="C864" s="110"/>
      <c r="D864" s="156"/>
      <c r="E864" s="111"/>
      <c r="F864" s="112"/>
      <c r="G864" s="113"/>
      <c r="H864" s="53">
        <f t="shared" si="1"/>
        <v>0</v>
      </c>
      <c r="I864" s="115"/>
      <c r="J864" s="115"/>
      <c r="K864" s="60">
        <f t="shared" si="2"/>
        <v>0</v>
      </c>
      <c r="L864" s="117"/>
    </row>
    <row r="865" ht="15.75" customHeight="1">
      <c r="A865" s="9"/>
      <c r="B865" s="164"/>
      <c r="C865" s="110"/>
      <c r="D865" s="156"/>
      <c r="E865" s="111"/>
      <c r="F865" s="112"/>
      <c r="G865" s="113"/>
      <c r="H865" s="53">
        <f t="shared" si="1"/>
        <v>0</v>
      </c>
      <c r="I865" s="115"/>
      <c r="J865" s="115"/>
      <c r="K865" s="60">
        <f t="shared" si="2"/>
        <v>0</v>
      </c>
      <c r="L865" s="117"/>
    </row>
    <row r="866" ht="15.75" customHeight="1">
      <c r="A866" s="9"/>
      <c r="B866" s="164"/>
      <c r="C866" s="110"/>
      <c r="D866" s="156"/>
      <c r="E866" s="111"/>
      <c r="F866" s="112"/>
      <c r="G866" s="113"/>
      <c r="H866" s="53">
        <f t="shared" si="1"/>
        <v>0</v>
      </c>
      <c r="I866" s="115"/>
      <c r="J866" s="115"/>
      <c r="K866" s="60">
        <f t="shared" si="2"/>
        <v>0</v>
      </c>
      <c r="L866" s="117"/>
    </row>
    <row r="867" ht="15.75" customHeight="1">
      <c r="A867" s="9"/>
      <c r="B867" s="164"/>
      <c r="C867" s="110"/>
      <c r="D867" s="156"/>
      <c r="E867" s="111"/>
      <c r="F867" s="112"/>
      <c r="G867" s="113"/>
      <c r="H867" s="53">
        <f t="shared" si="1"/>
        <v>0</v>
      </c>
      <c r="I867" s="115"/>
      <c r="J867" s="115"/>
      <c r="K867" s="60">
        <f t="shared" si="2"/>
        <v>0</v>
      </c>
      <c r="L867" s="117"/>
    </row>
    <row r="868" ht="15.75" customHeight="1">
      <c r="A868" s="9"/>
      <c r="B868" s="164"/>
      <c r="C868" s="110"/>
      <c r="D868" s="156"/>
      <c r="E868" s="111"/>
      <c r="F868" s="112"/>
      <c r="G868" s="113"/>
      <c r="H868" s="53">
        <f t="shared" si="1"/>
        <v>0</v>
      </c>
      <c r="I868" s="115"/>
      <c r="J868" s="115"/>
      <c r="K868" s="60">
        <f t="shared" si="2"/>
        <v>0</v>
      </c>
      <c r="L868" s="117"/>
    </row>
    <row r="869" ht="15.75" customHeight="1">
      <c r="A869" s="9"/>
      <c r="B869" s="164"/>
      <c r="C869" s="110"/>
      <c r="D869" s="156"/>
      <c r="E869" s="111"/>
      <c r="F869" s="112"/>
      <c r="G869" s="113"/>
      <c r="H869" s="53">
        <f t="shared" si="1"/>
        <v>0</v>
      </c>
      <c r="I869" s="115"/>
      <c r="J869" s="115"/>
      <c r="K869" s="60">
        <f t="shared" si="2"/>
        <v>0</v>
      </c>
      <c r="L869" s="117"/>
    </row>
    <row r="870" ht="15.75" customHeight="1">
      <c r="A870" s="9"/>
      <c r="B870" s="164"/>
      <c r="C870" s="110"/>
      <c r="D870" s="156"/>
      <c r="E870" s="111"/>
      <c r="F870" s="112"/>
      <c r="G870" s="113"/>
      <c r="H870" s="53">
        <f t="shared" si="1"/>
        <v>0</v>
      </c>
      <c r="I870" s="115"/>
      <c r="J870" s="115"/>
      <c r="K870" s="60">
        <f t="shared" si="2"/>
        <v>0</v>
      </c>
      <c r="L870" s="117"/>
    </row>
    <row r="871" ht="15.75" customHeight="1">
      <c r="A871" s="9"/>
      <c r="B871" s="164"/>
      <c r="C871" s="110"/>
      <c r="D871" s="156"/>
      <c r="E871" s="111"/>
      <c r="F871" s="112"/>
      <c r="G871" s="113"/>
      <c r="H871" s="53">
        <f t="shared" si="1"/>
        <v>0</v>
      </c>
      <c r="I871" s="115"/>
      <c r="J871" s="115"/>
      <c r="K871" s="60">
        <f t="shared" si="2"/>
        <v>0</v>
      </c>
      <c r="L871" s="117"/>
    </row>
    <row r="872" ht="15.75" customHeight="1">
      <c r="A872" s="9"/>
      <c r="B872" s="164"/>
      <c r="C872" s="110"/>
      <c r="D872" s="156"/>
      <c r="E872" s="111"/>
      <c r="F872" s="112"/>
      <c r="G872" s="113"/>
      <c r="H872" s="53">
        <f t="shared" si="1"/>
        <v>0</v>
      </c>
      <c r="I872" s="115"/>
      <c r="J872" s="115"/>
      <c r="K872" s="60">
        <f t="shared" si="2"/>
        <v>0</v>
      </c>
      <c r="L872" s="117"/>
    </row>
    <row r="873" ht="15.75" customHeight="1">
      <c r="A873" s="9"/>
      <c r="B873" s="164"/>
      <c r="C873" s="110"/>
      <c r="D873" s="156"/>
      <c r="E873" s="111"/>
      <c r="F873" s="112"/>
      <c r="G873" s="113"/>
      <c r="H873" s="53">
        <f t="shared" si="1"/>
        <v>0</v>
      </c>
      <c r="I873" s="115"/>
      <c r="J873" s="115"/>
      <c r="K873" s="60">
        <f t="shared" si="2"/>
        <v>0</v>
      </c>
      <c r="L873" s="117"/>
    </row>
    <row r="874" ht="15.75" customHeight="1">
      <c r="A874" s="9"/>
      <c r="B874" s="164"/>
      <c r="C874" s="110"/>
      <c r="D874" s="156"/>
      <c r="E874" s="111"/>
      <c r="F874" s="112"/>
      <c r="G874" s="113"/>
      <c r="H874" s="53">
        <f t="shared" si="1"/>
        <v>0</v>
      </c>
      <c r="I874" s="115"/>
      <c r="J874" s="115"/>
      <c r="K874" s="60">
        <f t="shared" si="2"/>
        <v>0</v>
      </c>
      <c r="L874" s="117"/>
    </row>
    <row r="875" ht="15.75" customHeight="1">
      <c r="A875" s="9"/>
      <c r="B875" s="164"/>
      <c r="C875" s="110"/>
      <c r="D875" s="156"/>
      <c r="E875" s="111"/>
      <c r="F875" s="112"/>
      <c r="G875" s="113"/>
      <c r="H875" s="53">
        <f t="shared" si="1"/>
        <v>0</v>
      </c>
      <c r="I875" s="115"/>
      <c r="J875" s="115"/>
      <c r="K875" s="60">
        <f t="shared" si="2"/>
        <v>0</v>
      </c>
      <c r="L875" s="117"/>
    </row>
    <row r="876" ht="15.75" customHeight="1">
      <c r="A876" s="9"/>
      <c r="B876" s="164"/>
      <c r="C876" s="110"/>
      <c r="D876" s="156"/>
      <c r="E876" s="111"/>
      <c r="F876" s="112"/>
      <c r="G876" s="113"/>
      <c r="H876" s="53">
        <f t="shared" si="1"/>
        <v>0</v>
      </c>
      <c r="I876" s="115"/>
      <c r="J876" s="115"/>
      <c r="K876" s="60">
        <f t="shared" si="2"/>
        <v>0</v>
      </c>
      <c r="L876" s="117"/>
    </row>
    <row r="877" ht="15.75" customHeight="1">
      <c r="A877" s="9"/>
      <c r="B877" s="164"/>
      <c r="C877" s="110"/>
      <c r="D877" s="156"/>
      <c r="E877" s="111"/>
      <c r="F877" s="112"/>
      <c r="G877" s="113"/>
      <c r="H877" s="53">
        <f t="shared" si="1"/>
        <v>0</v>
      </c>
      <c r="I877" s="115"/>
      <c r="J877" s="115"/>
      <c r="K877" s="60">
        <f t="shared" si="2"/>
        <v>0</v>
      </c>
      <c r="L877" s="117"/>
    </row>
    <row r="878" ht="15.75" customHeight="1">
      <c r="A878" s="9"/>
      <c r="B878" s="164"/>
      <c r="C878" s="110"/>
      <c r="D878" s="156"/>
      <c r="E878" s="111"/>
      <c r="F878" s="112"/>
      <c r="G878" s="113"/>
      <c r="H878" s="53">
        <f t="shared" si="1"/>
        <v>0</v>
      </c>
      <c r="I878" s="115"/>
      <c r="J878" s="115"/>
      <c r="K878" s="60">
        <f t="shared" si="2"/>
        <v>0</v>
      </c>
      <c r="L878" s="117"/>
    </row>
    <row r="879" ht="15.75" customHeight="1">
      <c r="A879" s="9"/>
      <c r="B879" s="164"/>
      <c r="C879" s="110"/>
      <c r="D879" s="156"/>
      <c r="E879" s="111"/>
      <c r="F879" s="112"/>
      <c r="G879" s="113"/>
      <c r="H879" s="53">
        <f t="shared" si="1"/>
        <v>0</v>
      </c>
      <c r="I879" s="115"/>
      <c r="J879" s="115"/>
      <c r="K879" s="60">
        <f t="shared" si="2"/>
        <v>0</v>
      </c>
      <c r="L879" s="117"/>
    </row>
    <row r="880" ht="15.75" customHeight="1">
      <c r="A880" s="9"/>
      <c r="B880" s="164"/>
      <c r="C880" s="110"/>
      <c r="D880" s="156"/>
      <c r="E880" s="111"/>
      <c r="F880" s="112"/>
      <c r="G880" s="113"/>
      <c r="H880" s="53">
        <f t="shared" si="1"/>
        <v>0</v>
      </c>
      <c r="I880" s="115"/>
      <c r="J880" s="115"/>
      <c r="K880" s="60">
        <f t="shared" si="2"/>
        <v>0</v>
      </c>
      <c r="L880" s="117"/>
    </row>
    <row r="881" ht="15.75" customHeight="1">
      <c r="A881" s="9"/>
      <c r="B881" s="164"/>
      <c r="C881" s="110"/>
      <c r="D881" s="156"/>
      <c r="E881" s="111"/>
      <c r="F881" s="112"/>
      <c r="G881" s="113"/>
      <c r="H881" s="53">
        <f t="shared" si="1"/>
        <v>0</v>
      </c>
      <c r="I881" s="115"/>
      <c r="J881" s="115"/>
      <c r="K881" s="60">
        <f t="shared" si="2"/>
        <v>0</v>
      </c>
      <c r="L881" s="117"/>
    </row>
    <row r="882" ht="15.75" customHeight="1">
      <c r="A882" s="9"/>
      <c r="B882" s="164"/>
      <c r="C882" s="110"/>
      <c r="D882" s="156"/>
      <c r="E882" s="111"/>
      <c r="F882" s="112"/>
      <c r="G882" s="113"/>
      <c r="H882" s="53">
        <f t="shared" si="1"/>
        <v>0</v>
      </c>
      <c r="I882" s="115"/>
      <c r="J882" s="115"/>
      <c r="K882" s="60">
        <f t="shared" si="2"/>
        <v>0</v>
      </c>
      <c r="L882" s="117"/>
    </row>
    <row r="883" ht="15.75" customHeight="1">
      <c r="A883" s="9"/>
      <c r="B883" s="164"/>
      <c r="C883" s="110"/>
      <c r="D883" s="156"/>
      <c r="E883" s="111"/>
      <c r="F883" s="112"/>
      <c r="G883" s="113"/>
      <c r="H883" s="53">
        <f t="shared" si="1"/>
        <v>0</v>
      </c>
      <c r="I883" s="115"/>
      <c r="J883" s="115"/>
      <c r="K883" s="60">
        <f t="shared" si="2"/>
        <v>0</v>
      </c>
      <c r="L883" s="117"/>
    </row>
    <row r="884" ht="15.75" customHeight="1">
      <c r="A884" s="9"/>
      <c r="B884" s="164"/>
      <c r="C884" s="110"/>
      <c r="D884" s="156"/>
      <c r="E884" s="111"/>
      <c r="F884" s="112"/>
      <c r="G884" s="113"/>
      <c r="H884" s="53">
        <f t="shared" si="1"/>
        <v>0</v>
      </c>
      <c r="I884" s="115"/>
      <c r="J884" s="115"/>
      <c r="K884" s="60">
        <f t="shared" si="2"/>
        <v>0</v>
      </c>
      <c r="L884" s="117"/>
    </row>
    <row r="885" ht="15.75" customHeight="1">
      <c r="A885" s="186"/>
      <c r="B885" s="164"/>
      <c r="C885" s="110"/>
      <c r="D885" s="156"/>
      <c r="E885" s="111"/>
      <c r="F885" s="110"/>
      <c r="G885" s="110"/>
      <c r="H885" s="53">
        <f t="shared" si="1"/>
        <v>0</v>
      </c>
      <c r="I885" s="110"/>
      <c r="J885" s="110"/>
      <c r="K885" s="60">
        <f t="shared" si="2"/>
        <v>0</v>
      </c>
      <c r="L885" s="117"/>
    </row>
    <row r="886" ht="15.75" customHeight="1">
      <c r="A886" s="186"/>
      <c r="B886" s="164"/>
      <c r="C886" s="110"/>
      <c r="D886" s="156"/>
      <c r="E886" s="111"/>
      <c r="F886" s="110"/>
      <c r="G886" s="110"/>
      <c r="H886" s="53">
        <f t="shared" si="1"/>
        <v>0</v>
      </c>
      <c r="I886" s="110"/>
      <c r="J886" s="110"/>
      <c r="K886" s="60">
        <f t="shared" si="2"/>
        <v>0</v>
      </c>
      <c r="L886" s="117"/>
    </row>
    <row r="887" ht="15.75" customHeight="1">
      <c r="A887" s="186"/>
      <c r="B887" s="164"/>
      <c r="C887" s="110"/>
      <c r="D887" s="156"/>
      <c r="E887" s="111"/>
      <c r="F887" s="110"/>
      <c r="G887" s="110"/>
      <c r="H887" s="53">
        <f t="shared" si="1"/>
        <v>0</v>
      </c>
      <c r="I887" s="110"/>
      <c r="J887" s="110"/>
      <c r="K887" s="60">
        <f t="shared" si="2"/>
        <v>0</v>
      </c>
      <c r="L887" s="117"/>
    </row>
    <row r="888" ht="15.75" customHeight="1">
      <c r="A888" s="186"/>
      <c r="B888" s="164"/>
      <c r="C888" s="110"/>
      <c r="D888" s="156"/>
      <c r="E888" s="111"/>
      <c r="F888" s="110"/>
      <c r="G888" s="110"/>
      <c r="H888" s="53">
        <f t="shared" si="1"/>
        <v>0</v>
      </c>
      <c r="I888" s="110"/>
      <c r="J888" s="110"/>
      <c r="K888" s="60">
        <f t="shared" si="2"/>
        <v>0</v>
      </c>
      <c r="L888" s="117"/>
    </row>
    <row r="889" ht="15.75" customHeight="1">
      <c r="A889" s="186"/>
      <c r="B889" s="164"/>
      <c r="C889" s="110"/>
      <c r="D889" s="156"/>
      <c r="E889" s="111"/>
      <c r="F889" s="110"/>
      <c r="G889" s="110"/>
      <c r="H889" s="53">
        <f t="shared" si="1"/>
        <v>0</v>
      </c>
      <c r="I889" s="110"/>
      <c r="J889" s="110"/>
      <c r="K889" s="60">
        <f t="shared" si="2"/>
        <v>0</v>
      </c>
      <c r="L889" s="117"/>
    </row>
    <row r="890" ht="15.75" customHeight="1">
      <c r="A890" s="186"/>
      <c r="B890" s="164"/>
      <c r="C890" s="110"/>
      <c r="D890" s="156"/>
      <c r="E890" s="111"/>
      <c r="F890" s="110"/>
      <c r="G890" s="110"/>
      <c r="H890" s="53">
        <f t="shared" si="1"/>
        <v>0</v>
      </c>
      <c r="I890" s="110"/>
      <c r="J890" s="110"/>
      <c r="K890" s="60">
        <f t="shared" si="2"/>
        <v>0</v>
      </c>
      <c r="L890" s="117"/>
    </row>
    <row r="891" ht="15.75" customHeight="1">
      <c r="A891" s="186"/>
      <c r="B891" s="164"/>
      <c r="C891" s="110"/>
      <c r="D891" s="156"/>
      <c r="E891" s="111"/>
      <c r="F891" s="110"/>
      <c r="G891" s="110"/>
      <c r="H891" s="53">
        <f t="shared" si="1"/>
        <v>0</v>
      </c>
      <c r="I891" s="110"/>
      <c r="J891" s="110"/>
      <c r="K891" s="60">
        <f t="shared" si="2"/>
        <v>0</v>
      </c>
      <c r="L891" s="117"/>
    </row>
    <row r="892" ht="15.75" customHeight="1">
      <c r="A892" s="186"/>
      <c r="B892" s="164"/>
      <c r="C892" s="110"/>
      <c r="D892" s="156"/>
      <c r="E892" s="111"/>
      <c r="F892" s="110"/>
      <c r="G892" s="110"/>
      <c r="H892" s="53">
        <f t="shared" si="1"/>
        <v>0</v>
      </c>
      <c r="I892" s="110"/>
      <c r="J892" s="110"/>
      <c r="K892" s="60">
        <f t="shared" si="2"/>
        <v>0</v>
      </c>
      <c r="L892" s="117"/>
    </row>
    <row r="893" ht="15.75" customHeight="1">
      <c r="A893" s="186"/>
      <c r="B893" s="164"/>
      <c r="C893" s="110"/>
      <c r="D893" s="156"/>
      <c r="E893" s="111"/>
      <c r="F893" s="110"/>
      <c r="G893" s="110"/>
      <c r="H893" s="53">
        <f t="shared" si="1"/>
        <v>0</v>
      </c>
      <c r="I893" s="110"/>
      <c r="J893" s="110"/>
      <c r="K893" s="60">
        <f t="shared" si="2"/>
        <v>0</v>
      </c>
      <c r="L893" s="117"/>
    </row>
    <row r="894" ht="15.75" customHeight="1">
      <c r="A894" s="186"/>
      <c r="B894" s="164"/>
      <c r="C894" s="110"/>
      <c r="D894" s="156"/>
      <c r="E894" s="111"/>
      <c r="F894" s="110"/>
      <c r="G894" s="110"/>
      <c r="H894" s="53">
        <f t="shared" si="1"/>
        <v>0</v>
      </c>
      <c r="I894" s="110"/>
      <c r="J894" s="110"/>
      <c r="K894" s="60">
        <f t="shared" si="2"/>
        <v>0</v>
      </c>
      <c r="L894" s="117"/>
    </row>
    <row r="895" ht="15.75" customHeight="1">
      <c r="A895" s="186"/>
      <c r="B895" s="164"/>
      <c r="C895" s="110"/>
      <c r="D895" s="156"/>
      <c r="E895" s="111"/>
      <c r="F895" s="110"/>
      <c r="G895" s="110"/>
      <c r="H895" s="53">
        <f t="shared" si="1"/>
        <v>0</v>
      </c>
      <c r="I895" s="110"/>
      <c r="J895" s="110"/>
      <c r="K895" s="60">
        <f t="shared" si="2"/>
        <v>0</v>
      </c>
      <c r="L895" s="117"/>
    </row>
    <row r="896" ht="15.75" customHeight="1">
      <c r="A896" s="186"/>
      <c r="B896" s="164"/>
      <c r="C896" s="110"/>
      <c r="D896" s="156"/>
      <c r="E896" s="111"/>
      <c r="F896" s="110"/>
      <c r="G896" s="110"/>
      <c r="H896" s="53">
        <f t="shared" si="1"/>
        <v>0</v>
      </c>
      <c r="I896" s="110"/>
      <c r="J896" s="110"/>
      <c r="K896" s="60">
        <f t="shared" si="2"/>
        <v>0</v>
      </c>
      <c r="L896" s="117"/>
    </row>
    <row r="897" ht="15.75" customHeight="1">
      <c r="A897" s="186"/>
      <c r="B897" s="164"/>
      <c r="C897" s="110"/>
      <c r="D897" s="156"/>
      <c r="E897" s="111"/>
      <c r="F897" s="110"/>
      <c r="G897" s="110"/>
      <c r="H897" s="53">
        <f t="shared" si="1"/>
        <v>0</v>
      </c>
      <c r="I897" s="110"/>
      <c r="J897" s="110"/>
      <c r="K897" s="60">
        <f t="shared" si="2"/>
        <v>0</v>
      </c>
      <c r="L897" s="117"/>
    </row>
    <row r="898" ht="15.75" customHeight="1">
      <c r="A898" s="186"/>
      <c r="B898" s="164"/>
      <c r="C898" s="110"/>
      <c r="D898" s="156"/>
      <c r="E898" s="111"/>
      <c r="F898" s="110"/>
      <c r="G898" s="110"/>
      <c r="H898" s="53">
        <f t="shared" si="1"/>
        <v>0</v>
      </c>
      <c r="I898" s="110"/>
      <c r="J898" s="110"/>
      <c r="K898" s="60">
        <f t="shared" si="2"/>
        <v>0</v>
      </c>
      <c r="L898" s="117"/>
    </row>
  </sheetData>
  <autoFilter ref="$B$1:$L$898"/>
  <dataValidations>
    <dataValidation type="list" allowBlank="1" showErrorMessage="1" sqref="E413:E898">
      <formula1>"Tanga Maju,Cós Laser,Tanga Laser"</formula1>
    </dataValidation>
    <dataValidation type="list" allowBlank="1" showErrorMessage="1" sqref="I2:I898">
      <formula1>"Pago,Aguardando Pagamento"</formula1>
    </dataValidation>
    <dataValidation type="list" allowBlank="1" showErrorMessage="1" sqref="L2:L898">
      <formula1>"Janeiro,Fevereiro,Março,Abril,Maio,Junho,Julho,Agosto,Setembro,Outubro,Novembro,Dezembro"</formula1>
    </dataValidation>
    <dataValidation type="list" allowBlank="1" showErrorMessage="1" sqref="J2 J4:J5 J72:J898">
      <formula1>"2,00%,1,50%,1,00%"</formula1>
    </dataValidation>
    <dataValidation type="list" allowBlank="1" showErrorMessage="1" sqref="J3 J6">
      <formula1>"2,00%,1,50%,1,00%,7,36%,3,20%"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.5"/>
    <col customWidth="1" min="2" max="2" width="20.13"/>
    <col customWidth="1" min="3" max="3" width="17.13"/>
    <col customWidth="1" min="4" max="4" width="18.88"/>
    <col customWidth="1" min="5" max="5" width="18.5"/>
    <col customWidth="1" min="6" max="6" width="19.38"/>
    <col customWidth="1" min="7" max="7" width="19.63"/>
    <col customWidth="1" min="8" max="8" width="18.38"/>
    <col customWidth="1" min="9" max="9" width="19.38"/>
    <col customWidth="1" min="10" max="10" width="17.75"/>
    <col customWidth="1" min="11" max="11" width="19.63"/>
    <col customWidth="1" min="12" max="12" width="18.63"/>
    <col customWidth="1" min="13" max="13" width="19.38"/>
    <col customWidth="1" min="14" max="14" width="19.88"/>
    <col customWidth="1" min="15" max="15" width="13.88"/>
  </cols>
  <sheetData>
    <row r="1" ht="19.5" customHeight="1">
      <c r="E1" s="201" t="s">
        <v>13</v>
      </c>
      <c r="F1" s="202" t="s">
        <v>107</v>
      </c>
      <c r="H1" s="203"/>
      <c r="J1" s="204"/>
      <c r="K1" s="205"/>
      <c r="M1" s="204"/>
      <c r="N1" s="204"/>
      <c r="O1" s="204"/>
    </row>
    <row r="2" ht="19.5" customHeight="1">
      <c r="B2" s="206" t="s">
        <v>108</v>
      </c>
      <c r="C2" s="207"/>
      <c r="E2" s="208" t="s">
        <v>40</v>
      </c>
      <c r="F2" s="209">
        <f>C7+C15</f>
        <v>5830.730507</v>
      </c>
      <c r="J2" s="204"/>
      <c r="K2" s="210"/>
      <c r="L2" s="211"/>
      <c r="M2" s="204"/>
      <c r="N2" s="204"/>
      <c r="O2" s="204"/>
    </row>
    <row r="3" ht="19.5" customHeight="1">
      <c r="B3" s="212" t="s">
        <v>109</v>
      </c>
      <c r="C3" s="213">
        <f>SUMIF('Dieu Fort'!L:L,E2,'Dieu Fort'!K:K)</f>
        <v>0</v>
      </c>
      <c r="J3" s="204"/>
      <c r="K3" s="210"/>
      <c r="L3" s="211"/>
      <c r="M3" s="204"/>
      <c r="N3" s="204"/>
      <c r="O3" s="15"/>
    </row>
    <row r="4" ht="19.5" customHeight="1">
      <c r="B4" s="214" t="s">
        <v>110</v>
      </c>
      <c r="C4" s="213">
        <f>SUMIF('RM Têxtil'!L:L,E2,'RM Têxtil'!K:K)</f>
        <v>69.48816</v>
      </c>
      <c r="E4" s="202" t="s">
        <v>111</v>
      </c>
      <c r="F4" s="202" t="s">
        <v>112</v>
      </c>
      <c r="I4" s="215"/>
      <c r="J4" s="204"/>
      <c r="K4" s="7"/>
      <c r="L4" s="72"/>
      <c r="M4" s="204"/>
      <c r="N4" s="204"/>
      <c r="O4" s="26"/>
    </row>
    <row r="5" ht="19.5" customHeight="1">
      <c r="B5" s="214" t="s">
        <v>113</v>
      </c>
      <c r="C5" s="213">
        <f>SUMIF('2R Representações'!L:L,E2,'2R Representações'!K:K)</f>
        <v>0</v>
      </c>
      <c r="E5" s="216">
        <f>C15</f>
        <v>5761.242347</v>
      </c>
      <c r="F5" s="217">
        <f>C7</f>
        <v>69.48816</v>
      </c>
    </row>
    <row r="6" ht="19.5" customHeight="1">
      <c r="B6" s="214" t="s">
        <v>114</v>
      </c>
      <c r="C6" s="213">
        <f>SUMIF('Bônus'!L:L,E2,'Bônus'!K:K)</f>
        <v>0</v>
      </c>
    </row>
    <row r="7" ht="19.5" customHeight="1">
      <c r="B7" s="218" t="s">
        <v>115</v>
      </c>
      <c r="C7" s="219">
        <f>SUM(C3:C6)</f>
        <v>69.48816</v>
      </c>
    </row>
    <row r="8" ht="20.25" customHeight="1">
      <c r="A8" s="204"/>
      <c r="K8" s="178"/>
    </row>
    <row r="9" ht="19.5" customHeight="1">
      <c r="A9" s="220"/>
      <c r="H9" s="221"/>
    </row>
    <row r="10" ht="19.5" customHeight="1">
      <c r="A10" s="220"/>
      <c r="B10" s="206" t="s">
        <v>116</v>
      </c>
      <c r="C10" s="207"/>
      <c r="D10" s="220"/>
      <c r="E10" s="221"/>
      <c r="H10" s="221"/>
    </row>
    <row r="11" ht="19.5" customHeight="1">
      <c r="A11" s="220"/>
      <c r="B11" s="222" t="s">
        <v>117</v>
      </c>
      <c r="C11" s="219">
        <f>SUMIF('Fast Representações'!N:N,E2,'Fast Representações'!M:M)</f>
        <v>377.6115356</v>
      </c>
      <c r="D11" s="220"/>
      <c r="E11" s="221"/>
      <c r="H11" s="221"/>
    </row>
    <row r="12" ht="19.5" customHeight="1">
      <c r="A12" s="220"/>
      <c r="B12" s="222" t="s">
        <v>118</v>
      </c>
      <c r="C12" s="219">
        <f>SUMIF('Fast Malhas'!I:I,E2,'Fast Malhas'!H:H)</f>
        <v>5383.630811</v>
      </c>
      <c r="D12" s="220"/>
      <c r="E12" s="221"/>
      <c r="H12" s="221"/>
    </row>
    <row r="13" ht="19.5" customHeight="1">
      <c r="A13" s="220"/>
      <c r="B13" s="222" t="s">
        <v>119</v>
      </c>
      <c r="C13" s="219">
        <f>SUMIF('Fast Elásticos'!K:K,E2,'Fast Elásticos'!J:J)</f>
        <v>0</v>
      </c>
      <c r="E13" s="221"/>
      <c r="F13" s="221"/>
      <c r="G13" s="221"/>
      <c r="H13" s="221"/>
    </row>
    <row r="14" ht="19.5" customHeight="1">
      <c r="A14" s="220"/>
      <c r="B14" s="212" t="s">
        <v>120</v>
      </c>
      <c r="C14" s="219">
        <f>SUMIF('Fast Conselheiro'!L:L,E2,'Fast Conselheiro'!K:K)</f>
        <v>1806.34868</v>
      </c>
      <c r="E14" s="221"/>
      <c r="F14" s="221"/>
      <c r="G14" s="221"/>
      <c r="H14" s="221"/>
    </row>
    <row r="15" ht="19.5" customHeight="1">
      <c r="A15" s="220"/>
      <c r="B15" s="218" t="s">
        <v>115</v>
      </c>
      <c r="C15" s="219">
        <f>SUM(C10:C13)</f>
        <v>5761.242347</v>
      </c>
      <c r="E15" s="221"/>
      <c r="H15" s="221"/>
    </row>
    <row r="16" ht="19.5" customHeight="1">
      <c r="D16" s="220"/>
      <c r="E16" s="221"/>
      <c r="F16" s="221"/>
      <c r="G16" s="221"/>
      <c r="H16" s="221"/>
    </row>
    <row r="17" ht="19.5" customHeight="1">
      <c r="A17" s="220"/>
      <c r="D17" s="220"/>
      <c r="E17" s="221"/>
      <c r="F17" s="221"/>
      <c r="G17" s="221"/>
      <c r="H17" s="221"/>
    </row>
    <row r="18" ht="19.5" customHeight="1">
      <c r="A18" s="220"/>
      <c r="B18" s="223">
        <f>SUM(C19:N25)</f>
        <v>42082.87</v>
      </c>
      <c r="C18" s="224" t="s">
        <v>26</v>
      </c>
      <c r="D18" s="224" t="s">
        <v>46</v>
      </c>
      <c r="E18" s="224" t="s">
        <v>42</v>
      </c>
      <c r="F18" s="224" t="s">
        <v>65</v>
      </c>
      <c r="G18" s="224" t="s">
        <v>64</v>
      </c>
      <c r="H18" s="224" t="s">
        <v>67</v>
      </c>
      <c r="I18" s="224" t="s">
        <v>31</v>
      </c>
      <c r="J18" s="224" t="s">
        <v>70</v>
      </c>
      <c r="K18" s="224" t="s">
        <v>40</v>
      </c>
      <c r="L18" s="224" t="s">
        <v>121</v>
      </c>
      <c r="M18" s="224" t="s">
        <v>122</v>
      </c>
      <c r="N18" s="224" t="s">
        <v>123</v>
      </c>
    </row>
    <row r="19" ht="19.5" customHeight="1">
      <c r="A19" s="220"/>
      <c r="B19" s="225" t="s">
        <v>109</v>
      </c>
      <c r="C19" s="226">
        <v>224.56</v>
      </c>
      <c r="D19" s="227">
        <v>0.0</v>
      </c>
      <c r="E19" s="227">
        <v>965.34</v>
      </c>
      <c r="F19" s="228"/>
      <c r="G19" s="228"/>
      <c r="H19" s="228"/>
      <c r="I19" s="228"/>
      <c r="J19" s="228"/>
      <c r="K19" s="228"/>
      <c r="L19" s="228"/>
      <c r="M19" s="228"/>
      <c r="N19" s="228"/>
    </row>
    <row r="20" ht="19.5" customHeight="1">
      <c r="A20" s="220"/>
      <c r="B20" s="229" t="s">
        <v>110</v>
      </c>
      <c r="C20" s="230">
        <v>100.36</v>
      </c>
      <c r="D20" s="231">
        <v>2345.69</v>
      </c>
      <c r="E20" s="231">
        <v>363.24</v>
      </c>
      <c r="F20" s="231">
        <v>2000.0</v>
      </c>
      <c r="G20" s="232"/>
      <c r="H20" s="232"/>
      <c r="I20" s="232"/>
      <c r="J20" s="232"/>
      <c r="K20" s="232"/>
      <c r="L20" s="232"/>
      <c r="M20" s="232"/>
      <c r="N20" s="232"/>
    </row>
    <row r="21" ht="19.5" customHeight="1">
      <c r="A21" s="220"/>
      <c r="B21" s="229" t="s">
        <v>113</v>
      </c>
      <c r="C21" s="230">
        <v>1303.41</v>
      </c>
      <c r="D21" s="231">
        <v>838.74</v>
      </c>
      <c r="E21" s="231">
        <v>610.0</v>
      </c>
      <c r="F21" s="231">
        <v>496.0</v>
      </c>
      <c r="G21" s="231">
        <v>816.0</v>
      </c>
      <c r="H21" s="232"/>
      <c r="I21" s="232"/>
      <c r="J21" s="232"/>
      <c r="K21" s="232"/>
      <c r="L21" s="232"/>
      <c r="M21" s="232"/>
      <c r="N21" s="232"/>
    </row>
    <row r="22" ht="19.5" customHeight="1">
      <c r="B22" s="233" t="s">
        <v>117</v>
      </c>
      <c r="C22" s="230">
        <v>120.11</v>
      </c>
      <c r="D22" s="231">
        <v>603.89</v>
      </c>
      <c r="E22" s="231">
        <v>53.08</v>
      </c>
      <c r="F22" s="232"/>
      <c r="G22" s="232"/>
      <c r="H22" s="232"/>
      <c r="I22" s="232"/>
      <c r="J22" s="232"/>
      <c r="K22" s="232"/>
      <c r="L22" s="232"/>
      <c r="M22" s="232"/>
      <c r="N22" s="232"/>
    </row>
    <row r="23" ht="19.5" customHeight="1">
      <c r="B23" s="233" t="s">
        <v>118</v>
      </c>
      <c r="C23" s="230">
        <v>8847.36</v>
      </c>
      <c r="D23" s="231">
        <v>12283.88</v>
      </c>
      <c r="E23" s="231">
        <v>7440.75</v>
      </c>
      <c r="F23" s="232"/>
      <c r="G23" s="232"/>
      <c r="H23" s="232"/>
      <c r="I23" s="232"/>
      <c r="J23" s="232"/>
      <c r="K23" s="232"/>
      <c r="L23" s="232"/>
      <c r="M23" s="232"/>
      <c r="N23" s="232"/>
    </row>
    <row r="24" ht="19.5" customHeight="1">
      <c r="B24" s="234" t="s">
        <v>119</v>
      </c>
      <c r="C24" s="235">
        <v>39.59</v>
      </c>
      <c r="D24" s="236">
        <v>639.0</v>
      </c>
      <c r="E24" s="236">
        <v>19.66</v>
      </c>
      <c r="F24" s="237"/>
      <c r="G24" s="237"/>
      <c r="H24" s="237"/>
      <c r="I24" s="237"/>
      <c r="J24" s="237"/>
      <c r="K24" s="237"/>
      <c r="L24" s="237"/>
      <c r="M24" s="237"/>
      <c r="N24" s="237"/>
    </row>
    <row r="25" ht="19.5" customHeight="1">
      <c r="B25" s="238" t="s">
        <v>114</v>
      </c>
      <c r="C25" s="239">
        <v>0.0</v>
      </c>
      <c r="D25" s="240">
        <v>479.21</v>
      </c>
      <c r="E25" s="240">
        <v>0.0</v>
      </c>
      <c r="F25" s="240">
        <v>1493.0</v>
      </c>
      <c r="G25" s="241"/>
      <c r="H25" s="241"/>
      <c r="I25" s="241"/>
      <c r="J25" s="241"/>
      <c r="K25" s="241"/>
      <c r="L25" s="241"/>
      <c r="M25" s="241"/>
      <c r="N25" s="241"/>
    </row>
    <row r="26" ht="19.5" customHeight="1"/>
    <row r="27" ht="19.5" customHeight="1"/>
    <row r="28" ht="19.5" customHeight="1"/>
    <row r="29" ht="19.5" customHeight="1"/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  <row r="1001" ht="19.5" customHeight="1"/>
    <row r="1002" ht="19.5" customHeight="1"/>
    <row r="1003" ht="19.5" customHeight="1"/>
    <row r="1004" ht="19.5" customHeight="1"/>
  </sheetData>
  <mergeCells count="4">
    <mergeCell ref="H1:I1"/>
    <mergeCell ref="K1:L1"/>
    <mergeCell ref="B2:C2"/>
    <mergeCell ref="B10:C10"/>
  </mergeCells>
  <dataValidations>
    <dataValidation type="list" allowBlank="1" showErrorMessage="1" sqref="E2">
      <formula1>"Janeiro,Fevereiro,Março,Abril,Maio,Junho,Julho,Agosto,Setembro,Outubro,Novembro,Dezembro"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0"/>
  <cols>
    <col customWidth="1" min="4" max="4" width="20.0"/>
    <col customWidth="1" min="5" max="5" width="14.63"/>
    <col customWidth="1" min="6" max="8" width="17.25"/>
  </cols>
  <sheetData>
    <row r="4">
      <c r="A4" s="6"/>
      <c r="B4" s="6"/>
      <c r="C4" s="242" t="s">
        <v>124</v>
      </c>
      <c r="D4" s="243" t="s">
        <v>125</v>
      </c>
      <c r="E4" s="244" t="s">
        <v>126</v>
      </c>
      <c r="F4" s="244" t="s">
        <v>127</v>
      </c>
      <c r="G4" s="243" t="s">
        <v>128</v>
      </c>
      <c r="H4" s="243" t="s">
        <v>129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>
      <c r="C5" s="245" t="s">
        <v>26</v>
      </c>
      <c r="D5" s="246">
        <v>500.0</v>
      </c>
      <c r="E5" s="246">
        <v>795.23</v>
      </c>
      <c r="F5" s="247">
        <v>476.76</v>
      </c>
      <c r="G5" s="247">
        <v>309.73</v>
      </c>
      <c r="H5" s="248">
        <f t="shared" ref="H5:H7" si="1">SUM(D5:G5)</f>
        <v>2081.72</v>
      </c>
      <c r="K5" s="137" t="s">
        <v>37</v>
      </c>
    </row>
    <row r="6">
      <c r="C6" s="249" t="s">
        <v>46</v>
      </c>
      <c r="D6" s="246">
        <v>500.0</v>
      </c>
      <c r="E6" s="246">
        <v>540.41</v>
      </c>
      <c r="F6" s="247">
        <v>242.0</v>
      </c>
      <c r="G6" s="247">
        <v>313.29</v>
      </c>
      <c r="H6" s="248">
        <f t="shared" si="1"/>
        <v>1595.7</v>
      </c>
    </row>
    <row r="7">
      <c r="C7" s="249" t="s">
        <v>42</v>
      </c>
      <c r="D7" s="250">
        <v>500.0</v>
      </c>
      <c r="E7" s="250">
        <v>809.68</v>
      </c>
      <c r="F7" s="251">
        <v>396.0</v>
      </c>
      <c r="G7" s="251">
        <v>316.36</v>
      </c>
      <c r="H7" s="252">
        <f t="shared" si="1"/>
        <v>2022.04</v>
      </c>
      <c r="I7" s="253" t="s">
        <v>130</v>
      </c>
    </row>
    <row r="8">
      <c r="C8" s="249" t="s">
        <v>65</v>
      </c>
      <c r="D8" s="250">
        <v>500.0</v>
      </c>
      <c r="E8" s="250">
        <v>450.82</v>
      </c>
      <c r="F8" s="251">
        <v>242.0</v>
      </c>
      <c r="G8" s="251">
        <v>329.41</v>
      </c>
      <c r="H8" s="252">
        <f>SUM(D8:G8)+I8</f>
        <v>2064.38</v>
      </c>
      <c r="I8" s="254">
        <v>542.15</v>
      </c>
    </row>
    <row r="9">
      <c r="C9" s="249" t="s">
        <v>64</v>
      </c>
      <c r="D9" s="250">
        <v>500.0</v>
      </c>
      <c r="E9" s="250">
        <v>206.12</v>
      </c>
      <c r="F9" s="251">
        <v>181.84</v>
      </c>
      <c r="G9" s="251">
        <v>323.41</v>
      </c>
      <c r="H9" s="252">
        <f t="shared" ref="H9:H10" si="2">SUM(D9:G9)</f>
        <v>1211.37</v>
      </c>
    </row>
    <row r="10">
      <c r="C10" s="249" t="s">
        <v>67</v>
      </c>
      <c r="D10" s="250">
        <v>500.0</v>
      </c>
      <c r="E10" s="250">
        <v>404.49</v>
      </c>
      <c r="F10" s="251">
        <v>231.76</v>
      </c>
      <c r="G10" s="251">
        <v>326.69</v>
      </c>
      <c r="H10" s="252">
        <f t="shared" si="2"/>
        <v>1462.94</v>
      </c>
      <c r="I10" s="253" t="s">
        <v>131</v>
      </c>
    </row>
    <row r="11">
      <c r="C11" s="249" t="s">
        <v>31</v>
      </c>
      <c r="D11" s="250">
        <v>500.0</v>
      </c>
      <c r="E11" s="250">
        <v>0.0</v>
      </c>
      <c r="F11" s="251">
        <v>231.76</v>
      </c>
      <c r="G11" s="251">
        <v>309.73</v>
      </c>
      <c r="H11" s="252">
        <f>D11+E11+F11+G11+I11</f>
        <v>1238.49</v>
      </c>
      <c r="I11" s="254">
        <v>197.0</v>
      </c>
    </row>
    <row r="12">
      <c r="C12" s="249" t="s">
        <v>70</v>
      </c>
      <c r="D12" s="250">
        <v>500.0</v>
      </c>
      <c r="E12" s="250">
        <v>0.0</v>
      </c>
      <c r="F12" s="251">
        <v>0.0</v>
      </c>
      <c r="G12" s="251">
        <v>309.73</v>
      </c>
      <c r="H12" s="252">
        <f t="shared" ref="H12:H16" si="3">SUM(D12:G12)</f>
        <v>809.73</v>
      </c>
    </row>
    <row r="13">
      <c r="C13" s="249" t="s">
        <v>40</v>
      </c>
      <c r="D13" s="250">
        <v>500.0</v>
      </c>
      <c r="E13" s="250">
        <v>0.0</v>
      </c>
      <c r="F13" s="251">
        <v>0.0</v>
      </c>
      <c r="G13" s="251">
        <v>309.73</v>
      </c>
      <c r="H13" s="252">
        <f t="shared" si="3"/>
        <v>809.73</v>
      </c>
    </row>
    <row r="14">
      <c r="C14" s="249" t="s">
        <v>121</v>
      </c>
      <c r="D14" s="250">
        <v>500.0</v>
      </c>
      <c r="E14" s="250">
        <v>0.0</v>
      </c>
      <c r="F14" s="251">
        <v>0.0</v>
      </c>
      <c r="G14" s="251">
        <v>309.73</v>
      </c>
      <c r="H14" s="252">
        <f t="shared" si="3"/>
        <v>809.73</v>
      </c>
    </row>
    <row r="15">
      <c r="C15" s="249" t="s">
        <v>122</v>
      </c>
      <c r="D15" s="250">
        <v>500.0</v>
      </c>
      <c r="E15" s="250">
        <v>0.0</v>
      </c>
      <c r="F15" s="251">
        <v>0.0</v>
      </c>
      <c r="G15" s="251">
        <v>309.73</v>
      </c>
      <c r="H15" s="252">
        <f t="shared" si="3"/>
        <v>809.73</v>
      </c>
    </row>
    <row r="16">
      <c r="C16" s="255" t="s">
        <v>123</v>
      </c>
      <c r="D16" s="250">
        <v>500.0</v>
      </c>
      <c r="E16" s="250">
        <v>0.0</v>
      </c>
      <c r="F16" s="251">
        <v>0.0</v>
      </c>
      <c r="G16" s="251">
        <v>309.73</v>
      </c>
      <c r="H16" s="252">
        <f t="shared" si="3"/>
        <v>809.73</v>
      </c>
    </row>
    <row r="25" ht="14.25" customHeight="1"/>
  </sheetData>
  <drawing r:id="rId1"/>
</worksheet>
</file>