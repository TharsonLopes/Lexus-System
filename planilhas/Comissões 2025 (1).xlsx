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t Representações" sheetId="1" r:id="rId4"/>
    <sheet state="visible" name="Fast Malhas" sheetId="2" r:id="rId5"/>
    <sheet state="visible" name="Fast Elásticos" sheetId="3" r:id="rId6"/>
    <sheet state="visible" name="Island" sheetId="4" r:id="rId7"/>
    <sheet state="visible" name="MR Têxtil" sheetId="5" r:id="rId8"/>
    <sheet state="visible" name="Total Comissão" sheetId="6" r:id="rId9"/>
    <sheet state="visible" name="Apurações" sheetId="7" r:id="rId10"/>
    <sheet state="visible" name="Despesas Lexus" sheetId="8" r:id="rId11"/>
  </sheets>
  <definedNames>
    <definedName hidden="1" localSheetId="0" name="_xlnm._FilterDatabase">'Fast Representações'!$B$1:$N$930</definedName>
    <definedName hidden="1" localSheetId="1" name="_xlnm._FilterDatabase">'Fast Malhas'!$B$1:$I$917</definedName>
    <definedName hidden="1" localSheetId="2" name="_xlnm._FilterDatabase">'Fast Elásticos'!$A$1:$K$66</definedName>
    <definedName hidden="1" localSheetId="3" name="_xlnm._FilterDatabase">Island!$B$1:$L$902</definedName>
    <definedName hidden="1" localSheetId="4" name="_xlnm._FilterDatabase">'MR Têxtil'!$L$1:$L$1004</definedName>
  </definedNames>
  <calcPr/>
  <extLst>
    <ext uri="GoogleSheetsCustomDataVersion2">
      <go:sheetsCustomData xmlns:go="http://customooxmlschemas.google.com/" r:id="rId12" roundtripDataChecksum="JrEyUA99QjiTWMfRyWxwOVxDJxI3WpMJc1eyRJoORtQ="/>
    </ext>
  </extLst>
</workbook>
</file>

<file path=xl/sharedStrings.xml><?xml version="1.0" encoding="utf-8"?>
<sst xmlns="http://schemas.openxmlformats.org/spreadsheetml/2006/main" count="925" uniqueCount="166">
  <si>
    <t xml:space="preserve">Nº do Sistema </t>
  </si>
  <si>
    <t>Cliente</t>
  </si>
  <si>
    <t>NF</t>
  </si>
  <si>
    <t>Faturamento</t>
  </si>
  <si>
    <t>Produto</t>
  </si>
  <si>
    <t>Valor Unitário</t>
  </si>
  <si>
    <t>Quantidade</t>
  </si>
  <si>
    <t>Valor Total</t>
  </si>
  <si>
    <t>% Comissão</t>
  </si>
  <si>
    <t>Comissão Bruta</t>
  </si>
  <si>
    <t>Imposto</t>
  </si>
  <si>
    <t>Comissão total</t>
  </si>
  <si>
    <t>Mês a Receber</t>
  </si>
  <si>
    <t>Alda Veronica</t>
  </si>
  <si>
    <t xml:space="preserve">Renda 18cm </t>
  </si>
  <si>
    <t>Fevereiro</t>
  </si>
  <si>
    <t xml:space="preserve">WWA </t>
  </si>
  <si>
    <t>Cotton</t>
  </si>
  <si>
    <t>Janeiro</t>
  </si>
  <si>
    <t>Doroth de Friburgo</t>
  </si>
  <si>
    <t>Liganete Lisa</t>
  </si>
  <si>
    <t>Liganete Estampada</t>
  </si>
  <si>
    <t>Big Mar</t>
  </si>
  <si>
    <t>Abril</t>
  </si>
  <si>
    <t>Gilsandro</t>
  </si>
  <si>
    <t>Helanca</t>
  </si>
  <si>
    <t>Belle Fascino</t>
  </si>
  <si>
    <t>Mônica de Almeida</t>
  </si>
  <si>
    <t>Março</t>
  </si>
  <si>
    <t>Ayla</t>
  </si>
  <si>
    <t>Donna Emilinha</t>
  </si>
  <si>
    <t>PP</t>
  </si>
  <si>
    <t>Maio</t>
  </si>
  <si>
    <t>Siqueira</t>
  </si>
  <si>
    <t>Chermont</t>
  </si>
  <si>
    <t>Canelado Royal</t>
  </si>
  <si>
    <t>Reviro</t>
  </si>
  <si>
    <t>Suede Estampado</t>
  </si>
  <si>
    <t>Julho</t>
  </si>
  <si>
    <t>MAMUT</t>
  </si>
  <si>
    <t>Venda descontada</t>
  </si>
  <si>
    <t>BOXER</t>
  </si>
  <si>
    <t>Junho</t>
  </si>
  <si>
    <t>Irresistivel</t>
  </si>
  <si>
    <t>Am da Silva</t>
  </si>
  <si>
    <t>Be Bless</t>
  </si>
  <si>
    <t>Outubro</t>
  </si>
  <si>
    <t>Agosto</t>
  </si>
  <si>
    <t>Dezembro</t>
  </si>
  <si>
    <t>Capricho Feminino</t>
  </si>
  <si>
    <t>Cotton / M.Malha</t>
  </si>
  <si>
    <t>Cetim</t>
  </si>
  <si>
    <t>Novembro</t>
  </si>
  <si>
    <t>Entrelinhas</t>
  </si>
  <si>
    <t>Belle Fascinio</t>
  </si>
  <si>
    <t>Malha Forro</t>
  </si>
  <si>
    <t>Nº  Processo</t>
  </si>
  <si>
    <t xml:space="preserve">Custo </t>
  </si>
  <si>
    <t>Comissão</t>
  </si>
  <si>
    <t>AV Moda</t>
  </si>
  <si>
    <t>Gabriel Rodrigues</t>
  </si>
  <si>
    <t>BR Acessórios</t>
  </si>
  <si>
    <t>GT Moda Intima</t>
  </si>
  <si>
    <t>Kelly Cristina</t>
  </si>
  <si>
    <t>Fernanda Emanuele</t>
  </si>
  <si>
    <t>Enterlinhas</t>
  </si>
  <si>
    <t>F7 New Style</t>
  </si>
  <si>
    <t>Joia</t>
  </si>
  <si>
    <t>GDM Modas</t>
  </si>
  <si>
    <t>Setembro</t>
  </si>
  <si>
    <t>Joia Intima</t>
  </si>
  <si>
    <t>V. da Silva</t>
  </si>
  <si>
    <t>Transeg</t>
  </si>
  <si>
    <t>Ayla Yassaka</t>
  </si>
  <si>
    <t>Feitosa &amp; Melo</t>
  </si>
  <si>
    <t>Jóia</t>
  </si>
  <si>
    <t xml:space="preserve">Br acessórios </t>
  </si>
  <si>
    <t>Power Fashion</t>
  </si>
  <si>
    <t>Nº Pedido</t>
  </si>
  <si>
    <t>Nota Fiscal</t>
  </si>
  <si>
    <t>Data de Pagamento</t>
  </si>
  <si>
    <t xml:space="preserve"> </t>
  </si>
  <si>
    <t>Miranda e Fraga</t>
  </si>
  <si>
    <t>Use Crisan</t>
  </si>
  <si>
    <t xml:space="preserve">F7 New Style </t>
  </si>
  <si>
    <t>Miranda e fraga</t>
  </si>
  <si>
    <t>Mauricio Valberto</t>
  </si>
  <si>
    <t>D.A.C.B Grativol</t>
  </si>
  <si>
    <t>07/11/2025 / 14/11/2025</t>
  </si>
  <si>
    <t>30/10/2025 / 07/11/2025</t>
  </si>
  <si>
    <t>D'Bellus</t>
  </si>
  <si>
    <t>28/10/2025 / 07/11/2025</t>
  </si>
  <si>
    <t>Data de entrada</t>
  </si>
  <si>
    <t xml:space="preserve">Nº do Pedido </t>
  </si>
  <si>
    <t>Preço</t>
  </si>
  <si>
    <t>Status</t>
  </si>
  <si>
    <t>Gilbrto Gastin</t>
  </si>
  <si>
    <t>Poliamida</t>
  </si>
  <si>
    <t>Pago</t>
  </si>
  <si>
    <t>Mirandae Fraga</t>
  </si>
  <si>
    <t>Viés</t>
  </si>
  <si>
    <t>MS Fabulosa</t>
  </si>
  <si>
    <t xml:space="preserve">Romantic </t>
  </si>
  <si>
    <t>Tbow</t>
  </si>
  <si>
    <t>Gabriel Mafort</t>
  </si>
  <si>
    <t>Suplex Zero</t>
  </si>
  <si>
    <t>Gilberto gastin</t>
  </si>
  <si>
    <t>F7 new Style</t>
  </si>
  <si>
    <t>Andréia da Paixão</t>
  </si>
  <si>
    <t>Boxer</t>
  </si>
  <si>
    <t>Sempre Mulher</t>
  </si>
  <si>
    <t>v da silva</t>
  </si>
  <si>
    <t>Gabreiel Rodrigues</t>
  </si>
  <si>
    <t>BR Acessorios</t>
  </si>
  <si>
    <t>Andreia da Paixão</t>
  </si>
  <si>
    <t>Dieu Fort</t>
  </si>
  <si>
    <t>Tanga Maju</t>
  </si>
  <si>
    <t>Cós Laser</t>
  </si>
  <si>
    <t>Tanga Laser</t>
  </si>
  <si>
    <t>Valor</t>
  </si>
  <si>
    <t>Comissão Líquida</t>
  </si>
  <si>
    <t>Mês a receber</t>
  </si>
  <si>
    <t>F7</t>
  </si>
  <si>
    <t>Leo</t>
  </si>
  <si>
    <t>Andreia</t>
  </si>
  <si>
    <t>Gabriel</t>
  </si>
  <si>
    <t>Auvo</t>
  </si>
  <si>
    <t>12/02//2025</t>
  </si>
  <si>
    <t>13/02//2025</t>
  </si>
  <si>
    <t>Fabio de Simas</t>
  </si>
  <si>
    <t xml:space="preserve">Gabriel </t>
  </si>
  <si>
    <t>Crédito 83</t>
  </si>
  <si>
    <t>Abatido</t>
  </si>
  <si>
    <t>Viés Poliamida</t>
  </si>
  <si>
    <t>Bojo</t>
  </si>
  <si>
    <t>Aguardando PG</t>
  </si>
  <si>
    <t>Br Acessórios</t>
  </si>
  <si>
    <t>La Vitta</t>
  </si>
  <si>
    <t>Ravini</t>
  </si>
  <si>
    <t>Valéria Lomeu</t>
  </si>
  <si>
    <t>Fast Representações</t>
  </si>
  <si>
    <t>LEXUS REPRESENTAÇÕES</t>
  </si>
  <si>
    <t>Pessoa Física</t>
  </si>
  <si>
    <t>Fast Malhas</t>
  </si>
  <si>
    <t>Recebivel Líquido</t>
  </si>
  <si>
    <t>Pró-labore</t>
  </si>
  <si>
    <t>Fast Elásticos</t>
  </si>
  <si>
    <t>Inss</t>
  </si>
  <si>
    <t>Imposto empresa</t>
  </si>
  <si>
    <t>Island</t>
  </si>
  <si>
    <t>IRRF</t>
  </si>
  <si>
    <t>Total</t>
  </si>
  <si>
    <t>MCL</t>
  </si>
  <si>
    <t>S.N</t>
  </si>
  <si>
    <t>INSS</t>
  </si>
  <si>
    <t>Mês</t>
  </si>
  <si>
    <t>Comissões</t>
  </si>
  <si>
    <t xml:space="preserve">Impostos totais </t>
  </si>
  <si>
    <t>Agostop</t>
  </si>
  <si>
    <t>TOTAL</t>
  </si>
  <si>
    <t>Contabilidade</t>
  </si>
  <si>
    <t>Impostos</t>
  </si>
  <si>
    <t>Pró Labore</t>
  </si>
  <si>
    <t>Neg. Simples</t>
  </si>
  <si>
    <t>Neg. INSS</t>
  </si>
  <si>
    <t>Total Mês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</si>
</sst>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[$R$ -416]#,##0.00"/>
    <numFmt numFmtId="166" formatCode="d/m/yyyy"/>
    <numFmt numFmtId="167" formatCode="0.000"/>
    <numFmt numFmtId="168" formatCode="dd/MM/yyyy"/>
    <numFmt numFmtId="169" formatCode="d/m"/>
    <numFmt numFmtId="170" formatCode="mmm/d"/>
  </numFmts>
  <fonts count="28">
    <font>
      <sz val="10.0"/>
      <color rgb="FF000000"/>
      <name val="Arial"/>
      <scheme val="minor"/>
    </font>
    <font>
      <color rgb="FFFFFFFF"/>
      <name val="Arial"/>
    </font>
    <font>
      <color rgb="FF00FFFF"/>
      <name val="Arial"/>
    </font>
    <font>
      <color theme="1"/>
      <name val="Arial"/>
    </font>
    <font>
      <color theme="1"/>
      <name val="Arial"/>
      <scheme val="minor"/>
    </font>
    <font>
      <sz val="10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b/>
      <color rgb="FFFFFFFF"/>
      <name val="Arial"/>
    </font>
    <font>
      <sz val="11.0"/>
      <color rgb="FF00FFFF"/>
      <name val="Arial"/>
    </font>
    <font>
      <sz val="11.0"/>
      <color theme="1"/>
      <name val="Arial"/>
    </font>
    <font>
      <sz val="12.0"/>
      <color rgb="FF00FFFF"/>
      <name val="Arial"/>
    </font>
    <font>
      <sz val="11.0"/>
      <color rgb="FFFFFFFF"/>
      <name val="Arial"/>
    </font>
    <font/>
    <font>
      <sz val="12.0"/>
      <color rgb="FFFFFFFF"/>
      <name val="Arial"/>
    </font>
    <font>
      <sz val="12.0"/>
      <color theme="1"/>
      <name val="Arial"/>
    </font>
    <font>
      <sz val="11.0"/>
      <color rgb="FF000000"/>
      <name val="Arial"/>
    </font>
    <font>
      <sz val="13.0"/>
      <color rgb="FF00FFFF"/>
      <name val="Arial"/>
      <scheme val="minor"/>
    </font>
    <font>
      <sz val="13.0"/>
      <color theme="1"/>
      <name val="Arial"/>
      <scheme val="minor"/>
    </font>
    <font>
      <color rgb="FFFFFFFF"/>
      <name val="Arial"/>
      <scheme val="minor"/>
    </font>
    <font>
      <sz val="12.0"/>
      <color rgb="FFFFFFFF"/>
      <name val="Arial"/>
      <scheme val="minor"/>
    </font>
    <font>
      <sz val="12.0"/>
      <color theme="1"/>
      <name val="Arial"/>
      <scheme val="minor"/>
    </font>
    <font>
      <sz val="12.0"/>
      <color rgb="FF00FFFF"/>
      <name val="Courier New"/>
    </font>
    <font>
      <sz val="13.0"/>
      <color rgb="FF00FFFF"/>
      <name val="Courier New"/>
    </font>
    <font>
      <sz val="13.0"/>
      <color theme="1"/>
      <name val="Courier New"/>
    </font>
    <font>
      <color rgb="FF00FFFF"/>
      <name val="Courier New"/>
    </font>
    <font>
      <color theme="1"/>
      <name val="Courier New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</fills>
  <borders count="16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1" fillId="2" fontId="3" numFmtId="0" xfId="0" applyAlignment="1" applyBorder="1" applyFont="1">
      <alignment horizontal="center" vertical="center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center" vertical="bottom"/>
    </xf>
    <xf borderId="0" fillId="2" fontId="3" numFmtId="164" xfId="0" applyAlignment="1" applyFont="1" applyNumberFormat="1">
      <alignment horizontal="center" vertical="bottom"/>
    </xf>
    <xf borderId="0" fillId="2" fontId="3" numFmtId="49" xfId="0" applyAlignment="1" applyFont="1" applyNumberForma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0" fillId="2" fontId="3" numFmtId="2" xfId="0" applyAlignment="1" applyFont="1" applyNumberFormat="1">
      <alignment horizontal="center" vertical="bottom"/>
    </xf>
    <xf borderId="0" fillId="2" fontId="3" numFmtId="10" xfId="0" applyAlignment="1" applyFont="1" applyNumberFormat="1">
      <alignment horizontal="center" vertical="center"/>
    </xf>
    <xf borderId="2" fillId="2" fontId="3" numFmtId="0" xfId="0" applyAlignment="1" applyBorder="1" applyFont="1">
      <alignment horizontal="center" readingOrder="0" vertical="bottom"/>
    </xf>
    <xf borderId="0" fillId="2" fontId="3" numFmtId="0" xfId="0" applyAlignment="1" applyFont="1">
      <alignment vertical="bottom"/>
    </xf>
    <xf borderId="0" fillId="2" fontId="3" numFmtId="166" xfId="0" applyAlignment="1" applyFont="1" applyNumberFormat="1">
      <alignment horizontal="center" readingOrder="0" vertical="bottom"/>
    </xf>
    <xf borderId="1" fillId="2" fontId="3" numFmtId="0" xfId="0" applyAlignment="1" applyBorder="1" applyFont="1">
      <alignment horizontal="center" readingOrder="0" vertical="center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0" fillId="2" fontId="3" numFmtId="164" xfId="0" applyAlignment="1" applyFont="1" applyNumberFormat="1">
      <alignment horizontal="center" readingOrder="0"/>
    </xf>
    <xf borderId="0" fillId="2" fontId="3" numFmtId="49" xfId="0" applyAlignment="1" applyFont="1" applyNumberFormat="1">
      <alignment horizontal="center" readingOrder="0"/>
    </xf>
    <xf borderId="0" fillId="2" fontId="3" numFmtId="165" xfId="0" applyAlignment="1" applyFont="1" applyNumberFormat="1">
      <alignment horizontal="center" readingOrder="0"/>
    </xf>
    <xf borderId="0" fillId="2" fontId="3" numFmtId="4" xfId="0" applyAlignment="1" applyFont="1" applyNumberFormat="1">
      <alignment horizontal="center" readingOrder="0"/>
    </xf>
    <xf borderId="0" fillId="2" fontId="3" numFmtId="165" xfId="0" applyAlignment="1" applyFont="1" applyNumberFormat="1">
      <alignment horizontal="center"/>
    </xf>
    <xf borderId="0" fillId="2" fontId="3" numFmtId="10" xfId="0" applyAlignment="1" applyFont="1" applyNumberFormat="1">
      <alignment horizontal="center" readingOrder="0" vertical="center"/>
    </xf>
    <xf borderId="2" fillId="2" fontId="3" numFmtId="0" xfId="0" applyAlignment="1" applyBorder="1" applyFont="1">
      <alignment horizontal="center" readingOrder="0"/>
    </xf>
    <xf borderId="0" fillId="2" fontId="3" numFmtId="0" xfId="0" applyAlignment="1" applyFont="1">
      <alignment readingOrder="0" vertical="center"/>
    </xf>
    <xf borderId="0" fillId="2" fontId="3" numFmtId="0" xfId="0" applyAlignment="1" applyFont="1">
      <alignment horizontal="center" readingOrder="0" vertical="center"/>
    </xf>
    <xf borderId="0" fillId="2" fontId="3" numFmtId="164" xfId="0" applyAlignment="1" applyFont="1" applyNumberFormat="1">
      <alignment horizontal="center" readingOrder="0" vertical="center"/>
    </xf>
    <xf borderId="0" fillId="2" fontId="3" numFmtId="49" xfId="0" applyAlignment="1" applyFont="1" applyNumberFormat="1">
      <alignment horizontal="center" readingOrder="0" vertical="center"/>
    </xf>
    <xf borderId="0" fillId="2" fontId="3" numFmtId="165" xfId="0" applyAlignment="1" applyFont="1" applyNumberFormat="1">
      <alignment horizontal="center" readingOrder="0" vertical="center"/>
    </xf>
    <xf borderId="0" fillId="2" fontId="3" numFmtId="4" xfId="0" applyAlignment="1" applyFont="1" applyNumberFormat="1">
      <alignment horizontal="center" readingOrder="0" vertical="center"/>
    </xf>
    <xf borderId="0" fillId="2" fontId="3" numFmtId="165" xfId="0" applyAlignment="1" applyFont="1" applyNumberFormat="1">
      <alignment horizontal="center" vertical="center"/>
    </xf>
    <xf borderId="2" fillId="2" fontId="3" numFmtId="0" xfId="0" applyAlignment="1" applyBorder="1" applyFont="1">
      <alignment horizontal="center" readingOrder="0" vertical="center"/>
    </xf>
    <xf borderId="0" fillId="2" fontId="3" numFmtId="0" xfId="0" applyFont="1"/>
    <xf borderId="0" fillId="2" fontId="3" numFmtId="2" xfId="0" applyAlignment="1" applyFont="1" applyNumberFormat="1">
      <alignment horizontal="center" readingOrder="0"/>
    </xf>
    <xf borderId="0" fillId="2" fontId="4" numFmtId="0" xfId="0" applyFont="1"/>
    <xf borderId="0" fillId="2" fontId="3" numFmtId="167" xfId="0" applyAlignment="1" applyFont="1" applyNumberForma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0" fillId="4" fontId="3" numFmtId="0" xfId="0" applyAlignment="1" applyFont="1">
      <alignment readingOrder="0"/>
    </xf>
    <xf borderId="0" fillId="4" fontId="3" numFmtId="0" xfId="0" applyAlignment="1" applyFont="1">
      <alignment horizontal="center" readingOrder="0"/>
    </xf>
    <xf borderId="0" fillId="4" fontId="3" numFmtId="164" xfId="0" applyAlignment="1" applyFont="1" applyNumberFormat="1">
      <alignment horizontal="center" readingOrder="0"/>
    </xf>
    <xf borderId="0" fillId="4" fontId="3" numFmtId="49" xfId="0" applyAlignment="1" applyFont="1" applyNumberFormat="1">
      <alignment horizontal="center" readingOrder="0"/>
    </xf>
    <xf borderId="0" fillId="4" fontId="3" numFmtId="165" xfId="0" applyAlignment="1" applyFont="1" applyNumberFormat="1">
      <alignment horizontal="center" readingOrder="0"/>
    </xf>
    <xf borderId="0" fillId="4" fontId="3" numFmtId="2" xfId="0" applyAlignment="1" applyFont="1" applyNumberFormat="1">
      <alignment horizontal="center" readingOrder="0"/>
    </xf>
    <xf borderId="0" fillId="4" fontId="3" numFmtId="165" xfId="0" applyAlignment="1" applyFont="1" applyNumberFormat="1">
      <alignment horizontal="center"/>
    </xf>
    <xf borderId="0" fillId="4" fontId="3" numFmtId="10" xfId="0" applyAlignment="1" applyFont="1" applyNumberFormat="1">
      <alignment horizontal="center" readingOrder="0" vertical="center"/>
    </xf>
    <xf borderId="0" fillId="4" fontId="3" numFmtId="165" xfId="0" applyAlignment="1" applyFont="1" applyNumberFormat="1">
      <alignment horizontal="center" vertical="bottom"/>
    </xf>
    <xf borderId="2" fillId="4" fontId="3" numFmtId="0" xfId="0" applyAlignment="1" applyBorder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2" fontId="3" numFmtId="166" xfId="0" applyAlignment="1" applyFont="1" applyNumberFormat="1">
      <alignment horizontal="center" readingOrder="0"/>
    </xf>
    <xf borderId="0" fillId="4" fontId="4" numFmtId="0" xfId="0" applyAlignment="1" applyFont="1">
      <alignment horizontal="center" readingOrder="0"/>
    </xf>
    <xf borderId="0" fillId="5" fontId="3" numFmtId="165" xfId="0" applyAlignment="1" applyFill="1" applyFont="1" applyNumberFormat="1">
      <alignment horizontal="center"/>
    </xf>
    <xf borderId="0" fillId="4" fontId="4" numFmtId="166" xfId="0" applyAlignment="1" applyFont="1" applyNumberFormat="1">
      <alignment horizontal="center" readingOrder="0" vertical="center"/>
    </xf>
    <xf borderId="0" fillId="2" fontId="3" numFmtId="0" xfId="0" applyAlignment="1" applyFont="1">
      <alignment horizontal="center"/>
    </xf>
    <xf borderId="0" fillId="2" fontId="3" numFmtId="164" xfId="0" applyAlignment="1" applyFont="1" applyNumberFormat="1">
      <alignment horizontal="center" vertical="center"/>
    </xf>
    <xf borderId="0" fillId="2" fontId="3" numFmtId="2" xfId="0" applyAlignment="1" applyFont="1" applyNumberFormat="1">
      <alignment horizontal="center"/>
    </xf>
    <xf borderId="2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center"/>
    </xf>
    <xf borderId="0" fillId="2" fontId="3" numFmtId="49" xfId="0" applyAlignment="1" applyFont="1" applyNumberFormat="1">
      <alignment horizontal="center"/>
    </xf>
    <xf borderId="0" fillId="2" fontId="3" numFmtId="166" xfId="0" applyAlignment="1" applyFont="1" applyNumberFormat="1">
      <alignment horizontal="center" vertical="center"/>
    </xf>
    <xf borderId="1" fillId="5" fontId="3" numFmtId="0" xfId="0" applyAlignment="1" applyBorder="1" applyFont="1">
      <alignment horizontal="center"/>
    </xf>
    <xf borderId="0" fillId="5" fontId="3" numFmtId="0" xfId="0" applyFont="1"/>
    <xf borderId="0" fillId="5" fontId="3" numFmtId="0" xfId="0" applyAlignment="1" applyFont="1">
      <alignment horizontal="center"/>
    </xf>
    <xf borderId="0" fillId="5" fontId="3" numFmtId="166" xfId="0" applyAlignment="1" applyFont="1" applyNumberFormat="1">
      <alignment horizontal="center" vertical="center"/>
    </xf>
    <xf borderId="0" fillId="5" fontId="3" numFmtId="49" xfId="0" applyAlignment="1" applyFont="1" applyNumberFormat="1">
      <alignment horizontal="center"/>
    </xf>
    <xf borderId="0" fillId="5" fontId="3" numFmtId="2" xfId="0" applyAlignment="1" applyFont="1" applyNumberFormat="1">
      <alignment horizontal="center"/>
    </xf>
    <xf borderId="2" fillId="5" fontId="3" numFmtId="0" xfId="0" applyAlignment="1" applyBorder="1" applyFont="1">
      <alignment horizontal="center"/>
    </xf>
    <xf borderId="0" fillId="5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49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2" fontId="3" numFmtId="10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/>
    </xf>
    <xf borderId="0" fillId="5" fontId="3" numFmtId="10" xfId="0" applyAlignment="1" applyFont="1" applyNumberFormat="1">
      <alignment horizontal="center"/>
    </xf>
    <xf borderId="0" fillId="2" fontId="1" numFmtId="0" xfId="0" applyFont="1"/>
    <xf borderId="1" fillId="0" fontId="3" numFmtId="0" xfId="0" applyBorder="1" applyFont="1"/>
    <xf borderId="0" fillId="0" fontId="4" numFmtId="0" xfId="0" applyAlignment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/>
    </xf>
    <xf borderId="4" fillId="5" fontId="3" numFmtId="165" xfId="0" applyAlignment="1" applyBorder="1" applyFont="1" applyNumberFormat="1">
      <alignment horizontal="center"/>
    </xf>
    <xf borderId="5" fillId="5" fontId="3" numFmtId="0" xfId="0" applyAlignment="1" applyBorder="1" applyFont="1">
      <alignment horizontal="center"/>
    </xf>
    <xf borderId="0" fillId="2" fontId="2" numFmtId="0" xfId="0" applyAlignment="1" applyFont="1">
      <alignment horizontal="center"/>
    </xf>
    <xf borderId="0" fillId="3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3" numFmtId="165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165" xfId="0" applyAlignment="1" applyFont="1" applyNumberFormat="1">
      <alignment horizontal="right" vertical="center"/>
    </xf>
    <xf borderId="0" fillId="2" fontId="3" numFmtId="9" xfId="0" applyAlignment="1" applyFont="1" applyNumberFormat="1">
      <alignment horizontal="right" vertical="center"/>
    </xf>
    <xf borderId="0" fillId="0" fontId="3" numFmtId="165" xfId="0" applyAlignment="1" applyFont="1" applyNumberFormat="1">
      <alignment vertical="center"/>
    </xf>
    <xf borderId="2" fillId="0" fontId="3" numFmtId="0" xfId="0" applyAlignment="1" applyBorder="1" applyFont="1">
      <alignment horizontal="center" readingOrder="0" vertical="center"/>
    </xf>
    <xf borderId="0" fillId="2" fontId="3" numFmtId="165" xfId="0" applyAlignment="1" applyFont="1" applyNumberFormat="1">
      <alignment vertical="center"/>
    </xf>
    <xf borderId="0" fillId="2" fontId="4" numFmtId="0" xfId="0" applyAlignment="1" applyFont="1">
      <alignment readingOrder="0" vertical="center"/>
    </xf>
    <xf borderId="0" fillId="2" fontId="3" numFmtId="165" xfId="0" applyAlignment="1" applyFont="1" applyNumberFormat="1">
      <alignment horizontal="right" vertical="center"/>
    </xf>
    <xf borderId="0" fillId="2" fontId="3" numFmtId="0" xfId="0" applyAlignment="1" applyFont="1">
      <alignment vertical="center"/>
    </xf>
    <xf borderId="0" fillId="2" fontId="3" numFmtId="165" xfId="0" applyAlignment="1" applyFont="1" applyNumberFormat="1">
      <alignment horizontal="center" readingOrder="0" vertical="center"/>
    </xf>
    <xf borderId="0" fillId="2" fontId="3" numFmtId="165" xfId="0" applyAlignment="1" applyFont="1" applyNumberFormat="1">
      <alignment horizontal="center" vertical="center"/>
    </xf>
    <xf borderId="0" fillId="2" fontId="3" numFmtId="9" xfId="0" applyAlignment="1" applyFont="1" applyNumberFormat="1">
      <alignment horizontal="right" readingOrder="0" vertical="center"/>
    </xf>
    <xf borderId="2" fillId="2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3" numFmtId="165" xfId="0" applyAlignment="1" applyFont="1" applyNumberFormat="1">
      <alignment horizontal="center" readingOrder="0" vertical="center"/>
    </xf>
    <xf borderId="0" fillId="4" fontId="3" numFmtId="4" xfId="0" applyAlignment="1" applyFont="1" applyNumberFormat="1">
      <alignment horizontal="center" readingOrder="0" vertical="center"/>
    </xf>
    <xf borderId="0" fillId="4" fontId="3" numFmtId="165" xfId="0" applyAlignment="1" applyFont="1" applyNumberFormat="1">
      <alignment horizontal="right" vertical="center"/>
    </xf>
    <xf borderId="0" fillId="4" fontId="3" numFmtId="9" xfId="0" applyAlignment="1" applyFont="1" applyNumberFormat="1">
      <alignment horizontal="right" vertical="center"/>
    </xf>
    <xf borderId="0" fillId="4" fontId="3" numFmtId="165" xfId="0" applyAlignment="1" applyFont="1" applyNumberFormat="1">
      <alignment vertical="center"/>
    </xf>
    <xf borderId="2" fillId="4" fontId="3" numFmtId="0" xfId="0" applyAlignment="1" applyBorder="1" applyFont="1">
      <alignment horizontal="center" readingOrder="0" vertical="center"/>
    </xf>
    <xf borderId="0" fillId="4" fontId="3" numFmtId="165" xfId="0" applyAlignment="1" applyFont="1" applyNumberForma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4" fontId="3" numFmtId="9" xfId="0" applyAlignment="1" applyFont="1" applyNumberFormat="1">
      <alignment horizontal="right" readingOrder="0" vertical="center"/>
    </xf>
    <xf borderId="0" fillId="0" fontId="4" numFmtId="0" xfId="0" applyAlignment="1" applyFont="1">
      <alignment vertical="center"/>
    </xf>
    <xf borderId="0" fillId="0" fontId="3" numFmtId="165" xfId="0" applyAlignment="1" applyFont="1" applyNumberFormat="1">
      <alignment horizontal="center" vertical="center"/>
    </xf>
    <xf borderId="0" fillId="0" fontId="3" numFmtId="4" xfId="0" applyAlignment="1" applyFont="1" applyNumberFormat="1">
      <alignment horizontal="center" vertical="center"/>
    </xf>
    <xf borderId="0" fillId="0" fontId="3" numFmtId="4" xfId="0" applyAlignment="1" applyFont="1" applyNumberFormat="1">
      <alignment horizontal="center"/>
    </xf>
    <xf borderId="0" fillId="0" fontId="3" numFmtId="165" xfId="0" applyAlignment="1" applyFont="1" applyNumberFormat="1">
      <alignment horizontal="right"/>
    </xf>
    <xf borderId="0" fillId="2" fontId="3" numFmtId="9" xfId="0" applyAlignment="1" applyFont="1" applyNumberFormat="1">
      <alignment horizontal="right" vertical="bottom"/>
    </xf>
    <xf borderId="0" fillId="0" fontId="3" numFmtId="165" xfId="0" applyFont="1" applyNumberFormat="1"/>
    <xf borderId="2" fillId="0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3" numFmtId="0" xfId="0" applyFont="1"/>
    <xf borderId="0" fillId="3" fontId="2" numFmtId="165" xfId="0" applyAlignment="1" applyFont="1" applyNumberFormat="1">
      <alignment horizontal="center" vertical="center"/>
    </xf>
    <xf borderId="0" fillId="2" fontId="3" numFmtId="166" xfId="0" applyAlignment="1" applyFont="1" applyNumberFormat="1">
      <alignment vertical="bottom"/>
    </xf>
    <xf borderId="0" fillId="2" fontId="3" numFmtId="165" xfId="0" applyAlignment="1" applyFont="1" applyNumberFormat="1">
      <alignment readingOrder="0" vertical="bottom"/>
    </xf>
    <xf borderId="0" fillId="2" fontId="3" numFmtId="2" xfId="0" applyAlignment="1" applyFont="1" applyNumberFormat="1">
      <alignment horizontal="right" readingOrder="0" vertical="bottom"/>
    </xf>
    <xf borderId="0" fillId="2" fontId="3" numFmtId="165" xfId="0" applyAlignment="1" applyFont="1" applyNumberFormat="1">
      <alignment horizontal="right" vertical="bottom"/>
    </xf>
    <xf borderId="0" fillId="2" fontId="3" numFmtId="10" xfId="0" applyAlignment="1" applyFont="1" applyNumberFormat="1">
      <alignment horizontal="right" vertical="bottom"/>
    </xf>
    <xf borderId="0" fillId="2" fontId="3" numFmtId="0" xfId="0" applyAlignment="1" applyFont="1">
      <alignment horizontal="center" readingOrder="0" vertical="bottom"/>
    </xf>
    <xf borderId="0" fillId="2" fontId="3" numFmtId="165" xfId="0" applyAlignment="1" applyFont="1" applyNumberFormat="1">
      <alignment readingOrder="0"/>
    </xf>
    <xf borderId="0" fillId="2" fontId="3" numFmtId="2" xfId="0" applyAlignment="1" applyFont="1" applyNumberFormat="1">
      <alignment readingOrder="0"/>
    </xf>
    <xf borderId="0" fillId="2" fontId="3" numFmtId="165" xfId="0" applyFont="1" applyNumberFormat="1"/>
    <xf borderId="0" fillId="2" fontId="3" numFmtId="10" xfId="0" applyFont="1" applyNumberFormat="1"/>
    <xf borderId="0" fillId="6" fontId="3" numFmtId="0" xfId="0" applyAlignment="1" applyFill="1" applyFont="1">
      <alignment horizontal="center" readingOrder="0" vertical="center"/>
    </xf>
    <xf borderId="0" fillId="6" fontId="3" numFmtId="0" xfId="0" applyAlignment="1" applyFont="1">
      <alignment readingOrder="0" vertical="center"/>
    </xf>
    <xf borderId="0" fillId="6" fontId="3" numFmtId="164" xfId="0" applyAlignment="1" applyFont="1" applyNumberFormat="1">
      <alignment horizontal="center" readingOrder="0" vertical="center"/>
    </xf>
    <xf borderId="0" fillId="6" fontId="3" numFmtId="165" xfId="0" applyAlignment="1" applyFont="1" applyNumberFormat="1">
      <alignment readingOrder="0" vertical="center"/>
    </xf>
    <xf borderId="0" fillId="6" fontId="3" numFmtId="2" xfId="0" applyAlignment="1" applyFont="1" applyNumberFormat="1">
      <alignment readingOrder="0" vertical="center"/>
    </xf>
    <xf borderId="0" fillId="6" fontId="3" numFmtId="165" xfId="0" applyAlignment="1" applyFont="1" applyNumberFormat="1">
      <alignment vertical="center"/>
    </xf>
    <xf borderId="0" fillId="6" fontId="3" numFmtId="10" xfId="0" applyAlignment="1" applyFont="1" applyNumberFormat="1">
      <alignment vertical="center"/>
    </xf>
    <xf borderId="0" fillId="2" fontId="3" numFmtId="165" xfId="0" applyAlignment="1" applyFont="1" applyNumberFormat="1">
      <alignment readingOrder="0" vertical="center"/>
    </xf>
    <xf borderId="0" fillId="2" fontId="3" numFmtId="2" xfId="0" applyAlignment="1" applyFont="1" applyNumberFormat="1">
      <alignment readingOrder="0" vertical="center"/>
    </xf>
    <xf borderId="0" fillId="2" fontId="3" numFmtId="10" xfId="0" applyAlignment="1" applyFont="1" applyNumberFormat="1">
      <alignment vertical="center"/>
    </xf>
    <xf borderId="0" fillId="0" fontId="4" numFmtId="164" xfId="0" applyAlignment="1" applyFont="1" applyNumberFormat="1">
      <alignment horizontal="center" readingOrder="0" vertical="center"/>
    </xf>
    <xf borderId="0" fillId="2" fontId="3" numFmtId="2" xfId="0" applyAlignment="1" applyFont="1" applyNumberFormat="1">
      <alignment vertical="center"/>
    </xf>
    <xf borderId="0" fillId="2" fontId="3" numFmtId="166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166" xfId="0" applyAlignment="1" applyFont="1" applyNumberFormat="1">
      <alignment horizontal="center" readingOrder="0" vertical="center"/>
    </xf>
    <xf borderId="0" fillId="4" fontId="4" numFmtId="0" xfId="0" applyAlignment="1" applyFont="1">
      <alignment readingOrder="0"/>
    </xf>
    <xf borderId="0" fillId="4" fontId="4" numFmtId="0" xfId="0" applyAlignment="1" applyFont="1">
      <alignment horizontal="center"/>
    </xf>
    <xf borderId="0" fillId="4" fontId="3" numFmtId="165" xfId="0" applyAlignment="1" applyFont="1" applyNumberFormat="1">
      <alignment readingOrder="0"/>
    </xf>
    <xf borderId="0" fillId="4" fontId="3" numFmtId="2" xfId="0" applyAlignment="1" applyFont="1" applyNumberFormat="1">
      <alignment readingOrder="0"/>
    </xf>
    <xf borderId="0" fillId="4" fontId="3" numFmtId="165" xfId="0" applyFont="1" applyNumberFormat="1"/>
    <xf borderId="0" fillId="4" fontId="3" numFmtId="10" xfId="0" applyFont="1" applyNumberFormat="1"/>
    <xf borderId="0" fillId="4" fontId="4" numFmtId="166" xfId="0" applyAlignment="1" applyFont="1" applyNumberFormat="1">
      <alignment horizontal="center" readingOrder="0"/>
    </xf>
    <xf borderId="0" fillId="4" fontId="4" numFmtId="0" xfId="0" applyAlignment="1" applyFont="1">
      <alignment horizontal="center" vertic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2" fontId="3" numFmtId="2" xfId="0" applyFont="1" applyNumberFormat="1"/>
    <xf borderId="6" fillId="3" fontId="5" numFmtId="0" xfId="0" applyAlignment="1" applyBorder="1" applyFont="1">
      <alignment horizontal="center" vertical="center"/>
    </xf>
    <xf borderId="7" fillId="3" fontId="5" numFmtId="0" xfId="0" applyAlignment="1" applyBorder="1" applyFont="1">
      <alignment horizontal="center" vertical="center"/>
    </xf>
    <xf borderId="7" fillId="3" fontId="6" numFmtId="0" xfId="0" applyAlignment="1" applyBorder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1" fillId="2" fontId="7" numFmtId="164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0" fillId="5" fontId="7" numFmtId="0" xfId="0" applyAlignment="1" applyFont="1">
      <alignment horizontal="left" readingOrder="0" vertical="center"/>
    </xf>
    <xf borderId="0" fillId="2" fontId="7" numFmtId="0" xfId="0" applyAlignment="1" applyFont="1">
      <alignment horizontal="center" readingOrder="0" vertical="center"/>
    </xf>
    <xf borderId="0" fillId="5" fontId="7" numFmtId="165" xfId="0" applyAlignment="1" applyFont="1" applyNumberFormat="1">
      <alignment horizontal="center" readingOrder="0" vertical="center"/>
    </xf>
    <xf borderId="0" fillId="5" fontId="7" numFmtId="2" xfId="0" applyAlignment="1" applyFont="1" applyNumberFormat="1">
      <alignment horizontal="center" readingOrder="0" vertical="center"/>
    </xf>
    <xf borderId="0" fillId="2" fontId="7" numFmtId="165" xfId="0" applyAlignment="1" applyFont="1" applyNumberForma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7" numFmtId="10" xfId="0" applyAlignment="1" applyFont="1" applyNumberFormat="1">
      <alignment horizontal="center" readingOrder="0" vertical="center"/>
    </xf>
    <xf borderId="0" fillId="2" fontId="8" numFmtId="165" xfId="0" applyAlignment="1" applyFont="1" applyNumberFormat="1">
      <alignment horizontal="center" vertical="center"/>
    </xf>
    <xf borderId="2" fillId="5" fontId="7" numFmtId="0" xfId="0" applyAlignment="1" applyBorder="1" applyFon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left" readingOrder="0" vertical="center"/>
    </xf>
    <xf borderId="0" fillId="0" fontId="7" numFmtId="165" xfId="0" applyAlignment="1" applyFont="1" applyNumberFormat="1">
      <alignment horizontal="center" readingOrder="0" vertical="center"/>
    </xf>
    <xf borderId="0" fillId="0" fontId="7" numFmtId="2" xfId="0" applyAlignment="1" applyFont="1" applyNumberFormat="1">
      <alignment horizontal="center" readingOrder="0" vertical="center"/>
    </xf>
    <xf borderId="1" fillId="7" fontId="7" numFmtId="164" xfId="0" applyAlignment="1" applyBorder="1" applyFill="1" applyFont="1" applyNumberFormat="1">
      <alignment horizontal="center" readingOrder="0" vertical="center"/>
    </xf>
    <xf borderId="0" fillId="7" fontId="7" numFmtId="0" xfId="0" applyAlignment="1" applyFont="1">
      <alignment horizontal="center" readingOrder="0" vertical="center"/>
    </xf>
    <xf borderId="0" fillId="7" fontId="7" numFmtId="0" xfId="0" applyAlignment="1" applyFont="1">
      <alignment horizontal="left" readingOrder="0" vertical="center"/>
    </xf>
    <xf borderId="0" fillId="7" fontId="7" numFmtId="165" xfId="0" applyAlignment="1" applyFont="1" applyNumberFormat="1">
      <alignment horizontal="center" readingOrder="0" vertical="center"/>
    </xf>
    <xf borderId="0" fillId="7" fontId="7" numFmtId="2" xfId="0" applyAlignment="1" applyFont="1" applyNumberFormat="1">
      <alignment horizontal="center" readingOrder="0" vertical="center"/>
    </xf>
    <xf borderId="0" fillId="7" fontId="7" numFmtId="165" xfId="0" applyAlignment="1" applyFont="1" applyNumberFormat="1">
      <alignment horizontal="center" vertical="center"/>
    </xf>
    <xf borderId="0" fillId="7" fontId="7" numFmtId="10" xfId="0" applyAlignment="1" applyFont="1" applyNumberFormat="1">
      <alignment horizontal="center" readingOrder="0" vertical="center"/>
    </xf>
    <xf borderId="0" fillId="7" fontId="8" numFmtId="165" xfId="0" applyAlignment="1" applyFont="1" applyNumberFormat="1">
      <alignment horizontal="center" vertical="center"/>
    </xf>
    <xf borderId="2" fillId="7" fontId="7" numFmtId="0" xfId="0" applyAlignment="1" applyBorder="1" applyFont="1">
      <alignment horizontal="center" readingOrder="0" vertical="center"/>
    </xf>
    <xf borderId="0" fillId="7" fontId="7" numFmtId="164" xfId="0" applyAlignment="1" applyFont="1" applyNumberFormat="1">
      <alignment horizontal="center" readingOrder="0" vertical="center"/>
    </xf>
    <xf borderId="1" fillId="8" fontId="7" numFmtId="0" xfId="0" applyAlignment="1" applyBorder="1" applyFill="1" applyFont="1">
      <alignment horizontal="center" vertical="center"/>
    </xf>
    <xf borderId="0" fillId="8" fontId="7" numFmtId="0" xfId="0" applyAlignment="1" applyFont="1">
      <alignment horizontal="center" vertical="center"/>
    </xf>
    <xf borderId="0" fillId="8" fontId="7" numFmtId="0" xfId="0" applyAlignment="1" applyFont="1">
      <alignment horizontal="left" vertical="center"/>
    </xf>
    <xf borderId="0" fillId="8" fontId="7" numFmtId="165" xfId="0" applyAlignment="1" applyFont="1" applyNumberFormat="1">
      <alignment horizontal="center" vertical="center"/>
    </xf>
    <xf borderId="0" fillId="8" fontId="7" numFmtId="2" xfId="0" applyAlignment="1" applyFont="1" applyNumberFormat="1">
      <alignment horizontal="center" vertical="center"/>
    </xf>
    <xf borderId="0" fillId="8" fontId="7" numFmtId="10" xfId="0" applyAlignment="1" applyFont="1" applyNumberFormat="1">
      <alignment horizontal="center" vertical="center"/>
    </xf>
    <xf borderId="0" fillId="8" fontId="8" numFmtId="165" xfId="0" applyAlignment="1" applyFont="1" applyNumberFormat="1">
      <alignment horizontal="center" vertical="center"/>
    </xf>
    <xf borderId="2" fillId="8" fontId="7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/>
    </xf>
    <xf borderId="1" fillId="0" fontId="7" numFmtId="166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2" fontId="7" numFmtId="0" xfId="0" applyAlignment="1" applyFon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7" numFmtId="2" xfId="0" applyAlignment="1" applyFont="1" applyNumberFormat="1">
      <alignment horizontal="center" vertical="center"/>
    </xf>
    <xf borderId="0" fillId="0" fontId="7" numFmtId="10" xfId="0" applyAlignment="1" applyFont="1" applyNumberFormat="1">
      <alignment horizontal="center" vertical="center"/>
    </xf>
    <xf borderId="2" fillId="5" fontId="7" numFmtId="0" xfId="0" applyAlignment="1" applyBorder="1" applyFont="1">
      <alignment horizontal="center" vertical="center"/>
    </xf>
    <xf borderId="9" fillId="3" fontId="9" numFmtId="0" xfId="0" applyAlignment="1" applyBorder="1" applyFont="1">
      <alignment horizontal="center" vertical="bottom"/>
    </xf>
    <xf borderId="10" fillId="3" fontId="9" numFmtId="0" xfId="0" applyAlignment="1" applyBorder="1" applyFont="1">
      <alignment horizontal="center" vertical="bottom"/>
    </xf>
    <xf borderId="11" fillId="3" fontId="9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0" fillId="2" fontId="3" numFmtId="9" xfId="0" applyAlignment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center"/>
    </xf>
    <xf borderId="1" fillId="0" fontId="3" numFmtId="168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2" fontId="3" numFmtId="9" xfId="0" applyAlignment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0" fillId="2" fontId="3" numFmtId="9" xfId="0" applyAlignment="1" applyFont="1" applyNumberForma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0" fontId="3" numFmtId="2" xfId="0" applyAlignment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2" fontId="3" numFmtId="164" xfId="0" applyAlignment="1" applyBorder="1" applyFont="1" applyNumberFormat="1">
      <alignment horizontal="center" readingOrder="0" vertical="center"/>
    </xf>
    <xf borderId="0" fillId="2" fontId="3" numFmtId="2" xfId="0" applyAlignment="1" applyFont="1" applyNumberFormat="1">
      <alignment horizontal="center" readingOrder="0" vertical="center"/>
    </xf>
    <xf borderId="1" fillId="7" fontId="3" numFmtId="164" xfId="0" applyAlignment="1" applyBorder="1" applyFont="1" applyNumberFormat="1">
      <alignment horizontal="center" readingOrder="0" vertical="center"/>
    </xf>
    <xf borderId="0" fillId="7" fontId="3" numFmtId="0" xfId="0" applyAlignment="1" applyFont="1">
      <alignment horizontal="center" readingOrder="0" vertical="center"/>
    </xf>
    <xf borderId="0" fillId="7" fontId="3" numFmtId="2" xfId="0" applyAlignment="1" applyFont="1" applyNumberFormat="1">
      <alignment horizontal="center" readingOrder="0" vertical="center"/>
    </xf>
    <xf borderId="0" fillId="7" fontId="3" numFmtId="165" xfId="0" applyAlignment="1" applyFont="1" applyNumberFormat="1">
      <alignment horizontal="center" readingOrder="0" vertical="center"/>
    </xf>
    <xf borderId="0" fillId="7" fontId="3" numFmtId="165" xfId="0" applyAlignment="1" applyFont="1" applyNumberFormat="1">
      <alignment horizontal="center" vertical="center"/>
    </xf>
    <xf borderId="0" fillId="7" fontId="3" numFmtId="9" xfId="0" applyAlignment="1" applyFont="1" applyNumberFormat="1">
      <alignment horizontal="center" readingOrder="0" vertical="center"/>
    </xf>
    <xf borderId="0" fillId="7" fontId="3" numFmtId="0" xfId="0" applyAlignment="1" applyFont="1">
      <alignment horizontal="center" vertical="center"/>
    </xf>
    <xf borderId="1" fillId="0" fontId="3" numFmtId="166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2" fillId="3" fontId="10" numFmtId="0" xfId="0" applyAlignment="1" applyBorder="1" applyFont="1">
      <alignment horizontal="left" vertical="center"/>
    </xf>
    <xf borderId="12" fillId="0" fontId="11" numFmtId="165" xfId="0" applyAlignment="1" applyBorder="1" applyFont="1" applyNumberFormat="1">
      <alignment vertical="center"/>
    </xf>
    <xf borderId="0" fillId="3" fontId="12" numFmtId="0" xfId="0" applyAlignment="1" applyFont="1">
      <alignment horizontal="center" vertical="center"/>
    </xf>
    <xf borderId="6" fillId="8" fontId="13" numFmtId="0" xfId="0" applyAlignment="1" applyBorder="1" applyFont="1">
      <alignment horizontal="center" vertical="center"/>
    </xf>
    <xf borderId="8" fillId="0" fontId="14" numFmtId="0" xfId="0" applyBorder="1" applyFont="1"/>
    <xf borderId="0" fillId="8" fontId="15" numFmtId="0" xfId="0" applyAlignment="1" applyFont="1">
      <alignment horizontal="center" vertical="center"/>
    </xf>
    <xf borderId="12" fillId="0" fontId="16" numFmtId="0" xfId="0" applyAlignment="1" applyBorder="1" applyFont="1">
      <alignment horizontal="center" readingOrder="0"/>
    </xf>
    <xf borderId="9" fillId="0" fontId="11" numFmtId="0" xfId="0" applyAlignment="1" applyBorder="1" applyFont="1">
      <alignment horizontal="left" vertical="center"/>
    </xf>
    <xf borderId="11" fillId="0" fontId="11" numFmtId="165" xfId="0" applyAlignment="1" applyBorder="1" applyFont="1" applyNumberFormat="1">
      <alignment horizontal="right" readingOrder="0" vertical="center"/>
    </xf>
    <xf borderId="9" fillId="0" fontId="11" numFmtId="0" xfId="0" applyBorder="1" applyFont="1"/>
    <xf borderId="11" fillId="0" fontId="11" numFmtId="165" xfId="0" applyAlignment="1" applyBorder="1" applyFont="1" applyNumberFormat="1">
      <alignment readingOrder="0"/>
    </xf>
    <xf borderId="3" fillId="0" fontId="11" numFmtId="0" xfId="0" applyAlignment="1" applyBorder="1" applyFont="1">
      <alignment horizontal="left" vertical="center"/>
    </xf>
    <xf borderId="5" fillId="2" fontId="17" numFmtId="165" xfId="0" applyAlignment="1" applyBorder="1" applyFont="1" applyNumberFormat="1">
      <alignment horizontal="right"/>
    </xf>
    <xf borderId="1" fillId="0" fontId="11" numFmtId="0" xfId="0" applyBorder="1" applyFont="1"/>
    <xf borderId="2" fillId="0" fontId="11" numFmtId="165" xfId="0" applyBorder="1" applyFont="1" applyNumberFormat="1"/>
    <xf borderId="12" fillId="0" fontId="3" numFmtId="0" xfId="0" applyAlignment="1" applyBorder="1" applyFont="1">
      <alignment vertical="center"/>
    </xf>
    <xf borderId="12" fillId="2" fontId="17" numFmtId="165" xfId="0" applyAlignment="1" applyBorder="1" applyFont="1" applyNumberFormat="1">
      <alignment vertical="center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center" vertical="center"/>
    </xf>
    <xf borderId="5" fillId="0" fontId="3" numFmtId="165" xfId="0" applyBorder="1" applyFont="1" applyNumberFormat="1"/>
    <xf borderId="12" fillId="0" fontId="3" numFmtId="165" xfId="0" applyAlignment="1" applyBorder="1" applyFont="1" applyNumberFormat="1">
      <alignment horizontal="center" vertical="center"/>
    </xf>
    <xf borderId="12" fillId="3" fontId="10" numFmtId="0" xfId="0" applyAlignment="1" applyBorder="1" applyFont="1">
      <alignment horizontal="center" vertical="center"/>
    </xf>
    <xf borderId="12" fillId="3" fontId="10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9" fillId="3" fontId="18" numFmtId="0" xfId="0" applyAlignment="1" applyBorder="1" applyFont="1">
      <alignment horizontal="left" readingOrder="0"/>
    </xf>
    <xf borderId="12" fillId="0" fontId="19" numFmtId="165" xfId="0" applyAlignment="1" applyBorder="1" applyFont="1" applyNumberFormat="1">
      <alignment readingOrder="0"/>
    </xf>
    <xf borderId="1" fillId="3" fontId="18" numFmtId="0" xfId="0" applyAlignment="1" applyBorder="1" applyFont="1">
      <alignment horizontal="left" readingOrder="0"/>
    </xf>
    <xf borderId="12" fillId="0" fontId="19" numFmtId="165" xfId="0" applyBorder="1" applyFont="1" applyNumberFormat="1"/>
    <xf borderId="13" fillId="3" fontId="18" numFmtId="0" xfId="0" applyAlignment="1" applyBorder="1" applyFont="1">
      <alignment horizontal="left" readingOrder="0"/>
    </xf>
    <xf borderId="4" fillId="3" fontId="18" numFmtId="0" xfId="0" applyAlignment="1" applyBorder="1" applyFont="1">
      <alignment horizontal="left" readingOrder="0"/>
    </xf>
    <xf borderId="8" fillId="0" fontId="4" numFmtId="165" xfId="0" applyBorder="1" applyFont="1" applyNumberFormat="1"/>
    <xf borderId="0" fillId="2" fontId="20" numFmtId="0" xfId="0" applyFont="1"/>
    <xf borderId="0" fillId="2" fontId="21" numFmtId="0" xfId="0" applyAlignment="1" applyFont="1">
      <alignment horizontal="center" readingOrder="0"/>
    </xf>
    <xf borderId="0" fillId="2" fontId="21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/>
    </xf>
    <xf borderId="6" fillId="3" fontId="23" numFmtId="0" xfId="0" applyAlignment="1" applyBorder="1" applyFont="1">
      <alignment horizontal="center" readingOrder="0"/>
    </xf>
    <xf borderId="7" fillId="3" fontId="23" numFmtId="0" xfId="0" applyAlignment="1" applyBorder="1" applyFont="1">
      <alignment horizontal="center" readingOrder="0"/>
    </xf>
    <xf borderId="8" fillId="3" fontId="23" numFmtId="0" xfId="0" applyAlignment="1" applyBorder="1" applyFont="1">
      <alignment horizontal="center" readingOrder="0"/>
    </xf>
    <xf borderId="0" fillId="2" fontId="20" numFmtId="0" xfId="0" applyAlignment="1" applyFont="1">
      <alignment readingOrder="0"/>
    </xf>
    <xf borderId="0" fillId="2" fontId="20" numFmtId="165" xfId="0" applyAlignment="1" applyFont="1" applyNumberFormat="1">
      <alignment readingOrder="0"/>
    </xf>
    <xf borderId="0" fillId="2" fontId="20" numFmtId="169" xfId="0" applyAlignment="1" applyFont="1" applyNumberFormat="1">
      <alignment readingOrder="0"/>
    </xf>
    <xf borderId="14" fillId="3" fontId="24" numFmtId="0" xfId="0" applyAlignment="1" applyBorder="1" applyFont="1">
      <alignment horizontal="left" readingOrder="0"/>
    </xf>
    <xf borderId="12" fillId="0" fontId="25" numFmtId="165" xfId="0" applyAlignment="1" applyBorder="1" applyFont="1" applyNumberFormat="1">
      <alignment horizontal="left" readingOrder="0"/>
    </xf>
    <xf borderId="12" fillId="0" fontId="25" numFmtId="165" xfId="0" applyAlignment="1" applyBorder="1" applyFont="1" applyNumberFormat="1">
      <alignment horizontal="center"/>
    </xf>
    <xf borderId="12" fillId="0" fontId="25" numFmtId="165" xfId="0" applyAlignment="1" applyBorder="1" applyFont="1" applyNumberFormat="1">
      <alignment horizontal="center" readingOrder="0"/>
    </xf>
    <xf borderId="13" fillId="3" fontId="24" numFmtId="0" xfId="0" applyAlignment="1" applyBorder="1" applyFont="1">
      <alignment horizontal="left" readingOrder="0"/>
    </xf>
    <xf borderId="15" fillId="3" fontId="24" numFmtId="0" xfId="0" applyAlignment="1" applyBorder="1" applyFont="1">
      <alignment horizontal="left" readingOrder="0"/>
    </xf>
    <xf borderId="12" fillId="3" fontId="26" numFmtId="0" xfId="0" applyAlignment="1" applyBorder="1" applyFont="1">
      <alignment horizontal="center" readingOrder="0" vertical="center"/>
    </xf>
    <xf borderId="6" fillId="3" fontId="23" numFmtId="165" xfId="0" applyAlignment="1" applyBorder="1" applyFont="1" applyNumberFormat="1">
      <alignment horizontal="center" vertical="center"/>
    </xf>
    <xf borderId="7" fillId="3" fontId="23" numFmtId="165" xfId="0" applyAlignment="1" applyBorder="1" applyFont="1" applyNumberFormat="1">
      <alignment horizontal="center" vertical="center"/>
    </xf>
    <xf borderId="8" fillId="3" fontId="23" numFmtId="165" xfId="0" applyAlignment="1" applyBorder="1" applyFont="1" applyNumberFormat="1">
      <alignment horizontal="center" vertical="center"/>
    </xf>
    <xf borderId="0" fillId="2" fontId="20" numFmtId="166" xfId="0" applyAlignment="1" applyFont="1" applyNumberFormat="1">
      <alignment horizontal="left" readingOrder="0"/>
    </xf>
    <xf borderId="0" fillId="2" fontId="20" numFmtId="0" xfId="0" applyAlignment="1" applyFont="1">
      <alignment horizontal="center" readingOrder="0" vertical="center"/>
    </xf>
    <xf borderId="0" fillId="2" fontId="20" numFmtId="164" xfId="0" applyAlignment="1" applyFont="1" applyNumberFormat="1">
      <alignment horizontal="center" readingOrder="0"/>
    </xf>
    <xf borderId="0" fillId="2" fontId="20" numFmtId="170" xfId="0" applyAlignment="1" applyFont="1" applyNumberFormat="1">
      <alignment horizontal="left" readingOrder="0"/>
    </xf>
    <xf borderId="0" fillId="2" fontId="20" numFmtId="0" xfId="0" applyAlignment="1" applyFont="1">
      <alignment horizontal="center"/>
    </xf>
    <xf borderId="0" fillId="2" fontId="20" numFmtId="164" xfId="0" applyAlignment="1" applyFont="1" applyNumberFormat="1">
      <alignment horizontal="left" readingOrder="0"/>
    </xf>
    <xf borderId="12" fillId="0" fontId="25" numFmtId="165" xfId="0" applyAlignment="1" applyBorder="1" applyFont="1" applyNumberFormat="1">
      <alignment horizontal="center" readingOrder="0" vertical="center"/>
    </xf>
    <xf borderId="12" fillId="0" fontId="25" numFmtId="165" xfId="0" applyAlignment="1" applyBorder="1" applyFont="1" applyNumberFormat="1">
      <alignment readingOrder="0"/>
    </xf>
    <xf borderId="12" fillId="0" fontId="25" numFmtId="165" xfId="0" applyBorder="1" applyFont="1" applyNumberFormat="1"/>
    <xf borderId="12" fillId="0" fontId="25" numFmtId="165" xfId="0" applyAlignment="1" applyBorder="1" applyFont="1" applyNumberFormat="1">
      <alignment horizontal="center" vertical="center"/>
    </xf>
    <xf borderId="12" fillId="0" fontId="27" numFmtId="165" xfId="0" applyAlignment="1" applyBorder="1" applyFont="1" applyNumberFormat="1">
      <alignment horizontal="center" vertical="center"/>
    </xf>
    <xf borderId="8" fillId="0" fontId="25" numFmtId="165" xfId="0" applyAlignment="1" applyBorder="1" applyFont="1" applyNumberFormat="1">
      <alignment horizontal="center" vertical="center"/>
    </xf>
    <xf borderId="8" fillId="0" fontId="27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6.75"/>
    <col customWidth="1" min="3" max="3" width="17.5"/>
    <col customWidth="1" min="4" max="4" width="16.75"/>
    <col customWidth="1" min="5" max="5" width="16.38"/>
    <col customWidth="1" min="6" max="6" width="22.38"/>
    <col customWidth="1" min="7" max="7" width="18.5"/>
    <col customWidth="1" min="8" max="8" width="15.38"/>
    <col customWidth="1" min="9" max="9" width="18.0"/>
    <col customWidth="1" min="10" max="10" width="18.5"/>
    <col customWidth="1" min="11" max="11" width="17.0"/>
    <col customWidth="1" hidden="1" min="12" max="12" width="15.38"/>
    <col customWidth="1" min="13" max="13" width="18.0"/>
    <col customWidth="1" min="14" max="14" width="18.13"/>
    <col customWidth="1" min="15" max="27" width="15.38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ht="15.75" hidden="1" customHeight="1">
      <c r="A2" s="1"/>
      <c r="B2" s="3">
        <v>6094.0</v>
      </c>
      <c r="C2" s="4" t="s">
        <v>13</v>
      </c>
      <c r="D2" s="5">
        <v>172882.0</v>
      </c>
      <c r="E2" s="6">
        <v>45629.0</v>
      </c>
      <c r="F2" s="7" t="s">
        <v>14</v>
      </c>
      <c r="G2" s="8">
        <v>53.8</v>
      </c>
      <c r="H2" s="9">
        <v>144.96</v>
      </c>
      <c r="I2" s="8">
        <f t="shared" ref="I2:I930" si="1">G2*H2</f>
        <v>7798.848</v>
      </c>
      <c r="J2" s="10">
        <v>0.02</v>
      </c>
      <c r="K2" s="8">
        <f t="shared" ref="K2:K930" si="2">I2*J2</f>
        <v>155.97696</v>
      </c>
      <c r="L2" s="8">
        <f t="shared" ref="L2:L270" si="3">K2*6%</f>
        <v>9.3586176</v>
      </c>
      <c r="M2" s="8">
        <f t="shared" ref="M2:M930" si="4">K2-L2</f>
        <v>146.6183424</v>
      </c>
      <c r="N2" s="11" t="s">
        <v>15</v>
      </c>
    </row>
    <row r="3" ht="15.75" hidden="1" customHeight="1">
      <c r="A3" s="1"/>
      <c r="B3" s="3">
        <v>6113.0</v>
      </c>
      <c r="C3" s="12" t="s">
        <v>16</v>
      </c>
      <c r="D3" s="5">
        <v>15408.0</v>
      </c>
      <c r="E3" s="13">
        <v>45988.0</v>
      </c>
      <c r="F3" s="7" t="s">
        <v>17</v>
      </c>
      <c r="G3" s="8">
        <v>35.66</v>
      </c>
      <c r="H3" s="9">
        <v>619.729</v>
      </c>
      <c r="I3" s="8">
        <f t="shared" si="1"/>
        <v>22099.53614</v>
      </c>
      <c r="J3" s="10">
        <v>0.015</v>
      </c>
      <c r="K3" s="8">
        <f t="shared" si="2"/>
        <v>331.4930421</v>
      </c>
      <c r="L3" s="8">
        <f t="shared" si="3"/>
        <v>19.88958253</v>
      </c>
      <c r="M3" s="8">
        <f t="shared" si="4"/>
        <v>311.6034596</v>
      </c>
      <c r="N3" s="11" t="s">
        <v>18</v>
      </c>
    </row>
    <row r="4" ht="15.75" hidden="1" customHeight="1">
      <c r="A4" s="1"/>
      <c r="B4" s="14">
        <v>6224.0</v>
      </c>
      <c r="C4" s="15" t="s">
        <v>19</v>
      </c>
      <c r="D4" s="16">
        <v>16375.0</v>
      </c>
      <c r="E4" s="17">
        <v>45675.0</v>
      </c>
      <c r="F4" s="18" t="s">
        <v>20</v>
      </c>
      <c r="G4" s="19">
        <v>30.4</v>
      </c>
      <c r="H4" s="20">
        <v>132.2</v>
      </c>
      <c r="I4" s="21">
        <f t="shared" si="1"/>
        <v>4018.88</v>
      </c>
      <c r="J4" s="22">
        <v>0.02</v>
      </c>
      <c r="K4" s="21">
        <f t="shared" si="2"/>
        <v>80.3776</v>
      </c>
      <c r="L4" s="8">
        <f t="shared" si="3"/>
        <v>4.822656</v>
      </c>
      <c r="M4" s="21">
        <f t="shared" si="4"/>
        <v>75.554944</v>
      </c>
      <c r="N4" s="23" t="s">
        <v>15</v>
      </c>
    </row>
    <row r="5" ht="15.75" hidden="1" customHeight="1">
      <c r="A5" s="1"/>
      <c r="B5" s="14">
        <v>6224.0</v>
      </c>
      <c r="C5" s="15" t="s">
        <v>19</v>
      </c>
      <c r="D5" s="16">
        <v>16375.0</v>
      </c>
      <c r="E5" s="17">
        <v>45675.0</v>
      </c>
      <c r="F5" s="18" t="s">
        <v>21</v>
      </c>
      <c r="G5" s="19">
        <v>25.4</v>
      </c>
      <c r="H5" s="20">
        <v>183.5</v>
      </c>
      <c r="I5" s="21">
        <f t="shared" si="1"/>
        <v>4660.9</v>
      </c>
      <c r="J5" s="22">
        <v>0.02</v>
      </c>
      <c r="K5" s="21">
        <f t="shared" si="2"/>
        <v>93.218</v>
      </c>
      <c r="L5" s="8">
        <f t="shared" si="3"/>
        <v>5.59308</v>
      </c>
      <c r="M5" s="21">
        <f t="shared" si="4"/>
        <v>87.62492</v>
      </c>
      <c r="N5" s="23" t="s">
        <v>15</v>
      </c>
    </row>
    <row r="6" ht="15.75" hidden="1" customHeight="1">
      <c r="A6" s="1"/>
      <c r="B6" s="14">
        <v>6234.0</v>
      </c>
      <c r="C6" s="24" t="s">
        <v>22</v>
      </c>
      <c r="D6" s="25">
        <v>106645.0</v>
      </c>
      <c r="E6" s="26">
        <v>45672.0</v>
      </c>
      <c r="F6" s="27" t="s">
        <v>17</v>
      </c>
      <c r="G6" s="28">
        <v>35.5</v>
      </c>
      <c r="H6" s="29">
        <v>628.501</v>
      </c>
      <c r="I6" s="30">
        <f t="shared" si="1"/>
        <v>22311.7855</v>
      </c>
      <c r="J6" s="22">
        <v>0.015</v>
      </c>
      <c r="K6" s="30">
        <f t="shared" si="2"/>
        <v>334.6767825</v>
      </c>
      <c r="L6" s="8">
        <f t="shared" si="3"/>
        <v>20.08060695</v>
      </c>
      <c r="M6" s="30">
        <f t="shared" si="4"/>
        <v>314.5961756</v>
      </c>
      <c r="N6" s="31" t="s">
        <v>23</v>
      </c>
    </row>
    <row r="7" ht="15.75" hidden="1" customHeight="1">
      <c r="A7" s="1"/>
      <c r="B7" s="14">
        <v>6250.0</v>
      </c>
      <c r="C7" s="15" t="s">
        <v>24</v>
      </c>
      <c r="D7" s="16">
        <v>161285.0</v>
      </c>
      <c r="E7" s="17">
        <v>45673.0</v>
      </c>
      <c r="F7" s="18" t="s">
        <v>25</v>
      </c>
      <c r="G7" s="19">
        <v>25.07</v>
      </c>
      <c r="H7" s="20">
        <v>1060.0</v>
      </c>
      <c r="I7" s="21">
        <f t="shared" si="1"/>
        <v>26574.2</v>
      </c>
      <c r="J7" s="22">
        <v>0.02</v>
      </c>
      <c r="K7" s="21">
        <f t="shared" si="2"/>
        <v>531.484</v>
      </c>
      <c r="L7" s="8">
        <f t="shared" si="3"/>
        <v>31.88904</v>
      </c>
      <c r="M7" s="21">
        <f t="shared" si="4"/>
        <v>499.59496</v>
      </c>
      <c r="N7" s="23" t="s">
        <v>15</v>
      </c>
      <c r="O7" s="32"/>
    </row>
    <row r="8" ht="15.75" hidden="1" customHeight="1">
      <c r="A8" s="1"/>
      <c r="B8" s="14">
        <v>6302.0</v>
      </c>
      <c r="C8" s="15" t="s">
        <v>26</v>
      </c>
      <c r="D8" s="16">
        <v>161514.0</v>
      </c>
      <c r="E8" s="17">
        <v>45679.0</v>
      </c>
      <c r="F8" s="18" t="s">
        <v>14</v>
      </c>
      <c r="G8" s="19">
        <v>53.02</v>
      </c>
      <c r="H8" s="33">
        <v>90.0</v>
      </c>
      <c r="I8" s="21">
        <f t="shared" si="1"/>
        <v>4771.8</v>
      </c>
      <c r="J8" s="22">
        <v>0.02</v>
      </c>
      <c r="K8" s="21">
        <f t="shared" si="2"/>
        <v>95.436</v>
      </c>
      <c r="L8" s="8">
        <f t="shared" si="3"/>
        <v>5.72616</v>
      </c>
      <c r="M8" s="21">
        <f t="shared" si="4"/>
        <v>89.70984</v>
      </c>
      <c r="N8" s="23" t="s">
        <v>15</v>
      </c>
    </row>
    <row r="9" ht="15.75" hidden="1" customHeight="1">
      <c r="A9" s="1"/>
      <c r="B9" s="14">
        <v>6376.0</v>
      </c>
      <c r="C9" s="15" t="s">
        <v>27</v>
      </c>
      <c r="D9" s="16">
        <v>162191.0</v>
      </c>
      <c r="E9" s="17">
        <v>45694.0</v>
      </c>
      <c r="F9" s="18" t="s">
        <v>14</v>
      </c>
      <c r="G9" s="19">
        <v>52.98</v>
      </c>
      <c r="H9" s="33">
        <v>94.8</v>
      </c>
      <c r="I9" s="21">
        <f t="shared" si="1"/>
        <v>5022.504</v>
      </c>
      <c r="J9" s="22">
        <v>0.02</v>
      </c>
      <c r="K9" s="21">
        <f t="shared" si="2"/>
        <v>100.45008</v>
      </c>
      <c r="L9" s="8">
        <f t="shared" si="3"/>
        <v>6.0270048</v>
      </c>
      <c r="M9" s="21">
        <f t="shared" si="4"/>
        <v>94.4230752</v>
      </c>
      <c r="N9" s="23" t="s">
        <v>28</v>
      </c>
    </row>
    <row r="10" ht="15.75" hidden="1" customHeight="1">
      <c r="A10" s="1"/>
      <c r="B10" s="14">
        <v>6485.0</v>
      </c>
      <c r="C10" s="15" t="s">
        <v>29</v>
      </c>
      <c r="D10" s="16">
        <v>107708.0</v>
      </c>
      <c r="E10" s="17">
        <v>45699.0</v>
      </c>
      <c r="F10" s="18" t="s">
        <v>17</v>
      </c>
      <c r="G10" s="19">
        <v>37.55</v>
      </c>
      <c r="H10" s="33">
        <v>331.537</v>
      </c>
      <c r="I10" s="21">
        <f t="shared" si="1"/>
        <v>12449.21435</v>
      </c>
      <c r="J10" s="22">
        <v>0.015</v>
      </c>
      <c r="K10" s="21">
        <f t="shared" si="2"/>
        <v>186.7382153</v>
      </c>
      <c r="L10" s="8">
        <f t="shared" si="3"/>
        <v>11.20429292</v>
      </c>
      <c r="M10" s="21">
        <f t="shared" si="4"/>
        <v>175.5339223</v>
      </c>
      <c r="N10" s="23" t="s">
        <v>23</v>
      </c>
    </row>
    <row r="11" ht="15.75" hidden="1" customHeight="1">
      <c r="A11" s="1"/>
      <c r="B11" s="14">
        <v>6517.0</v>
      </c>
      <c r="C11" s="15" t="s">
        <v>30</v>
      </c>
      <c r="D11" s="16">
        <v>108374.0</v>
      </c>
      <c r="E11" s="17">
        <v>45713.0</v>
      </c>
      <c r="F11" s="18" t="s">
        <v>31</v>
      </c>
      <c r="G11" s="19">
        <v>29.47</v>
      </c>
      <c r="H11" s="33">
        <v>433.705</v>
      </c>
      <c r="I11" s="21">
        <f t="shared" si="1"/>
        <v>12781.28635</v>
      </c>
      <c r="J11" s="22">
        <v>0.015</v>
      </c>
      <c r="K11" s="21">
        <f t="shared" si="2"/>
        <v>191.7192953</v>
      </c>
      <c r="L11" s="8">
        <f t="shared" si="3"/>
        <v>11.50315772</v>
      </c>
      <c r="M11" s="21">
        <f t="shared" si="4"/>
        <v>180.2161375</v>
      </c>
      <c r="N11" s="23" t="s">
        <v>32</v>
      </c>
    </row>
    <row r="12" ht="15.75" hidden="1" customHeight="1">
      <c r="A12" s="1"/>
      <c r="B12" s="14">
        <v>6549.0</v>
      </c>
      <c r="C12" s="15" t="s">
        <v>26</v>
      </c>
      <c r="D12" s="16">
        <v>163418.0</v>
      </c>
      <c r="E12" s="17">
        <v>45734.0</v>
      </c>
      <c r="F12" s="18" t="s">
        <v>14</v>
      </c>
      <c r="G12" s="19">
        <v>53.02</v>
      </c>
      <c r="H12" s="33">
        <v>215.8</v>
      </c>
      <c r="I12" s="21">
        <f t="shared" si="1"/>
        <v>11441.716</v>
      </c>
      <c r="J12" s="22">
        <v>0.02</v>
      </c>
      <c r="K12" s="21">
        <f t="shared" si="2"/>
        <v>228.83432</v>
      </c>
      <c r="L12" s="8">
        <f t="shared" si="3"/>
        <v>13.7300592</v>
      </c>
      <c r="M12" s="21">
        <f t="shared" si="4"/>
        <v>215.1042608</v>
      </c>
      <c r="N12" s="23" t="s">
        <v>23</v>
      </c>
    </row>
    <row r="13" ht="15.75" hidden="1" customHeight="1">
      <c r="A13" s="1"/>
      <c r="B13" s="14">
        <v>6604.0</v>
      </c>
      <c r="C13" s="15" t="s">
        <v>22</v>
      </c>
      <c r="D13" s="16">
        <v>108524.0</v>
      </c>
      <c r="E13" s="17">
        <v>45721.0</v>
      </c>
      <c r="F13" s="18" t="s">
        <v>17</v>
      </c>
      <c r="G13" s="19">
        <v>37.43</v>
      </c>
      <c r="H13" s="33">
        <v>1120.031</v>
      </c>
      <c r="I13" s="21">
        <f t="shared" si="1"/>
        <v>41922.76033</v>
      </c>
      <c r="J13" s="22">
        <v>0.015</v>
      </c>
      <c r="K13" s="21">
        <f t="shared" si="2"/>
        <v>628.841405</v>
      </c>
      <c r="L13" s="8">
        <f t="shared" si="3"/>
        <v>37.7304843</v>
      </c>
      <c r="M13" s="21">
        <f t="shared" si="4"/>
        <v>591.1109207</v>
      </c>
      <c r="N13" s="23" t="s">
        <v>32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hidden="1" customHeight="1">
      <c r="A14" s="1"/>
      <c r="B14" s="14">
        <v>6684.0</v>
      </c>
      <c r="C14" s="15" t="s">
        <v>33</v>
      </c>
      <c r="D14" s="16">
        <v>163457.0</v>
      </c>
      <c r="E14" s="17">
        <v>45734.0</v>
      </c>
      <c r="F14" s="18" t="s">
        <v>14</v>
      </c>
      <c r="G14" s="19">
        <v>50.71</v>
      </c>
      <c r="H14" s="33">
        <v>124.8</v>
      </c>
      <c r="I14" s="21">
        <f t="shared" si="1"/>
        <v>6328.608</v>
      </c>
      <c r="J14" s="22">
        <v>0.02</v>
      </c>
      <c r="K14" s="21">
        <f t="shared" si="2"/>
        <v>126.57216</v>
      </c>
      <c r="L14" s="8">
        <f t="shared" si="3"/>
        <v>7.5943296</v>
      </c>
      <c r="M14" s="21">
        <f t="shared" si="4"/>
        <v>118.9778304</v>
      </c>
      <c r="N14" s="23" t="s">
        <v>23</v>
      </c>
    </row>
    <row r="15" ht="15.75" hidden="1" customHeight="1">
      <c r="A15" s="1"/>
      <c r="B15" s="14">
        <v>6694.0</v>
      </c>
      <c r="C15" s="15" t="s">
        <v>34</v>
      </c>
      <c r="D15" s="16">
        <v>179936.0</v>
      </c>
      <c r="E15" s="17">
        <v>45730.0</v>
      </c>
      <c r="F15" s="18" t="s">
        <v>35</v>
      </c>
      <c r="G15" s="19">
        <v>24.3</v>
      </c>
      <c r="H15" s="33">
        <v>215.62</v>
      </c>
      <c r="I15" s="21">
        <f t="shared" si="1"/>
        <v>5239.566</v>
      </c>
      <c r="J15" s="22">
        <v>0.015</v>
      </c>
      <c r="K15" s="21">
        <f t="shared" si="2"/>
        <v>78.59349</v>
      </c>
      <c r="L15" s="8">
        <f t="shared" si="3"/>
        <v>4.7156094</v>
      </c>
      <c r="M15" s="21">
        <f t="shared" si="4"/>
        <v>73.8778806</v>
      </c>
      <c r="N15" s="23" t="s">
        <v>32</v>
      </c>
    </row>
    <row r="16" ht="15.75" hidden="1" customHeight="1">
      <c r="A16" s="1"/>
      <c r="B16" s="14">
        <v>6868.0</v>
      </c>
      <c r="C16" s="15" t="s">
        <v>36</v>
      </c>
      <c r="D16" s="16">
        <v>164218.0</v>
      </c>
      <c r="E16" s="17">
        <v>45755.0</v>
      </c>
      <c r="F16" s="18" t="s">
        <v>37</v>
      </c>
      <c r="G16" s="19">
        <v>28.62</v>
      </c>
      <c r="H16" s="33">
        <v>24.8</v>
      </c>
      <c r="I16" s="21">
        <f t="shared" si="1"/>
        <v>709.776</v>
      </c>
      <c r="J16" s="22">
        <v>0.02</v>
      </c>
      <c r="K16" s="21">
        <f t="shared" si="2"/>
        <v>14.19552</v>
      </c>
      <c r="L16" s="8">
        <f t="shared" si="3"/>
        <v>0.8517312</v>
      </c>
      <c r="M16" s="21">
        <f t="shared" si="4"/>
        <v>13.3437888</v>
      </c>
      <c r="N16" s="23" t="s">
        <v>32</v>
      </c>
    </row>
    <row r="17" ht="15.75" hidden="1" customHeight="1">
      <c r="A17" s="1"/>
      <c r="B17" s="14">
        <v>6897.0</v>
      </c>
      <c r="C17" s="15" t="s">
        <v>16</v>
      </c>
      <c r="D17" s="16">
        <v>110002.0</v>
      </c>
      <c r="E17" s="17">
        <v>45758.0</v>
      </c>
      <c r="F17" s="18" t="s">
        <v>17</v>
      </c>
      <c r="G17" s="19">
        <v>38.83</v>
      </c>
      <c r="H17" s="35">
        <v>926.7</v>
      </c>
      <c r="I17" s="21">
        <f t="shared" si="1"/>
        <v>35983.761</v>
      </c>
      <c r="J17" s="22">
        <v>0.015</v>
      </c>
      <c r="K17" s="21">
        <f t="shared" si="2"/>
        <v>539.756415</v>
      </c>
      <c r="L17" s="8">
        <f t="shared" si="3"/>
        <v>32.3853849</v>
      </c>
      <c r="M17" s="21">
        <f t="shared" si="4"/>
        <v>507.3710301</v>
      </c>
      <c r="N17" s="23" t="s">
        <v>38</v>
      </c>
    </row>
    <row r="18" ht="15.75" hidden="1" customHeight="1">
      <c r="A18" s="1"/>
      <c r="B18" s="14">
        <v>6960.0</v>
      </c>
      <c r="C18" s="15" t="s">
        <v>22</v>
      </c>
      <c r="D18" s="16">
        <v>110809.0</v>
      </c>
      <c r="E18" s="17">
        <v>45785.0</v>
      </c>
      <c r="F18" s="18" t="s">
        <v>17</v>
      </c>
      <c r="G18" s="19">
        <v>40.0</v>
      </c>
      <c r="H18" s="33">
        <v>978.461</v>
      </c>
      <c r="I18" s="21">
        <f t="shared" si="1"/>
        <v>39138.44</v>
      </c>
      <c r="J18" s="22">
        <v>0.015</v>
      </c>
      <c r="K18" s="21">
        <f t="shared" si="2"/>
        <v>587.0766</v>
      </c>
      <c r="L18" s="8">
        <f t="shared" si="3"/>
        <v>35.224596</v>
      </c>
      <c r="M18" s="21">
        <f t="shared" si="4"/>
        <v>551.852004</v>
      </c>
      <c r="N18" s="23" t="s">
        <v>38</v>
      </c>
    </row>
    <row r="19" ht="15.75" hidden="1" customHeight="1">
      <c r="A19" s="1"/>
      <c r="B19" s="14" t="s">
        <v>39</v>
      </c>
      <c r="C19" s="15" t="s">
        <v>40</v>
      </c>
      <c r="D19" s="16">
        <v>151515.0</v>
      </c>
      <c r="E19" s="16">
        <v>51.0</v>
      </c>
      <c r="F19" s="18" t="s">
        <v>41</v>
      </c>
      <c r="G19" s="19">
        <v>4500.0</v>
      </c>
      <c r="H19" s="33">
        <v>6.7</v>
      </c>
      <c r="I19" s="21">
        <f t="shared" si="1"/>
        <v>30150</v>
      </c>
      <c r="J19" s="22">
        <v>0.015</v>
      </c>
      <c r="K19" s="21">
        <f t="shared" si="2"/>
        <v>452.25</v>
      </c>
      <c r="L19" s="8">
        <f t="shared" si="3"/>
        <v>27.135</v>
      </c>
      <c r="M19" s="21">
        <f t="shared" si="4"/>
        <v>425.115</v>
      </c>
      <c r="N19" s="23" t="s">
        <v>32</v>
      </c>
    </row>
    <row r="20" ht="15.75" hidden="1" customHeight="1">
      <c r="A20" s="1"/>
      <c r="B20" s="14">
        <v>7027.0</v>
      </c>
      <c r="C20" s="15" t="s">
        <v>36</v>
      </c>
      <c r="D20" s="16">
        <v>165149.0</v>
      </c>
      <c r="E20" s="17">
        <v>45779.0</v>
      </c>
      <c r="F20" s="18" t="s">
        <v>37</v>
      </c>
      <c r="G20" s="19">
        <v>28.62</v>
      </c>
      <c r="H20" s="33">
        <v>176.6</v>
      </c>
      <c r="I20" s="21">
        <f t="shared" si="1"/>
        <v>5054.292</v>
      </c>
      <c r="J20" s="22">
        <v>0.02</v>
      </c>
      <c r="K20" s="21">
        <f t="shared" si="2"/>
        <v>101.08584</v>
      </c>
      <c r="L20" s="8">
        <f t="shared" si="3"/>
        <v>6.0651504</v>
      </c>
      <c r="M20" s="21">
        <f t="shared" si="4"/>
        <v>95.0206896</v>
      </c>
      <c r="N20" s="23" t="s">
        <v>42</v>
      </c>
    </row>
    <row r="21" ht="16.5" hidden="1" customHeight="1">
      <c r="A21" s="1"/>
      <c r="B21" s="36">
        <v>7116.0</v>
      </c>
      <c r="C21" s="15" t="s">
        <v>43</v>
      </c>
      <c r="D21" s="16">
        <v>111374.0</v>
      </c>
      <c r="E21" s="17">
        <v>45799.0</v>
      </c>
      <c r="F21" s="18" t="s">
        <v>17</v>
      </c>
      <c r="G21" s="19">
        <v>39.79</v>
      </c>
      <c r="H21" s="33">
        <v>331.977</v>
      </c>
      <c r="I21" s="21">
        <f t="shared" si="1"/>
        <v>13209.36483</v>
      </c>
      <c r="J21" s="22">
        <v>0.015</v>
      </c>
      <c r="K21" s="21">
        <f t="shared" si="2"/>
        <v>198.1404725</v>
      </c>
      <c r="L21" s="8">
        <f t="shared" si="3"/>
        <v>11.88842835</v>
      </c>
      <c r="M21" s="21">
        <f t="shared" si="4"/>
        <v>186.2520441</v>
      </c>
      <c r="N21" s="23" t="s">
        <v>38</v>
      </c>
    </row>
    <row r="22" ht="15.75" hidden="1" customHeight="1">
      <c r="A22" s="1"/>
      <c r="B22" s="36">
        <v>7123.0</v>
      </c>
      <c r="C22" s="15" t="s">
        <v>44</v>
      </c>
      <c r="D22" s="16">
        <v>165854.0</v>
      </c>
      <c r="E22" s="17">
        <v>45800.0</v>
      </c>
      <c r="F22" s="18" t="s">
        <v>37</v>
      </c>
      <c r="G22" s="19">
        <v>27.78</v>
      </c>
      <c r="H22" s="33">
        <v>23.4</v>
      </c>
      <c r="I22" s="21">
        <f t="shared" si="1"/>
        <v>650.052</v>
      </c>
      <c r="J22" s="22">
        <v>0.02</v>
      </c>
      <c r="K22" s="21">
        <f t="shared" si="2"/>
        <v>13.00104</v>
      </c>
      <c r="L22" s="8">
        <f t="shared" si="3"/>
        <v>0.7800624</v>
      </c>
      <c r="M22" s="21">
        <f t="shared" si="4"/>
        <v>12.2209776</v>
      </c>
      <c r="N22" s="23" t="s">
        <v>42</v>
      </c>
    </row>
    <row r="23" ht="15.75" hidden="1" customHeight="1">
      <c r="A23" s="1"/>
      <c r="B23" s="36">
        <v>7125.0</v>
      </c>
      <c r="C23" s="15" t="s">
        <v>26</v>
      </c>
      <c r="D23" s="16">
        <v>111362.0</v>
      </c>
      <c r="E23" s="17">
        <v>45799.0</v>
      </c>
      <c r="F23" s="18" t="s">
        <v>17</v>
      </c>
      <c r="G23" s="19">
        <v>39.28</v>
      </c>
      <c r="H23" s="33">
        <v>214.3</v>
      </c>
      <c r="I23" s="21">
        <f t="shared" si="1"/>
        <v>8417.704</v>
      </c>
      <c r="J23" s="22">
        <v>0.015</v>
      </c>
      <c r="K23" s="21">
        <f t="shared" si="2"/>
        <v>126.26556</v>
      </c>
      <c r="L23" s="8">
        <f t="shared" si="3"/>
        <v>7.5759336</v>
      </c>
      <c r="M23" s="21">
        <f t="shared" si="4"/>
        <v>118.6896264</v>
      </c>
      <c r="N23" s="23" t="s">
        <v>38</v>
      </c>
    </row>
    <row r="24" ht="15.75" hidden="1" customHeight="1">
      <c r="A24" s="1"/>
      <c r="B24" s="36">
        <v>7213.0</v>
      </c>
      <c r="C24" s="15" t="s">
        <v>36</v>
      </c>
      <c r="D24" s="16">
        <v>166410.0</v>
      </c>
      <c r="E24" s="17">
        <v>45817.0</v>
      </c>
      <c r="F24" s="18" t="s">
        <v>37</v>
      </c>
      <c r="G24" s="19">
        <v>28.62</v>
      </c>
      <c r="H24" s="33">
        <v>122.25</v>
      </c>
      <c r="I24" s="21">
        <f t="shared" si="1"/>
        <v>3498.795</v>
      </c>
      <c r="J24" s="22">
        <v>0.02</v>
      </c>
      <c r="K24" s="21">
        <f t="shared" si="2"/>
        <v>69.9759</v>
      </c>
      <c r="L24" s="8">
        <f t="shared" si="3"/>
        <v>4.198554</v>
      </c>
      <c r="M24" s="21">
        <f t="shared" si="4"/>
        <v>65.777346</v>
      </c>
      <c r="N24" s="23" t="s">
        <v>38</v>
      </c>
    </row>
    <row r="25" ht="15.75" hidden="1" customHeight="1">
      <c r="A25" s="1"/>
      <c r="B25" s="36">
        <v>7262.0</v>
      </c>
      <c r="C25" s="15" t="s">
        <v>45</v>
      </c>
      <c r="D25" s="16">
        <v>166733.0</v>
      </c>
      <c r="E25" s="17">
        <v>45825.0</v>
      </c>
      <c r="F25" s="18" t="s">
        <v>37</v>
      </c>
      <c r="G25" s="19">
        <v>28.62</v>
      </c>
      <c r="H25" s="33">
        <v>119.6</v>
      </c>
      <c r="I25" s="21">
        <f t="shared" si="1"/>
        <v>3422.952</v>
      </c>
      <c r="J25" s="22">
        <v>0.02</v>
      </c>
      <c r="K25" s="21">
        <f t="shared" si="2"/>
        <v>68.45904</v>
      </c>
      <c r="L25" s="8">
        <f t="shared" si="3"/>
        <v>4.1075424</v>
      </c>
      <c r="M25" s="21">
        <f t="shared" si="4"/>
        <v>64.3514976</v>
      </c>
      <c r="N25" s="23" t="s">
        <v>38</v>
      </c>
    </row>
    <row r="26" ht="15.75" hidden="1" customHeight="1">
      <c r="A26" s="1"/>
      <c r="B26" s="36">
        <v>7290.0</v>
      </c>
      <c r="C26" s="15" t="s">
        <v>22</v>
      </c>
      <c r="D26" s="16">
        <v>112786.0</v>
      </c>
      <c r="E26" s="17">
        <v>45839.0</v>
      </c>
      <c r="F26" s="18" t="s">
        <v>17</v>
      </c>
      <c r="G26" s="19">
        <v>40.0</v>
      </c>
      <c r="H26" s="33">
        <v>566.277</v>
      </c>
      <c r="I26" s="21">
        <f t="shared" si="1"/>
        <v>22651.08</v>
      </c>
      <c r="J26" s="22">
        <v>0.015</v>
      </c>
      <c r="K26" s="21">
        <f t="shared" si="2"/>
        <v>339.7662</v>
      </c>
      <c r="L26" s="8">
        <f t="shared" si="3"/>
        <v>20.385972</v>
      </c>
      <c r="M26" s="21">
        <f t="shared" si="4"/>
        <v>319.380228</v>
      </c>
      <c r="N26" s="23" t="s">
        <v>46</v>
      </c>
    </row>
    <row r="27" ht="15.75" hidden="1" customHeight="1">
      <c r="A27" s="1"/>
      <c r="B27" s="36">
        <v>7291.0</v>
      </c>
      <c r="C27" s="15" t="s">
        <v>43</v>
      </c>
      <c r="D27" s="16">
        <v>112833.0</v>
      </c>
      <c r="E27" s="17">
        <v>45839.0</v>
      </c>
      <c r="F27" s="18" t="s">
        <v>17</v>
      </c>
      <c r="G27" s="19">
        <v>38.95</v>
      </c>
      <c r="H27" s="33">
        <v>286.545</v>
      </c>
      <c r="I27" s="21">
        <f t="shared" si="1"/>
        <v>11160.92775</v>
      </c>
      <c r="J27" s="22">
        <v>0.015</v>
      </c>
      <c r="K27" s="21">
        <f t="shared" si="2"/>
        <v>167.4139163</v>
      </c>
      <c r="L27" s="8">
        <f t="shared" si="3"/>
        <v>10.04483498</v>
      </c>
      <c r="M27" s="21">
        <f t="shared" si="4"/>
        <v>157.3690813</v>
      </c>
      <c r="N27" s="23" t="s">
        <v>46</v>
      </c>
    </row>
    <row r="28" ht="15.75" hidden="1" customHeight="1">
      <c r="A28" s="1"/>
      <c r="B28" s="36">
        <v>7349.0</v>
      </c>
      <c r="C28" s="15" t="s">
        <v>43</v>
      </c>
      <c r="D28" s="16">
        <v>113202.0</v>
      </c>
      <c r="E28" s="17">
        <v>45849.0</v>
      </c>
      <c r="F28" s="18" t="s">
        <v>17</v>
      </c>
      <c r="G28" s="19">
        <v>40.18</v>
      </c>
      <c r="H28" s="33">
        <v>196.181</v>
      </c>
      <c r="I28" s="21">
        <f t="shared" si="1"/>
        <v>7882.55258</v>
      </c>
      <c r="J28" s="22">
        <v>0.015</v>
      </c>
      <c r="K28" s="21">
        <f t="shared" si="2"/>
        <v>118.2382887</v>
      </c>
      <c r="L28" s="8">
        <f t="shared" si="3"/>
        <v>7.094297322</v>
      </c>
      <c r="M28" s="21">
        <f t="shared" si="4"/>
        <v>111.1439914</v>
      </c>
      <c r="N28" s="23" t="s">
        <v>46</v>
      </c>
    </row>
    <row r="29" ht="15.75" hidden="1" customHeight="1">
      <c r="A29" s="1"/>
      <c r="B29" s="36">
        <v>7398.0</v>
      </c>
      <c r="C29" s="15" t="s">
        <v>16</v>
      </c>
      <c r="D29" s="16">
        <v>113721.0</v>
      </c>
      <c r="E29" s="17">
        <v>45862.0</v>
      </c>
      <c r="F29" s="18" t="s">
        <v>17</v>
      </c>
      <c r="G29" s="19">
        <v>38.66</v>
      </c>
      <c r="H29" s="33">
        <v>739.463</v>
      </c>
      <c r="I29" s="21">
        <f t="shared" si="1"/>
        <v>28587.63958</v>
      </c>
      <c r="J29" s="22">
        <v>0.015</v>
      </c>
      <c r="K29" s="21">
        <f t="shared" si="2"/>
        <v>428.8145937</v>
      </c>
      <c r="L29" s="8">
        <f t="shared" si="3"/>
        <v>25.72887562</v>
      </c>
      <c r="M29" s="21">
        <f t="shared" si="4"/>
        <v>403.0857181</v>
      </c>
      <c r="N29" s="23" t="s">
        <v>46</v>
      </c>
    </row>
    <row r="30" ht="15.75" hidden="1" customHeight="1">
      <c r="A30" s="1"/>
      <c r="B30" s="36">
        <v>7427.0</v>
      </c>
      <c r="C30" s="15" t="s">
        <v>45</v>
      </c>
      <c r="D30" s="16">
        <v>168034.0</v>
      </c>
      <c r="E30" s="17">
        <v>45867.0</v>
      </c>
      <c r="F30" s="18" t="s">
        <v>37</v>
      </c>
      <c r="G30" s="19">
        <v>28.62</v>
      </c>
      <c r="H30" s="33">
        <v>125.1</v>
      </c>
      <c r="I30" s="21">
        <f t="shared" si="1"/>
        <v>3580.362</v>
      </c>
      <c r="J30" s="22">
        <v>0.02</v>
      </c>
      <c r="K30" s="21">
        <f t="shared" si="2"/>
        <v>71.60724</v>
      </c>
      <c r="L30" s="8">
        <f t="shared" si="3"/>
        <v>4.2964344</v>
      </c>
      <c r="M30" s="21">
        <f t="shared" si="4"/>
        <v>67.3108056</v>
      </c>
      <c r="N30" s="23" t="s">
        <v>47</v>
      </c>
    </row>
    <row r="31" ht="15.75" customHeight="1">
      <c r="A31" s="1"/>
      <c r="B31" s="37">
        <v>7598.0</v>
      </c>
      <c r="C31" s="38" t="s">
        <v>22</v>
      </c>
      <c r="D31" s="39">
        <v>114418.0</v>
      </c>
      <c r="E31" s="40">
        <v>45882.0</v>
      </c>
      <c r="F31" s="41" t="s">
        <v>17</v>
      </c>
      <c r="G31" s="42">
        <v>40.0</v>
      </c>
      <c r="H31" s="43">
        <v>1012.284</v>
      </c>
      <c r="I31" s="44">
        <f t="shared" si="1"/>
        <v>40491.36</v>
      </c>
      <c r="J31" s="45">
        <v>0.015</v>
      </c>
      <c r="K31" s="44">
        <f t="shared" si="2"/>
        <v>607.3704</v>
      </c>
      <c r="L31" s="46">
        <f t="shared" si="3"/>
        <v>36.442224</v>
      </c>
      <c r="M31" s="44">
        <f t="shared" si="4"/>
        <v>570.928176</v>
      </c>
      <c r="N31" s="47" t="s">
        <v>48</v>
      </c>
    </row>
    <row r="32" ht="15.75" customHeight="1">
      <c r="A32" s="1"/>
      <c r="B32" s="36">
        <v>7575.0</v>
      </c>
      <c r="C32" s="15" t="s">
        <v>49</v>
      </c>
      <c r="D32" s="48">
        <v>115570.0</v>
      </c>
      <c r="E32" s="49">
        <v>45911.0</v>
      </c>
      <c r="F32" s="18" t="s">
        <v>17</v>
      </c>
      <c r="G32" s="19">
        <v>38.2</v>
      </c>
      <c r="H32" s="33">
        <v>1936.31</v>
      </c>
      <c r="I32" s="21">
        <f t="shared" si="1"/>
        <v>73967.042</v>
      </c>
      <c r="J32" s="22">
        <v>0.015</v>
      </c>
      <c r="K32" s="21">
        <f t="shared" si="2"/>
        <v>1109.50563</v>
      </c>
      <c r="L32" s="8">
        <f t="shared" si="3"/>
        <v>66.5703378</v>
      </c>
      <c r="M32" s="21">
        <f t="shared" si="4"/>
        <v>1042.935292</v>
      </c>
      <c r="N32" s="23" t="s">
        <v>48</v>
      </c>
    </row>
    <row r="33" ht="15.75" customHeight="1">
      <c r="A33" s="1"/>
      <c r="B33" s="37">
        <v>7586.0</v>
      </c>
      <c r="C33" s="38" t="s">
        <v>26</v>
      </c>
      <c r="D33" s="50">
        <v>114903.0</v>
      </c>
      <c r="E33" s="40">
        <v>45895.0</v>
      </c>
      <c r="F33" s="41" t="s">
        <v>50</v>
      </c>
      <c r="G33" s="42">
        <v>38.345</v>
      </c>
      <c r="H33" s="43">
        <v>274.991</v>
      </c>
      <c r="I33" s="44">
        <f t="shared" si="1"/>
        <v>10544.5299</v>
      </c>
      <c r="J33" s="45">
        <v>0.015</v>
      </c>
      <c r="K33" s="44">
        <f t="shared" si="2"/>
        <v>158.1679484</v>
      </c>
      <c r="L33" s="46">
        <f t="shared" si="3"/>
        <v>9.490076906</v>
      </c>
      <c r="M33" s="44">
        <f t="shared" si="4"/>
        <v>148.6778715</v>
      </c>
      <c r="N33" s="47" t="s">
        <v>48</v>
      </c>
    </row>
    <row r="34" ht="15.75" customHeight="1">
      <c r="A34" s="1"/>
      <c r="B34" s="37">
        <v>7426.0</v>
      </c>
      <c r="C34" s="38" t="s">
        <v>43</v>
      </c>
      <c r="D34" s="50">
        <v>115404.0</v>
      </c>
      <c r="E34" s="40">
        <v>45908.0</v>
      </c>
      <c r="F34" s="41" t="s">
        <v>17</v>
      </c>
      <c r="G34" s="42">
        <v>39.76</v>
      </c>
      <c r="H34" s="43">
        <v>355.247</v>
      </c>
      <c r="I34" s="44">
        <f t="shared" si="1"/>
        <v>14124.62072</v>
      </c>
      <c r="J34" s="45">
        <v>0.015</v>
      </c>
      <c r="K34" s="44">
        <f t="shared" si="2"/>
        <v>211.8693108</v>
      </c>
      <c r="L34" s="46">
        <f t="shared" si="3"/>
        <v>12.71215865</v>
      </c>
      <c r="M34" s="44">
        <f t="shared" si="4"/>
        <v>199.1571522</v>
      </c>
      <c r="N34" s="47" t="s">
        <v>48</v>
      </c>
    </row>
    <row r="35" ht="15.75" customHeight="1">
      <c r="A35" s="1"/>
      <c r="B35" s="37">
        <v>7706.0</v>
      </c>
      <c r="C35" s="38" t="s">
        <v>22</v>
      </c>
      <c r="D35" s="39">
        <v>116091.0</v>
      </c>
      <c r="E35" s="40">
        <v>45924.0</v>
      </c>
      <c r="F35" s="41" t="s">
        <v>17</v>
      </c>
      <c r="G35" s="42">
        <v>40.18</v>
      </c>
      <c r="H35" s="43">
        <v>1443.764</v>
      </c>
      <c r="I35" s="44">
        <f t="shared" si="1"/>
        <v>58010.43752</v>
      </c>
      <c r="J35" s="45">
        <v>0.015</v>
      </c>
      <c r="K35" s="44">
        <f t="shared" si="2"/>
        <v>870.1565628</v>
      </c>
      <c r="L35" s="46">
        <f t="shared" si="3"/>
        <v>52.20939377</v>
      </c>
      <c r="M35" s="44">
        <f t="shared" si="4"/>
        <v>817.947169</v>
      </c>
      <c r="N35" s="47" t="s">
        <v>48</v>
      </c>
    </row>
    <row r="36" ht="15.75" hidden="1" customHeight="1">
      <c r="A36" s="1"/>
      <c r="B36" s="36">
        <v>7713.0</v>
      </c>
      <c r="C36" s="15" t="s">
        <v>45</v>
      </c>
      <c r="D36" s="16">
        <v>169672.0</v>
      </c>
      <c r="E36" s="17">
        <v>45918.0</v>
      </c>
      <c r="F36" s="18" t="s">
        <v>37</v>
      </c>
      <c r="G36" s="19">
        <v>28.62</v>
      </c>
      <c r="H36" s="33">
        <v>104.9</v>
      </c>
      <c r="I36" s="21">
        <f t="shared" si="1"/>
        <v>3002.238</v>
      </c>
      <c r="J36" s="22">
        <v>0.02</v>
      </c>
      <c r="K36" s="21">
        <f t="shared" si="2"/>
        <v>60.04476</v>
      </c>
      <c r="L36" s="8">
        <f t="shared" si="3"/>
        <v>3.6026856</v>
      </c>
      <c r="M36" s="21">
        <f t="shared" si="4"/>
        <v>56.4420744</v>
      </c>
      <c r="N36" s="23" t="s">
        <v>46</v>
      </c>
    </row>
    <row r="37" ht="15.75" hidden="1" customHeight="1">
      <c r="A37" s="1"/>
      <c r="B37" s="36">
        <v>7776.0</v>
      </c>
      <c r="C37" s="15" t="s">
        <v>24</v>
      </c>
      <c r="D37" s="16">
        <v>170477.0</v>
      </c>
      <c r="E37" s="49">
        <v>45947.0</v>
      </c>
      <c r="F37" s="18" t="s">
        <v>51</v>
      </c>
      <c r="G37" s="19">
        <v>2.65</v>
      </c>
      <c r="H37" s="33">
        <v>1214.07</v>
      </c>
      <c r="I37" s="51">
        <f t="shared" si="1"/>
        <v>3217.2855</v>
      </c>
      <c r="J37" s="22">
        <v>0.015</v>
      </c>
      <c r="K37" s="51">
        <f t="shared" si="2"/>
        <v>48.2592825</v>
      </c>
      <c r="L37" s="8">
        <f t="shared" si="3"/>
        <v>2.89555695</v>
      </c>
      <c r="M37" s="51">
        <f t="shared" si="4"/>
        <v>45.36372555</v>
      </c>
      <c r="N37" s="23" t="s">
        <v>52</v>
      </c>
    </row>
    <row r="38" ht="15.75" customHeight="1">
      <c r="A38" s="1"/>
      <c r="B38" s="37">
        <v>7812.0</v>
      </c>
      <c r="C38" s="38" t="s">
        <v>43</v>
      </c>
      <c r="D38" s="50">
        <v>117074.0</v>
      </c>
      <c r="E38" s="52">
        <v>45950.0</v>
      </c>
      <c r="F38" s="41" t="s">
        <v>17</v>
      </c>
      <c r="G38" s="42">
        <v>38.0</v>
      </c>
      <c r="H38" s="43">
        <v>324.125</v>
      </c>
      <c r="I38" s="44">
        <f t="shared" si="1"/>
        <v>12316.75</v>
      </c>
      <c r="J38" s="45">
        <v>0.015</v>
      </c>
      <c r="K38" s="44">
        <f t="shared" si="2"/>
        <v>184.75125</v>
      </c>
      <c r="L38" s="46">
        <f t="shared" si="3"/>
        <v>11.085075</v>
      </c>
      <c r="M38" s="44">
        <f t="shared" si="4"/>
        <v>173.666175</v>
      </c>
      <c r="N38" s="47" t="s">
        <v>48</v>
      </c>
    </row>
    <row r="39" ht="15.75" hidden="1" customHeight="1">
      <c r="A39" s="1"/>
      <c r="B39" s="36">
        <v>7959.0</v>
      </c>
      <c r="C39" s="15" t="s">
        <v>45</v>
      </c>
      <c r="D39" s="16">
        <v>170956.0</v>
      </c>
      <c r="E39" s="26">
        <v>45961.0</v>
      </c>
      <c r="F39" s="18" t="s">
        <v>37</v>
      </c>
      <c r="G39" s="19">
        <v>28.12</v>
      </c>
      <c r="H39" s="33">
        <v>97.1</v>
      </c>
      <c r="I39" s="51">
        <f t="shared" si="1"/>
        <v>2730.452</v>
      </c>
      <c r="J39" s="22">
        <v>0.02</v>
      </c>
      <c r="K39" s="51">
        <f t="shared" si="2"/>
        <v>54.60904</v>
      </c>
      <c r="L39" s="8">
        <f t="shared" si="3"/>
        <v>3.2765424</v>
      </c>
      <c r="M39" s="51">
        <f t="shared" si="4"/>
        <v>51.3324976</v>
      </c>
      <c r="N39" s="23" t="s">
        <v>52</v>
      </c>
    </row>
    <row r="40" ht="15.75" customHeight="1">
      <c r="A40" s="1"/>
      <c r="B40" s="36">
        <v>8029.0</v>
      </c>
      <c r="C40" s="15" t="s">
        <v>53</v>
      </c>
      <c r="D40" s="53"/>
      <c r="E40" s="54"/>
      <c r="F40" s="18" t="s">
        <v>14</v>
      </c>
      <c r="G40" s="19">
        <v>0.0</v>
      </c>
      <c r="H40" s="55"/>
      <c r="I40" s="51">
        <f t="shared" si="1"/>
        <v>0</v>
      </c>
      <c r="J40" s="10"/>
      <c r="K40" s="51">
        <f t="shared" si="2"/>
        <v>0</v>
      </c>
      <c r="L40" s="8">
        <f t="shared" si="3"/>
        <v>0</v>
      </c>
      <c r="M40" s="51">
        <f t="shared" si="4"/>
        <v>0</v>
      </c>
      <c r="N40" s="56"/>
    </row>
    <row r="41" ht="15.75" customHeight="1">
      <c r="A41" s="1"/>
      <c r="B41" s="36">
        <v>8047.0</v>
      </c>
      <c r="C41" s="15" t="s">
        <v>54</v>
      </c>
      <c r="D41" s="16">
        <v>118756.0</v>
      </c>
      <c r="E41" s="26">
        <v>45992.0</v>
      </c>
      <c r="F41" s="18" t="s">
        <v>55</v>
      </c>
      <c r="G41" s="19">
        <v>35.41</v>
      </c>
      <c r="H41" s="33">
        <v>134.258</v>
      </c>
      <c r="I41" s="51">
        <f t="shared" si="1"/>
        <v>4754.07578</v>
      </c>
      <c r="J41" s="22">
        <v>0.015</v>
      </c>
      <c r="K41" s="51">
        <f t="shared" si="2"/>
        <v>71.3111367</v>
      </c>
      <c r="L41" s="8">
        <f t="shared" si="3"/>
        <v>4.278668202</v>
      </c>
      <c r="M41" s="51">
        <f t="shared" si="4"/>
        <v>67.0324685</v>
      </c>
      <c r="N41" s="56"/>
    </row>
    <row r="42" ht="15.75" customHeight="1">
      <c r="A42" s="1"/>
      <c r="B42" s="36">
        <v>8100.0</v>
      </c>
      <c r="C42" s="57" t="s">
        <v>45</v>
      </c>
      <c r="D42" s="16">
        <v>171693.0</v>
      </c>
      <c r="E42" s="26">
        <v>45993.0</v>
      </c>
      <c r="F42" s="18" t="s">
        <v>37</v>
      </c>
      <c r="G42" s="19">
        <v>28.12</v>
      </c>
      <c r="H42" s="33">
        <v>100.4</v>
      </c>
      <c r="I42" s="51">
        <f t="shared" si="1"/>
        <v>2823.248</v>
      </c>
      <c r="J42" s="22">
        <v>0.02</v>
      </c>
      <c r="K42" s="51">
        <f t="shared" si="2"/>
        <v>56.46496</v>
      </c>
      <c r="L42" s="8">
        <f t="shared" si="3"/>
        <v>3.3878976</v>
      </c>
      <c r="M42" s="51">
        <f t="shared" si="4"/>
        <v>53.0770624</v>
      </c>
      <c r="N42" s="56"/>
    </row>
    <row r="43" ht="15.75" customHeight="1">
      <c r="A43" s="1"/>
      <c r="B43" s="58"/>
      <c r="C43" s="32"/>
      <c r="D43" s="53"/>
      <c r="E43" s="54"/>
      <c r="F43" s="59"/>
      <c r="G43" s="19">
        <v>0.0</v>
      </c>
      <c r="H43" s="55"/>
      <c r="I43" s="51">
        <f t="shared" si="1"/>
        <v>0</v>
      </c>
      <c r="J43" s="10"/>
      <c r="K43" s="51">
        <f t="shared" si="2"/>
        <v>0</v>
      </c>
      <c r="L43" s="8">
        <f t="shared" si="3"/>
        <v>0</v>
      </c>
      <c r="M43" s="51">
        <f t="shared" si="4"/>
        <v>0</v>
      </c>
      <c r="N43" s="56"/>
    </row>
    <row r="44" ht="15.75" customHeight="1">
      <c r="A44" s="1"/>
      <c r="B44" s="58"/>
      <c r="C44" s="32"/>
      <c r="D44" s="53"/>
      <c r="E44" s="54"/>
      <c r="F44" s="59"/>
      <c r="G44" s="19">
        <v>0.0</v>
      </c>
      <c r="H44" s="55"/>
      <c r="I44" s="51">
        <f t="shared" si="1"/>
        <v>0</v>
      </c>
      <c r="J44" s="10"/>
      <c r="K44" s="51">
        <f t="shared" si="2"/>
        <v>0</v>
      </c>
      <c r="L44" s="8">
        <f t="shared" si="3"/>
        <v>0</v>
      </c>
      <c r="M44" s="51">
        <f t="shared" si="4"/>
        <v>0</v>
      </c>
      <c r="N44" s="56"/>
    </row>
    <row r="45" ht="15.75" customHeight="1">
      <c r="A45" s="1"/>
      <c r="B45" s="58"/>
      <c r="C45" s="32"/>
      <c r="D45" s="53"/>
      <c r="E45" s="60"/>
      <c r="F45" s="59"/>
      <c r="G45" s="19">
        <v>0.0</v>
      </c>
      <c r="H45" s="55"/>
      <c r="I45" s="51">
        <f t="shared" si="1"/>
        <v>0</v>
      </c>
      <c r="J45" s="10"/>
      <c r="K45" s="51">
        <f t="shared" si="2"/>
        <v>0</v>
      </c>
      <c r="L45" s="8">
        <f t="shared" si="3"/>
        <v>0</v>
      </c>
      <c r="M45" s="51">
        <f t="shared" si="4"/>
        <v>0</v>
      </c>
      <c r="N45" s="56"/>
    </row>
    <row r="46" ht="15.75" customHeight="1">
      <c r="A46" s="1"/>
      <c r="B46" s="58"/>
      <c r="C46" s="32"/>
      <c r="D46" s="53"/>
      <c r="E46" s="60"/>
      <c r="F46" s="59"/>
      <c r="G46" s="19">
        <v>0.0</v>
      </c>
      <c r="H46" s="55"/>
      <c r="I46" s="51">
        <f t="shared" si="1"/>
        <v>0</v>
      </c>
      <c r="J46" s="10"/>
      <c r="K46" s="51">
        <f t="shared" si="2"/>
        <v>0</v>
      </c>
      <c r="L46" s="8">
        <f t="shared" si="3"/>
        <v>0</v>
      </c>
      <c r="M46" s="51">
        <f t="shared" si="4"/>
        <v>0</v>
      </c>
      <c r="N46" s="56"/>
    </row>
    <row r="47" ht="15.75" customHeight="1">
      <c r="A47" s="1"/>
      <c r="B47" s="58"/>
      <c r="C47" s="32"/>
      <c r="D47" s="53"/>
      <c r="E47" s="54"/>
      <c r="F47" s="59"/>
      <c r="G47" s="19">
        <v>0.0</v>
      </c>
      <c r="H47" s="55"/>
      <c r="I47" s="51">
        <f t="shared" si="1"/>
        <v>0</v>
      </c>
      <c r="J47" s="10"/>
      <c r="K47" s="51">
        <f t="shared" si="2"/>
        <v>0</v>
      </c>
      <c r="L47" s="8">
        <f t="shared" si="3"/>
        <v>0</v>
      </c>
      <c r="M47" s="51">
        <f t="shared" si="4"/>
        <v>0</v>
      </c>
      <c r="N47" s="56"/>
    </row>
    <row r="48" ht="15.75" customHeight="1">
      <c r="A48" s="1"/>
      <c r="B48" s="61"/>
      <c r="C48" s="62"/>
      <c r="D48" s="63"/>
      <c r="E48" s="64"/>
      <c r="F48" s="65"/>
      <c r="G48" s="19">
        <v>0.0</v>
      </c>
      <c r="H48" s="66"/>
      <c r="I48" s="51">
        <f t="shared" si="1"/>
        <v>0</v>
      </c>
      <c r="J48" s="10"/>
      <c r="K48" s="51">
        <f t="shared" si="2"/>
        <v>0</v>
      </c>
      <c r="L48" s="8">
        <f t="shared" si="3"/>
        <v>0</v>
      </c>
      <c r="M48" s="51">
        <f t="shared" si="4"/>
        <v>0</v>
      </c>
      <c r="N48" s="67"/>
    </row>
    <row r="49" ht="15.75" customHeight="1">
      <c r="A49" s="1"/>
      <c r="B49" s="61"/>
      <c r="C49" s="62"/>
      <c r="D49" s="63"/>
      <c r="E49" s="68"/>
      <c r="F49" s="65"/>
      <c r="G49" s="19">
        <v>0.0</v>
      </c>
      <c r="H49" s="66"/>
      <c r="I49" s="51">
        <f t="shared" si="1"/>
        <v>0</v>
      </c>
      <c r="J49" s="10"/>
      <c r="K49" s="51">
        <f t="shared" si="2"/>
        <v>0</v>
      </c>
      <c r="L49" s="8">
        <f t="shared" si="3"/>
        <v>0</v>
      </c>
      <c r="M49" s="51">
        <f t="shared" si="4"/>
        <v>0</v>
      </c>
      <c r="N49" s="67"/>
    </row>
    <row r="50" ht="15.75" customHeight="1">
      <c r="A50" s="1"/>
      <c r="B50" s="69"/>
      <c r="D50" s="70"/>
      <c r="E50" s="71"/>
      <c r="F50" s="72"/>
      <c r="G50" s="19">
        <v>0.0</v>
      </c>
      <c r="H50" s="73"/>
      <c r="I50" s="51">
        <f t="shared" si="1"/>
        <v>0</v>
      </c>
      <c r="J50" s="10"/>
      <c r="K50" s="51">
        <f t="shared" si="2"/>
        <v>0</v>
      </c>
      <c r="L50" s="8">
        <f t="shared" si="3"/>
        <v>0</v>
      </c>
      <c r="M50" s="51">
        <f t="shared" si="4"/>
        <v>0</v>
      </c>
      <c r="N50" s="67"/>
    </row>
    <row r="51" ht="15.75" customHeight="1">
      <c r="A51" s="1"/>
      <c r="B51" s="69"/>
      <c r="D51" s="70"/>
      <c r="E51" s="71"/>
      <c r="F51" s="72"/>
      <c r="G51" s="19">
        <v>0.0</v>
      </c>
      <c r="H51" s="73"/>
      <c r="I51" s="51">
        <f t="shared" si="1"/>
        <v>0</v>
      </c>
      <c r="J51" s="10"/>
      <c r="K51" s="51">
        <f t="shared" si="2"/>
        <v>0</v>
      </c>
      <c r="L51" s="8">
        <f t="shared" si="3"/>
        <v>0</v>
      </c>
      <c r="M51" s="51">
        <f t="shared" si="4"/>
        <v>0</v>
      </c>
      <c r="N51" s="67"/>
    </row>
    <row r="52" ht="15.75" customHeight="1">
      <c r="A52" s="1"/>
      <c r="B52" s="69"/>
      <c r="D52" s="70"/>
      <c r="E52" s="71"/>
      <c r="F52" s="72"/>
      <c r="G52" s="19">
        <v>0.0</v>
      </c>
      <c r="H52" s="73"/>
      <c r="I52" s="51">
        <f t="shared" si="1"/>
        <v>0</v>
      </c>
      <c r="J52" s="10"/>
      <c r="K52" s="51">
        <f t="shared" si="2"/>
        <v>0</v>
      </c>
      <c r="L52" s="8">
        <f t="shared" si="3"/>
        <v>0</v>
      </c>
      <c r="M52" s="51">
        <f t="shared" si="4"/>
        <v>0</v>
      </c>
      <c r="N52" s="67"/>
    </row>
    <row r="53" ht="15.75" customHeight="1">
      <c r="A53" s="1"/>
      <c r="B53" s="69"/>
      <c r="D53" s="70"/>
      <c r="E53" s="71"/>
      <c r="F53" s="72"/>
      <c r="G53" s="19">
        <v>0.0</v>
      </c>
      <c r="H53" s="73"/>
      <c r="I53" s="51">
        <f t="shared" si="1"/>
        <v>0</v>
      </c>
      <c r="J53" s="10"/>
      <c r="K53" s="51">
        <f t="shared" si="2"/>
        <v>0</v>
      </c>
      <c r="L53" s="8">
        <f t="shared" si="3"/>
        <v>0</v>
      </c>
      <c r="M53" s="51">
        <f t="shared" si="4"/>
        <v>0</v>
      </c>
      <c r="N53" s="67"/>
    </row>
    <row r="54" ht="15.75" customHeight="1">
      <c r="A54" s="1"/>
      <c r="B54" s="69"/>
      <c r="D54" s="70"/>
      <c r="E54" s="71"/>
      <c r="F54" s="72"/>
      <c r="G54" s="19">
        <v>0.0</v>
      </c>
      <c r="H54" s="73"/>
      <c r="I54" s="51">
        <f t="shared" si="1"/>
        <v>0</v>
      </c>
      <c r="J54" s="10"/>
      <c r="K54" s="51">
        <f t="shared" si="2"/>
        <v>0</v>
      </c>
      <c r="L54" s="8">
        <f t="shared" si="3"/>
        <v>0</v>
      </c>
      <c r="M54" s="51">
        <f t="shared" si="4"/>
        <v>0</v>
      </c>
      <c r="N54" s="67"/>
    </row>
    <row r="55" ht="15.75" customHeight="1">
      <c r="A55" s="1"/>
      <c r="B55" s="69"/>
      <c r="D55" s="70"/>
      <c r="E55" s="71"/>
      <c r="F55" s="72"/>
      <c r="G55" s="19">
        <v>0.0</v>
      </c>
      <c r="H55" s="73"/>
      <c r="I55" s="51">
        <f t="shared" si="1"/>
        <v>0</v>
      </c>
      <c r="J55" s="10"/>
      <c r="K55" s="51">
        <f t="shared" si="2"/>
        <v>0</v>
      </c>
      <c r="L55" s="8">
        <f t="shared" si="3"/>
        <v>0</v>
      </c>
      <c r="M55" s="51">
        <f t="shared" si="4"/>
        <v>0</v>
      </c>
      <c r="N55" s="67"/>
    </row>
    <row r="56" ht="15.75" customHeight="1">
      <c r="A56" s="1"/>
      <c r="B56" s="69"/>
      <c r="D56" s="70"/>
      <c r="E56" s="71"/>
      <c r="F56" s="72"/>
      <c r="G56" s="19">
        <v>0.0</v>
      </c>
      <c r="H56" s="73"/>
      <c r="I56" s="51">
        <f t="shared" si="1"/>
        <v>0</v>
      </c>
      <c r="J56" s="10"/>
      <c r="K56" s="51">
        <f t="shared" si="2"/>
        <v>0</v>
      </c>
      <c r="L56" s="8">
        <f t="shared" si="3"/>
        <v>0</v>
      </c>
      <c r="M56" s="51">
        <f t="shared" si="4"/>
        <v>0</v>
      </c>
      <c r="N56" s="67"/>
    </row>
    <row r="57" ht="15.75" customHeight="1">
      <c r="A57" s="1"/>
      <c r="B57" s="69"/>
      <c r="D57" s="70"/>
      <c r="E57" s="71"/>
      <c r="F57" s="72"/>
      <c r="G57" s="19">
        <v>0.0</v>
      </c>
      <c r="H57" s="73"/>
      <c r="I57" s="51">
        <f t="shared" si="1"/>
        <v>0</v>
      </c>
      <c r="J57" s="10"/>
      <c r="K57" s="51">
        <f t="shared" si="2"/>
        <v>0</v>
      </c>
      <c r="L57" s="8">
        <f t="shared" si="3"/>
        <v>0</v>
      </c>
      <c r="M57" s="51">
        <f t="shared" si="4"/>
        <v>0</v>
      </c>
      <c r="N57" s="67"/>
    </row>
    <row r="58" ht="15.75" customHeight="1">
      <c r="A58" s="1"/>
      <c r="B58" s="69"/>
      <c r="D58" s="70"/>
      <c r="E58" s="71"/>
      <c r="F58" s="72"/>
      <c r="G58" s="19">
        <v>0.0</v>
      </c>
      <c r="H58" s="73"/>
      <c r="I58" s="51">
        <f t="shared" si="1"/>
        <v>0</v>
      </c>
      <c r="J58" s="10"/>
      <c r="K58" s="51">
        <f t="shared" si="2"/>
        <v>0</v>
      </c>
      <c r="L58" s="8">
        <f t="shared" si="3"/>
        <v>0</v>
      </c>
      <c r="M58" s="51">
        <f t="shared" si="4"/>
        <v>0</v>
      </c>
      <c r="N58" s="67"/>
    </row>
    <row r="59" ht="15.75" customHeight="1">
      <c r="A59" s="1"/>
      <c r="B59" s="69"/>
      <c r="D59" s="70"/>
      <c r="E59" s="71"/>
      <c r="F59" s="72"/>
      <c r="G59" s="19">
        <v>0.0</v>
      </c>
      <c r="H59" s="73"/>
      <c r="I59" s="51">
        <f t="shared" si="1"/>
        <v>0</v>
      </c>
      <c r="J59" s="10"/>
      <c r="K59" s="51">
        <f t="shared" si="2"/>
        <v>0</v>
      </c>
      <c r="L59" s="8">
        <f t="shared" si="3"/>
        <v>0</v>
      </c>
      <c r="M59" s="51">
        <f t="shared" si="4"/>
        <v>0</v>
      </c>
      <c r="N59" s="67"/>
    </row>
    <row r="60" ht="15.75" customHeight="1">
      <c r="A60" s="1"/>
      <c r="B60" s="69"/>
      <c r="D60" s="70"/>
      <c r="E60" s="71"/>
      <c r="F60" s="72"/>
      <c r="G60" s="19">
        <v>0.0</v>
      </c>
      <c r="H60" s="73"/>
      <c r="I60" s="51">
        <f t="shared" si="1"/>
        <v>0</v>
      </c>
      <c r="J60" s="10"/>
      <c r="K60" s="51">
        <f t="shared" si="2"/>
        <v>0</v>
      </c>
      <c r="L60" s="8">
        <f t="shared" si="3"/>
        <v>0</v>
      </c>
      <c r="M60" s="51">
        <f t="shared" si="4"/>
        <v>0</v>
      </c>
      <c r="N60" s="67"/>
    </row>
    <row r="61" ht="15.75" customHeight="1">
      <c r="A61" s="1"/>
      <c r="B61" s="69"/>
      <c r="D61" s="70"/>
      <c r="E61" s="71"/>
      <c r="F61" s="72"/>
      <c r="G61" s="19">
        <v>0.0</v>
      </c>
      <c r="H61" s="73"/>
      <c r="I61" s="51">
        <f t="shared" si="1"/>
        <v>0</v>
      </c>
      <c r="J61" s="10"/>
      <c r="K61" s="51">
        <f t="shared" si="2"/>
        <v>0</v>
      </c>
      <c r="L61" s="8">
        <f t="shared" si="3"/>
        <v>0</v>
      </c>
      <c r="M61" s="51">
        <f t="shared" si="4"/>
        <v>0</v>
      </c>
      <c r="N61" s="67"/>
    </row>
    <row r="62" ht="15.75" customHeight="1">
      <c r="A62" s="1"/>
      <c r="B62" s="69"/>
      <c r="D62" s="70"/>
      <c r="E62" s="71"/>
      <c r="F62" s="72"/>
      <c r="G62" s="19">
        <v>0.0</v>
      </c>
      <c r="H62" s="73"/>
      <c r="I62" s="51">
        <f t="shared" si="1"/>
        <v>0</v>
      </c>
      <c r="J62" s="74"/>
      <c r="K62" s="51">
        <f t="shared" si="2"/>
        <v>0</v>
      </c>
      <c r="L62" s="8">
        <f t="shared" si="3"/>
        <v>0</v>
      </c>
      <c r="M62" s="51">
        <f t="shared" si="4"/>
        <v>0</v>
      </c>
      <c r="N62" s="67"/>
    </row>
    <row r="63" ht="15.75" customHeight="1">
      <c r="A63" s="1"/>
      <c r="B63" s="69"/>
      <c r="D63" s="70"/>
      <c r="E63" s="71"/>
      <c r="F63" s="72"/>
      <c r="G63" s="19">
        <v>0.0</v>
      </c>
      <c r="H63" s="73"/>
      <c r="I63" s="51">
        <f t="shared" si="1"/>
        <v>0</v>
      </c>
      <c r="J63" s="74"/>
      <c r="K63" s="51">
        <f t="shared" si="2"/>
        <v>0</v>
      </c>
      <c r="L63" s="8">
        <f t="shared" si="3"/>
        <v>0</v>
      </c>
      <c r="M63" s="51">
        <f t="shared" si="4"/>
        <v>0</v>
      </c>
      <c r="N63" s="67"/>
    </row>
    <row r="64" ht="15.75" customHeight="1">
      <c r="A64" s="1"/>
      <c r="B64" s="69"/>
      <c r="D64" s="70"/>
      <c r="E64" s="71"/>
      <c r="F64" s="72"/>
      <c r="G64" s="19">
        <v>0.0</v>
      </c>
      <c r="H64" s="73"/>
      <c r="I64" s="51">
        <f t="shared" si="1"/>
        <v>0</v>
      </c>
      <c r="J64" s="74"/>
      <c r="K64" s="51">
        <f t="shared" si="2"/>
        <v>0</v>
      </c>
      <c r="L64" s="8">
        <f t="shared" si="3"/>
        <v>0</v>
      </c>
      <c r="M64" s="51">
        <f t="shared" si="4"/>
        <v>0</v>
      </c>
      <c r="N64" s="67"/>
    </row>
    <row r="65" ht="15.75" customHeight="1">
      <c r="A65" s="1"/>
      <c r="B65" s="69"/>
      <c r="D65" s="70"/>
      <c r="E65" s="71"/>
      <c r="F65" s="72"/>
      <c r="G65" s="19">
        <v>0.0</v>
      </c>
      <c r="H65" s="73"/>
      <c r="I65" s="51">
        <f t="shared" si="1"/>
        <v>0</v>
      </c>
      <c r="J65" s="74"/>
      <c r="K65" s="51">
        <f t="shared" si="2"/>
        <v>0</v>
      </c>
      <c r="L65" s="8">
        <f t="shared" si="3"/>
        <v>0</v>
      </c>
      <c r="M65" s="51">
        <f t="shared" si="4"/>
        <v>0</v>
      </c>
      <c r="N65" s="67"/>
    </row>
    <row r="66" ht="15.75" customHeight="1">
      <c r="A66" s="1"/>
      <c r="B66" s="69"/>
      <c r="D66" s="70"/>
      <c r="E66" s="71"/>
      <c r="F66" s="72"/>
      <c r="G66" s="19">
        <v>0.0</v>
      </c>
      <c r="H66" s="73"/>
      <c r="I66" s="51">
        <f t="shared" si="1"/>
        <v>0</v>
      </c>
      <c r="J66" s="74"/>
      <c r="K66" s="51">
        <f t="shared" si="2"/>
        <v>0</v>
      </c>
      <c r="L66" s="8">
        <f t="shared" si="3"/>
        <v>0</v>
      </c>
      <c r="M66" s="51">
        <f t="shared" si="4"/>
        <v>0</v>
      </c>
      <c r="N66" s="67"/>
    </row>
    <row r="67" ht="15.75" customHeight="1">
      <c r="A67" s="1"/>
      <c r="B67" s="69"/>
      <c r="D67" s="70"/>
      <c r="E67" s="71"/>
      <c r="F67" s="72"/>
      <c r="G67" s="19">
        <v>0.0</v>
      </c>
      <c r="H67" s="73"/>
      <c r="I67" s="51">
        <f t="shared" si="1"/>
        <v>0</v>
      </c>
      <c r="J67" s="74"/>
      <c r="K67" s="51">
        <f t="shared" si="2"/>
        <v>0</v>
      </c>
      <c r="L67" s="8">
        <f t="shared" si="3"/>
        <v>0</v>
      </c>
      <c r="M67" s="51">
        <f t="shared" si="4"/>
        <v>0</v>
      </c>
      <c r="N67" s="67"/>
    </row>
    <row r="68" ht="15.75" customHeight="1">
      <c r="A68" s="1"/>
      <c r="B68" s="69"/>
      <c r="D68" s="70"/>
      <c r="E68" s="71"/>
      <c r="F68" s="72"/>
      <c r="G68" s="19">
        <v>0.0</v>
      </c>
      <c r="H68" s="73"/>
      <c r="I68" s="51">
        <f t="shared" si="1"/>
        <v>0</v>
      </c>
      <c r="J68" s="74"/>
      <c r="K68" s="51">
        <f t="shared" si="2"/>
        <v>0</v>
      </c>
      <c r="L68" s="8">
        <f t="shared" si="3"/>
        <v>0</v>
      </c>
      <c r="M68" s="51">
        <f t="shared" si="4"/>
        <v>0</v>
      </c>
      <c r="N68" s="67"/>
    </row>
    <row r="69" ht="15.75" customHeight="1">
      <c r="A69" s="1"/>
      <c r="B69" s="69"/>
      <c r="D69" s="70"/>
      <c r="E69" s="71"/>
      <c r="F69" s="72"/>
      <c r="G69" s="19">
        <v>0.0</v>
      </c>
      <c r="H69" s="73"/>
      <c r="I69" s="51">
        <f t="shared" si="1"/>
        <v>0</v>
      </c>
      <c r="J69" s="74"/>
      <c r="K69" s="51">
        <f t="shared" si="2"/>
        <v>0</v>
      </c>
      <c r="L69" s="8">
        <f t="shared" si="3"/>
        <v>0</v>
      </c>
      <c r="M69" s="51">
        <f t="shared" si="4"/>
        <v>0</v>
      </c>
      <c r="N69" s="67"/>
    </row>
    <row r="70" ht="15.75" customHeight="1">
      <c r="A70" s="1"/>
      <c r="B70" s="69"/>
      <c r="D70" s="70"/>
      <c r="E70" s="71"/>
      <c r="F70" s="72"/>
      <c r="G70" s="19">
        <v>0.0</v>
      </c>
      <c r="H70" s="73"/>
      <c r="I70" s="51">
        <f t="shared" si="1"/>
        <v>0</v>
      </c>
      <c r="J70" s="74"/>
      <c r="K70" s="51">
        <f t="shared" si="2"/>
        <v>0</v>
      </c>
      <c r="L70" s="8">
        <f t="shared" si="3"/>
        <v>0</v>
      </c>
      <c r="M70" s="51">
        <f t="shared" si="4"/>
        <v>0</v>
      </c>
      <c r="N70" s="67"/>
    </row>
    <row r="71" ht="15.75" customHeight="1">
      <c r="A71" s="1"/>
      <c r="B71" s="69"/>
      <c r="D71" s="70"/>
      <c r="E71" s="71"/>
      <c r="F71" s="72"/>
      <c r="G71" s="19">
        <v>0.0</v>
      </c>
      <c r="H71" s="73"/>
      <c r="I71" s="51">
        <f t="shared" si="1"/>
        <v>0</v>
      </c>
      <c r="J71" s="74"/>
      <c r="K71" s="51">
        <f t="shared" si="2"/>
        <v>0</v>
      </c>
      <c r="L71" s="8">
        <f t="shared" si="3"/>
        <v>0</v>
      </c>
      <c r="M71" s="51">
        <f t="shared" si="4"/>
        <v>0</v>
      </c>
      <c r="N71" s="67"/>
    </row>
    <row r="72" ht="15.75" customHeight="1">
      <c r="A72" s="1"/>
      <c r="B72" s="69"/>
      <c r="D72" s="70"/>
      <c r="E72" s="71"/>
      <c r="F72" s="72"/>
      <c r="G72" s="19">
        <v>0.0</v>
      </c>
      <c r="H72" s="73"/>
      <c r="I72" s="51">
        <f t="shared" si="1"/>
        <v>0</v>
      </c>
      <c r="J72" s="74"/>
      <c r="K72" s="51">
        <f t="shared" si="2"/>
        <v>0</v>
      </c>
      <c r="L72" s="8">
        <f t="shared" si="3"/>
        <v>0</v>
      </c>
      <c r="M72" s="51">
        <f t="shared" si="4"/>
        <v>0</v>
      </c>
      <c r="N72" s="67"/>
    </row>
    <row r="73" ht="15.75" customHeight="1">
      <c r="A73" s="1"/>
      <c r="B73" s="69"/>
      <c r="D73" s="70"/>
      <c r="E73" s="71"/>
      <c r="F73" s="72"/>
      <c r="G73" s="19">
        <v>0.0</v>
      </c>
      <c r="H73" s="73"/>
      <c r="I73" s="51">
        <f t="shared" si="1"/>
        <v>0</v>
      </c>
      <c r="J73" s="74"/>
      <c r="K73" s="51">
        <f t="shared" si="2"/>
        <v>0</v>
      </c>
      <c r="L73" s="8">
        <f t="shared" si="3"/>
        <v>0</v>
      </c>
      <c r="M73" s="51">
        <f t="shared" si="4"/>
        <v>0</v>
      </c>
      <c r="N73" s="67"/>
    </row>
    <row r="74" ht="15.75" customHeight="1">
      <c r="A74" s="1"/>
      <c r="B74" s="69"/>
      <c r="D74" s="70"/>
      <c r="E74" s="71"/>
      <c r="F74" s="72"/>
      <c r="G74" s="19">
        <v>0.0</v>
      </c>
      <c r="H74" s="73"/>
      <c r="I74" s="51">
        <f t="shared" si="1"/>
        <v>0</v>
      </c>
      <c r="J74" s="74"/>
      <c r="K74" s="51">
        <f t="shared" si="2"/>
        <v>0</v>
      </c>
      <c r="L74" s="8">
        <f t="shared" si="3"/>
        <v>0</v>
      </c>
      <c r="M74" s="51">
        <f t="shared" si="4"/>
        <v>0</v>
      </c>
      <c r="N74" s="67"/>
    </row>
    <row r="75" ht="15.75" customHeight="1">
      <c r="A75" s="1"/>
      <c r="B75" s="69"/>
      <c r="D75" s="70"/>
      <c r="E75" s="71"/>
      <c r="F75" s="72"/>
      <c r="G75" s="19">
        <v>0.0</v>
      </c>
      <c r="H75" s="73"/>
      <c r="I75" s="51">
        <f t="shared" si="1"/>
        <v>0</v>
      </c>
      <c r="J75" s="74"/>
      <c r="K75" s="51">
        <f t="shared" si="2"/>
        <v>0</v>
      </c>
      <c r="L75" s="8">
        <f t="shared" si="3"/>
        <v>0</v>
      </c>
      <c r="M75" s="51">
        <f t="shared" si="4"/>
        <v>0</v>
      </c>
      <c r="N75" s="67"/>
    </row>
    <row r="76" ht="15.75" customHeight="1">
      <c r="A76" s="1"/>
      <c r="B76" s="69"/>
      <c r="D76" s="70"/>
      <c r="E76" s="71"/>
      <c r="F76" s="72"/>
      <c r="G76" s="19">
        <v>0.0</v>
      </c>
      <c r="H76" s="73"/>
      <c r="I76" s="51">
        <f t="shared" si="1"/>
        <v>0</v>
      </c>
      <c r="J76" s="74"/>
      <c r="K76" s="51">
        <f t="shared" si="2"/>
        <v>0</v>
      </c>
      <c r="L76" s="8">
        <f t="shared" si="3"/>
        <v>0</v>
      </c>
      <c r="M76" s="51">
        <f t="shared" si="4"/>
        <v>0</v>
      </c>
      <c r="N76" s="67"/>
    </row>
    <row r="77" ht="15.75" customHeight="1">
      <c r="A77" s="1"/>
      <c r="B77" s="69"/>
      <c r="D77" s="70"/>
      <c r="E77" s="71"/>
      <c r="F77" s="72"/>
      <c r="G77" s="19">
        <v>0.0</v>
      </c>
      <c r="H77" s="73"/>
      <c r="I77" s="51">
        <f t="shared" si="1"/>
        <v>0</v>
      </c>
      <c r="J77" s="74"/>
      <c r="K77" s="51">
        <f t="shared" si="2"/>
        <v>0</v>
      </c>
      <c r="L77" s="8">
        <f t="shared" si="3"/>
        <v>0</v>
      </c>
      <c r="M77" s="51">
        <f t="shared" si="4"/>
        <v>0</v>
      </c>
      <c r="N77" s="67"/>
    </row>
    <row r="78" ht="15.75" customHeight="1">
      <c r="A78" s="1"/>
      <c r="B78" s="69"/>
      <c r="D78" s="70"/>
      <c r="E78" s="71"/>
      <c r="F78" s="72"/>
      <c r="G78" s="19">
        <v>0.0</v>
      </c>
      <c r="H78" s="73"/>
      <c r="I78" s="51">
        <f t="shared" si="1"/>
        <v>0</v>
      </c>
      <c r="J78" s="74"/>
      <c r="K78" s="51">
        <f t="shared" si="2"/>
        <v>0</v>
      </c>
      <c r="L78" s="8">
        <f t="shared" si="3"/>
        <v>0</v>
      </c>
      <c r="M78" s="51">
        <f t="shared" si="4"/>
        <v>0</v>
      </c>
      <c r="N78" s="67"/>
    </row>
    <row r="79" ht="15.75" customHeight="1">
      <c r="A79" s="1"/>
      <c r="B79" s="69"/>
      <c r="D79" s="70"/>
      <c r="E79" s="71"/>
      <c r="F79" s="72"/>
      <c r="G79" s="19">
        <v>0.0</v>
      </c>
      <c r="H79" s="73"/>
      <c r="I79" s="51">
        <f t="shared" si="1"/>
        <v>0</v>
      </c>
      <c r="J79" s="74"/>
      <c r="K79" s="51">
        <f t="shared" si="2"/>
        <v>0</v>
      </c>
      <c r="L79" s="8">
        <f t="shared" si="3"/>
        <v>0</v>
      </c>
      <c r="M79" s="51">
        <f t="shared" si="4"/>
        <v>0</v>
      </c>
      <c r="N79" s="67"/>
    </row>
    <row r="80" ht="15.75" customHeight="1">
      <c r="A80" s="1"/>
      <c r="B80" s="69"/>
      <c r="D80" s="70"/>
      <c r="E80" s="71"/>
      <c r="F80" s="72"/>
      <c r="G80" s="19">
        <v>0.0</v>
      </c>
      <c r="H80" s="73"/>
      <c r="I80" s="51">
        <f t="shared" si="1"/>
        <v>0</v>
      </c>
      <c r="J80" s="74"/>
      <c r="K80" s="51">
        <f t="shared" si="2"/>
        <v>0</v>
      </c>
      <c r="L80" s="8">
        <f t="shared" si="3"/>
        <v>0</v>
      </c>
      <c r="M80" s="51">
        <f t="shared" si="4"/>
        <v>0</v>
      </c>
      <c r="N80" s="67"/>
    </row>
    <row r="81" ht="15.75" customHeight="1">
      <c r="A81" s="1"/>
      <c r="B81" s="69"/>
      <c r="D81" s="70"/>
      <c r="E81" s="71"/>
      <c r="F81" s="72"/>
      <c r="G81" s="19">
        <v>0.0</v>
      </c>
      <c r="H81" s="73"/>
      <c r="I81" s="51">
        <f t="shared" si="1"/>
        <v>0</v>
      </c>
      <c r="J81" s="74"/>
      <c r="K81" s="51">
        <f t="shared" si="2"/>
        <v>0</v>
      </c>
      <c r="L81" s="8">
        <f t="shared" si="3"/>
        <v>0</v>
      </c>
      <c r="M81" s="51">
        <f t="shared" si="4"/>
        <v>0</v>
      </c>
      <c r="N81" s="67"/>
    </row>
    <row r="82" ht="15.75" customHeight="1">
      <c r="A82" s="1"/>
      <c r="B82" s="69"/>
      <c r="D82" s="70"/>
      <c r="E82" s="71"/>
      <c r="F82" s="72"/>
      <c r="G82" s="19">
        <v>0.0</v>
      </c>
      <c r="H82" s="73"/>
      <c r="I82" s="51">
        <f t="shared" si="1"/>
        <v>0</v>
      </c>
      <c r="J82" s="74"/>
      <c r="K82" s="51">
        <f t="shared" si="2"/>
        <v>0</v>
      </c>
      <c r="L82" s="8">
        <f t="shared" si="3"/>
        <v>0</v>
      </c>
      <c r="M82" s="51">
        <f t="shared" si="4"/>
        <v>0</v>
      </c>
      <c r="N82" s="67"/>
    </row>
    <row r="83" ht="15.75" customHeight="1">
      <c r="A83" s="1"/>
      <c r="B83" s="69"/>
      <c r="D83" s="70"/>
      <c r="E83" s="71"/>
      <c r="F83" s="72"/>
      <c r="G83" s="19">
        <v>0.0</v>
      </c>
      <c r="H83" s="73"/>
      <c r="I83" s="51">
        <f t="shared" si="1"/>
        <v>0</v>
      </c>
      <c r="J83" s="74"/>
      <c r="K83" s="51">
        <f t="shared" si="2"/>
        <v>0</v>
      </c>
      <c r="L83" s="8">
        <f t="shared" si="3"/>
        <v>0</v>
      </c>
      <c r="M83" s="51">
        <f t="shared" si="4"/>
        <v>0</v>
      </c>
      <c r="N83" s="67"/>
    </row>
    <row r="84" ht="15.75" customHeight="1">
      <c r="A84" s="1"/>
      <c r="B84" s="69"/>
      <c r="D84" s="70"/>
      <c r="E84" s="71"/>
      <c r="F84" s="72"/>
      <c r="G84" s="19">
        <v>0.0</v>
      </c>
      <c r="H84" s="73"/>
      <c r="I84" s="51">
        <f t="shared" si="1"/>
        <v>0</v>
      </c>
      <c r="J84" s="74"/>
      <c r="K84" s="51">
        <f t="shared" si="2"/>
        <v>0</v>
      </c>
      <c r="L84" s="8">
        <f t="shared" si="3"/>
        <v>0</v>
      </c>
      <c r="M84" s="51">
        <f t="shared" si="4"/>
        <v>0</v>
      </c>
      <c r="N84" s="67"/>
    </row>
    <row r="85" ht="15.75" customHeight="1">
      <c r="A85" s="1"/>
      <c r="B85" s="69"/>
      <c r="D85" s="70"/>
      <c r="E85" s="71"/>
      <c r="F85" s="72"/>
      <c r="G85" s="19">
        <v>0.0</v>
      </c>
      <c r="H85" s="73"/>
      <c r="I85" s="51">
        <f t="shared" si="1"/>
        <v>0</v>
      </c>
      <c r="J85" s="74"/>
      <c r="K85" s="51">
        <f t="shared" si="2"/>
        <v>0</v>
      </c>
      <c r="L85" s="8">
        <f t="shared" si="3"/>
        <v>0</v>
      </c>
      <c r="M85" s="51">
        <f t="shared" si="4"/>
        <v>0</v>
      </c>
      <c r="N85" s="67"/>
    </row>
    <row r="86" ht="15.75" customHeight="1">
      <c r="A86" s="1"/>
      <c r="B86" s="69"/>
      <c r="D86" s="70"/>
      <c r="E86" s="71"/>
      <c r="F86" s="72"/>
      <c r="G86" s="19">
        <v>0.0</v>
      </c>
      <c r="H86" s="73"/>
      <c r="I86" s="51">
        <f t="shared" si="1"/>
        <v>0</v>
      </c>
      <c r="J86" s="74"/>
      <c r="K86" s="51">
        <f t="shared" si="2"/>
        <v>0</v>
      </c>
      <c r="L86" s="8">
        <f t="shared" si="3"/>
        <v>0</v>
      </c>
      <c r="M86" s="51">
        <f t="shared" si="4"/>
        <v>0</v>
      </c>
      <c r="N86" s="67"/>
    </row>
    <row r="87" ht="15.75" customHeight="1">
      <c r="A87" s="1"/>
      <c r="B87" s="69"/>
      <c r="D87" s="70"/>
      <c r="E87" s="71"/>
      <c r="F87" s="72"/>
      <c r="G87" s="19">
        <v>0.0</v>
      </c>
      <c r="H87" s="73"/>
      <c r="I87" s="51">
        <f t="shared" si="1"/>
        <v>0</v>
      </c>
      <c r="J87" s="74"/>
      <c r="K87" s="51">
        <f t="shared" si="2"/>
        <v>0</v>
      </c>
      <c r="L87" s="8">
        <f t="shared" si="3"/>
        <v>0</v>
      </c>
      <c r="M87" s="51">
        <f t="shared" si="4"/>
        <v>0</v>
      </c>
      <c r="N87" s="67"/>
    </row>
    <row r="88" ht="15.75" customHeight="1">
      <c r="A88" s="1"/>
      <c r="B88" s="69"/>
      <c r="D88" s="70"/>
      <c r="E88" s="71"/>
      <c r="F88" s="72"/>
      <c r="G88" s="19">
        <v>0.0</v>
      </c>
      <c r="H88" s="73"/>
      <c r="I88" s="51">
        <f t="shared" si="1"/>
        <v>0</v>
      </c>
      <c r="J88" s="74"/>
      <c r="K88" s="51">
        <f t="shared" si="2"/>
        <v>0</v>
      </c>
      <c r="L88" s="8">
        <f t="shared" si="3"/>
        <v>0</v>
      </c>
      <c r="M88" s="51">
        <f t="shared" si="4"/>
        <v>0</v>
      </c>
      <c r="N88" s="67"/>
    </row>
    <row r="89" ht="15.75" customHeight="1">
      <c r="A89" s="1"/>
      <c r="B89" s="69"/>
      <c r="D89" s="70"/>
      <c r="E89" s="71"/>
      <c r="F89" s="72"/>
      <c r="G89" s="19">
        <v>0.0</v>
      </c>
      <c r="H89" s="73"/>
      <c r="I89" s="51">
        <f t="shared" si="1"/>
        <v>0</v>
      </c>
      <c r="J89" s="74"/>
      <c r="K89" s="51">
        <f t="shared" si="2"/>
        <v>0</v>
      </c>
      <c r="L89" s="8">
        <f t="shared" si="3"/>
        <v>0</v>
      </c>
      <c r="M89" s="51">
        <f t="shared" si="4"/>
        <v>0</v>
      </c>
      <c r="N89" s="67"/>
    </row>
    <row r="90" ht="15.75" customHeight="1">
      <c r="A90" s="1"/>
      <c r="B90" s="69"/>
      <c r="D90" s="70"/>
      <c r="E90" s="71"/>
      <c r="F90" s="72"/>
      <c r="G90" s="19">
        <v>0.0</v>
      </c>
      <c r="H90" s="73"/>
      <c r="I90" s="51">
        <f t="shared" si="1"/>
        <v>0</v>
      </c>
      <c r="J90" s="74"/>
      <c r="K90" s="51">
        <f t="shared" si="2"/>
        <v>0</v>
      </c>
      <c r="L90" s="8">
        <f t="shared" si="3"/>
        <v>0</v>
      </c>
      <c r="M90" s="51">
        <f t="shared" si="4"/>
        <v>0</v>
      </c>
      <c r="N90" s="67"/>
    </row>
    <row r="91" ht="15.75" customHeight="1">
      <c r="A91" s="1"/>
      <c r="B91" s="69"/>
      <c r="D91" s="70"/>
      <c r="E91" s="71"/>
      <c r="F91" s="72"/>
      <c r="G91" s="19">
        <v>0.0</v>
      </c>
      <c r="H91" s="73"/>
      <c r="I91" s="51">
        <f t="shared" si="1"/>
        <v>0</v>
      </c>
      <c r="J91" s="74"/>
      <c r="K91" s="51">
        <f t="shared" si="2"/>
        <v>0</v>
      </c>
      <c r="L91" s="8">
        <f t="shared" si="3"/>
        <v>0</v>
      </c>
      <c r="M91" s="51">
        <f t="shared" si="4"/>
        <v>0</v>
      </c>
      <c r="N91" s="67"/>
    </row>
    <row r="92" ht="15.75" customHeight="1">
      <c r="A92" s="1"/>
      <c r="B92" s="69"/>
      <c r="D92" s="70"/>
      <c r="E92" s="71"/>
      <c r="F92" s="72"/>
      <c r="G92" s="19">
        <v>0.0</v>
      </c>
      <c r="H92" s="73"/>
      <c r="I92" s="51">
        <f t="shared" si="1"/>
        <v>0</v>
      </c>
      <c r="J92" s="74"/>
      <c r="K92" s="51">
        <f t="shared" si="2"/>
        <v>0</v>
      </c>
      <c r="L92" s="8">
        <f t="shared" si="3"/>
        <v>0</v>
      </c>
      <c r="M92" s="51">
        <f t="shared" si="4"/>
        <v>0</v>
      </c>
      <c r="N92" s="67"/>
    </row>
    <row r="93" ht="15.75" customHeight="1">
      <c r="A93" s="1"/>
      <c r="B93" s="69"/>
      <c r="D93" s="70"/>
      <c r="E93" s="71"/>
      <c r="F93" s="72"/>
      <c r="G93" s="19">
        <v>0.0</v>
      </c>
      <c r="H93" s="73"/>
      <c r="I93" s="51">
        <f t="shared" si="1"/>
        <v>0</v>
      </c>
      <c r="J93" s="74"/>
      <c r="K93" s="51">
        <f t="shared" si="2"/>
        <v>0</v>
      </c>
      <c r="L93" s="8">
        <f t="shared" si="3"/>
        <v>0</v>
      </c>
      <c r="M93" s="51">
        <f t="shared" si="4"/>
        <v>0</v>
      </c>
      <c r="N93" s="67"/>
    </row>
    <row r="94" ht="15.75" customHeight="1">
      <c r="A94" s="1"/>
      <c r="B94" s="69"/>
      <c r="D94" s="70"/>
      <c r="E94" s="71"/>
      <c r="F94" s="72"/>
      <c r="G94" s="19">
        <v>0.0</v>
      </c>
      <c r="H94" s="73"/>
      <c r="I94" s="51">
        <f t="shared" si="1"/>
        <v>0</v>
      </c>
      <c r="J94" s="74"/>
      <c r="K94" s="51">
        <f t="shared" si="2"/>
        <v>0</v>
      </c>
      <c r="L94" s="8">
        <f t="shared" si="3"/>
        <v>0</v>
      </c>
      <c r="M94" s="51">
        <f t="shared" si="4"/>
        <v>0</v>
      </c>
      <c r="N94" s="67"/>
    </row>
    <row r="95" ht="15.75" customHeight="1">
      <c r="A95" s="1"/>
      <c r="B95" s="69"/>
      <c r="D95" s="70"/>
      <c r="E95" s="71"/>
      <c r="F95" s="72"/>
      <c r="G95" s="19">
        <v>0.0</v>
      </c>
      <c r="H95" s="73"/>
      <c r="I95" s="51">
        <f t="shared" si="1"/>
        <v>0</v>
      </c>
      <c r="J95" s="74"/>
      <c r="K95" s="51">
        <f t="shared" si="2"/>
        <v>0</v>
      </c>
      <c r="L95" s="8">
        <f t="shared" si="3"/>
        <v>0</v>
      </c>
      <c r="M95" s="51">
        <f t="shared" si="4"/>
        <v>0</v>
      </c>
      <c r="N95" s="67"/>
    </row>
    <row r="96" ht="15.75" customHeight="1">
      <c r="A96" s="1"/>
      <c r="B96" s="69"/>
      <c r="D96" s="70"/>
      <c r="E96" s="71"/>
      <c r="F96" s="72"/>
      <c r="G96" s="19">
        <v>0.0</v>
      </c>
      <c r="H96" s="73"/>
      <c r="I96" s="51">
        <f t="shared" si="1"/>
        <v>0</v>
      </c>
      <c r="J96" s="74"/>
      <c r="K96" s="51">
        <f t="shared" si="2"/>
        <v>0</v>
      </c>
      <c r="L96" s="8">
        <f t="shared" si="3"/>
        <v>0</v>
      </c>
      <c r="M96" s="51">
        <f t="shared" si="4"/>
        <v>0</v>
      </c>
      <c r="N96" s="67"/>
    </row>
    <row r="97" ht="15.75" customHeight="1">
      <c r="A97" s="1"/>
      <c r="B97" s="69"/>
      <c r="D97" s="70"/>
      <c r="E97" s="71"/>
      <c r="F97" s="72"/>
      <c r="G97" s="19">
        <v>0.0</v>
      </c>
      <c r="H97" s="73"/>
      <c r="I97" s="51">
        <f t="shared" si="1"/>
        <v>0</v>
      </c>
      <c r="J97" s="74"/>
      <c r="K97" s="51">
        <f t="shared" si="2"/>
        <v>0</v>
      </c>
      <c r="L97" s="8">
        <f t="shared" si="3"/>
        <v>0</v>
      </c>
      <c r="M97" s="51">
        <f t="shared" si="4"/>
        <v>0</v>
      </c>
      <c r="N97" s="67"/>
    </row>
    <row r="98" ht="15.75" customHeight="1">
      <c r="A98" s="1"/>
      <c r="B98" s="69"/>
      <c r="D98" s="70"/>
      <c r="E98" s="71"/>
      <c r="F98" s="72"/>
      <c r="G98" s="19">
        <v>0.0</v>
      </c>
      <c r="H98" s="73"/>
      <c r="I98" s="51">
        <f t="shared" si="1"/>
        <v>0</v>
      </c>
      <c r="J98" s="74"/>
      <c r="K98" s="51">
        <f t="shared" si="2"/>
        <v>0</v>
      </c>
      <c r="L98" s="8">
        <f t="shared" si="3"/>
        <v>0</v>
      </c>
      <c r="M98" s="51">
        <f t="shared" si="4"/>
        <v>0</v>
      </c>
      <c r="N98" s="67"/>
    </row>
    <row r="99" ht="15.75" customHeight="1">
      <c r="A99" s="1"/>
      <c r="B99" s="69"/>
      <c r="D99" s="70"/>
      <c r="E99" s="71"/>
      <c r="F99" s="72"/>
      <c r="G99" s="19">
        <v>0.0</v>
      </c>
      <c r="H99" s="73"/>
      <c r="I99" s="51">
        <f t="shared" si="1"/>
        <v>0</v>
      </c>
      <c r="J99" s="74"/>
      <c r="K99" s="51">
        <f t="shared" si="2"/>
        <v>0</v>
      </c>
      <c r="L99" s="8">
        <f t="shared" si="3"/>
        <v>0</v>
      </c>
      <c r="M99" s="51">
        <f t="shared" si="4"/>
        <v>0</v>
      </c>
      <c r="N99" s="67"/>
    </row>
    <row r="100" ht="15.75" customHeight="1">
      <c r="A100" s="1"/>
      <c r="B100" s="69"/>
      <c r="D100" s="70"/>
      <c r="E100" s="71"/>
      <c r="F100" s="72"/>
      <c r="G100" s="19">
        <v>0.0</v>
      </c>
      <c r="H100" s="73"/>
      <c r="I100" s="51">
        <f t="shared" si="1"/>
        <v>0</v>
      </c>
      <c r="J100" s="74"/>
      <c r="K100" s="51">
        <f t="shared" si="2"/>
        <v>0</v>
      </c>
      <c r="L100" s="8">
        <f t="shared" si="3"/>
        <v>0</v>
      </c>
      <c r="M100" s="51">
        <f t="shared" si="4"/>
        <v>0</v>
      </c>
      <c r="N100" s="67"/>
    </row>
    <row r="101" ht="15.75" customHeight="1">
      <c r="A101" s="1"/>
      <c r="B101" s="69"/>
      <c r="D101" s="70"/>
      <c r="E101" s="71"/>
      <c r="F101" s="72"/>
      <c r="G101" s="19">
        <v>0.0</v>
      </c>
      <c r="H101" s="73"/>
      <c r="I101" s="51">
        <f t="shared" si="1"/>
        <v>0</v>
      </c>
      <c r="J101" s="74"/>
      <c r="K101" s="51">
        <f t="shared" si="2"/>
        <v>0</v>
      </c>
      <c r="L101" s="8">
        <f t="shared" si="3"/>
        <v>0</v>
      </c>
      <c r="M101" s="51">
        <f t="shared" si="4"/>
        <v>0</v>
      </c>
      <c r="N101" s="67"/>
    </row>
    <row r="102" ht="15.75" customHeight="1">
      <c r="A102" s="1"/>
      <c r="B102" s="69"/>
      <c r="D102" s="70"/>
      <c r="E102" s="71"/>
      <c r="F102" s="72"/>
      <c r="G102" s="19">
        <v>0.0</v>
      </c>
      <c r="H102" s="73"/>
      <c r="I102" s="51">
        <f t="shared" si="1"/>
        <v>0</v>
      </c>
      <c r="J102" s="74"/>
      <c r="K102" s="51">
        <f t="shared" si="2"/>
        <v>0</v>
      </c>
      <c r="L102" s="8">
        <f t="shared" si="3"/>
        <v>0</v>
      </c>
      <c r="M102" s="51">
        <f t="shared" si="4"/>
        <v>0</v>
      </c>
      <c r="N102" s="67"/>
    </row>
    <row r="103" ht="15.75" customHeight="1">
      <c r="A103" s="1"/>
      <c r="B103" s="69"/>
      <c r="D103" s="70"/>
      <c r="E103" s="71"/>
      <c r="F103" s="72"/>
      <c r="G103" s="19">
        <v>0.0</v>
      </c>
      <c r="H103" s="73"/>
      <c r="I103" s="51">
        <f t="shared" si="1"/>
        <v>0</v>
      </c>
      <c r="J103" s="74"/>
      <c r="K103" s="51">
        <f t="shared" si="2"/>
        <v>0</v>
      </c>
      <c r="L103" s="8">
        <f t="shared" si="3"/>
        <v>0</v>
      </c>
      <c r="M103" s="51">
        <f t="shared" si="4"/>
        <v>0</v>
      </c>
      <c r="N103" s="67"/>
    </row>
    <row r="104" ht="15.75" customHeight="1">
      <c r="A104" s="1"/>
      <c r="B104" s="69"/>
      <c r="D104" s="70"/>
      <c r="E104" s="71"/>
      <c r="F104" s="72"/>
      <c r="G104" s="19">
        <v>0.0</v>
      </c>
      <c r="H104" s="73"/>
      <c r="I104" s="51">
        <f t="shared" si="1"/>
        <v>0</v>
      </c>
      <c r="J104" s="74"/>
      <c r="K104" s="51">
        <f t="shared" si="2"/>
        <v>0</v>
      </c>
      <c r="L104" s="8">
        <f t="shared" si="3"/>
        <v>0</v>
      </c>
      <c r="M104" s="51">
        <f t="shared" si="4"/>
        <v>0</v>
      </c>
      <c r="N104" s="67"/>
    </row>
    <row r="105" ht="15.75" customHeight="1">
      <c r="A105" s="1"/>
      <c r="B105" s="69"/>
      <c r="D105" s="70"/>
      <c r="E105" s="71"/>
      <c r="F105" s="72"/>
      <c r="G105" s="19">
        <v>0.0</v>
      </c>
      <c r="H105" s="73"/>
      <c r="I105" s="51">
        <f t="shared" si="1"/>
        <v>0</v>
      </c>
      <c r="J105" s="74"/>
      <c r="K105" s="51">
        <f t="shared" si="2"/>
        <v>0</v>
      </c>
      <c r="L105" s="8">
        <f t="shared" si="3"/>
        <v>0</v>
      </c>
      <c r="M105" s="51">
        <f t="shared" si="4"/>
        <v>0</v>
      </c>
      <c r="N105" s="67"/>
    </row>
    <row r="106" ht="15.75" customHeight="1">
      <c r="A106" s="1"/>
      <c r="B106" s="69"/>
      <c r="D106" s="70"/>
      <c r="E106" s="71"/>
      <c r="F106" s="72"/>
      <c r="G106" s="19">
        <v>0.0</v>
      </c>
      <c r="H106" s="73"/>
      <c r="I106" s="51">
        <f t="shared" si="1"/>
        <v>0</v>
      </c>
      <c r="J106" s="74"/>
      <c r="K106" s="51">
        <f t="shared" si="2"/>
        <v>0</v>
      </c>
      <c r="L106" s="8">
        <f t="shared" si="3"/>
        <v>0</v>
      </c>
      <c r="M106" s="51">
        <f t="shared" si="4"/>
        <v>0</v>
      </c>
      <c r="N106" s="67"/>
    </row>
    <row r="107" ht="15.75" customHeight="1">
      <c r="A107" s="1"/>
      <c r="B107" s="69"/>
      <c r="D107" s="70"/>
      <c r="E107" s="71"/>
      <c r="F107" s="72"/>
      <c r="G107" s="19">
        <v>0.0</v>
      </c>
      <c r="H107" s="73"/>
      <c r="I107" s="51">
        <f t="shared" si="1"/>
        <v>0</v>
      </c>
      <c r="J107" s="74"/>
      <c r="K107" s="51">
        <f t="shared" si="2"/>
        <v>0</v>
      </c>
      <c r="L107" s="8">
        <f t="shared" si="3"/>
        <v>0</v>
      </c>
      <c r="M107" s="51">
        <f t="shared" si="4"/>
        <v>0</v>
      </c>
      <c r="N107" s="67"/>
    </row>
    <row r="108" ht="15.75" customHeight="1">
      <c r="A108" s="1"/>
      <c r="B108" s="69"/>
      <c r="D108" s="70"/>
      <c r="E108" s="71"/>
      <c r="F108" s="72"/>
      <c r="G108" s="19">
        <v>0.0</v>
      </c>
      <c r="H108" s="73"/>
      <c r="I108" s="51">
        <f t="shared" si="1"/>
        <v>0</v>
      </c>
      <c r="J108" s="74"/>
      <c r="K108" s="51">
        <f t="shared" si="2"/>
        <v>0</v>
      </c>
      <c r="L108" s="8">
        <f t="shared" si="3"/>
        <v>0</v>
      </c>
      <c r="M108" s="51">
        <f t="shared" si="4"/>
        <v>0</v>
      </c>
      <c r="N108" s="67"/>
    </row>
    <row r="109" ht="15.75" customHeight="1">
      <c r="A109" s="1"/>
      <c r="B109" s="69"/>
      <c r="D109" s="70"/>
      <c r="E109" s="71"/>
      <c r="F109" s="72"/>
      <c r="G109" s="19">
        <v>0.0</v>
      </c>
      <c r="H109" s="73"/>
      <c r="I109" s="51">
        <f t="shared" si="1"/>
        <v>0</v>
      </c>
      <c r="J109" s="74"/>
      <c r="K109" s="51">
        <f t="shared" si="2"/>
        <v>0</v>
      </c>
      <c r="L109" s="8">
        <f t="shared" si="3"/>
        <v>0</v>
      </c>
      <c r="M109" s="51">
        <f t="shared" si="4"/>
        <v>0</v>
      </c>
      <c r="N109" s="67"/>
    </row>
    <row r="110" ht="15.75" customHeight="1">
      <c r="A110" s="1"/>
      <c r="B110" s="69"/>
      <c r="D110" s="70"/>
      <c r="E110" s="71"/>
      <c r="F110" s="72"/>
      <c r="G110" s="19">
        <v>0.0</v>
      </c>
      <c r="H110" s="73"/>
      <c r="I110" s="51">
        <f t="shared" si="1"/>
        <v>0</v>
      </c>
      <c r="J110" s="74"/>
      <c r="K110" s="51">
        <f t="shared" si="2"/>
        <v>0</v>
      </c>
      <c r="L110" s="8">
        <f t="shared" si="3"/>
        <v>0</v>
      </c>
      <c r="M110" s="51">
        <f t="shared" si="4"/>
        <v>0</v>
      </c>
      <c r="N110" s="67"/>
    </row>
    <row r="111" ht="15.75" customHeight="1">
      <c r="A111" s="1"/>
      <c r="B111" s="69"/>
      <c r="D111" s="70"/>
      <c r="E111" s="71"/>
      <c r="F111" s="72"/>
      <c r="G111" s="19">
        <v>0.0</v>
      </c>
      <c r="H111" s="73"/>
      <c r="I111" s="51">
        <f t="shared" si="1"/>
        <v>0</v>
      </c>
      <c r="J111" s="74"/>
      <c r="K111" s="51">
        <f t="shared" si="2"/>
        <v>0</v>
      </c>
      <c r="L111" s="8">
        <f t="shared" si="3"/>
        <v>0</v>
      </c>
      <c r="M111" s="51">
        <f t="shared" si="4"/>
        <v>0</v>
      </c>
      <c r="N111" s="67"/>
    </row>
    <row r="112" ht="15.75" customHeight="1">
      <c r="A112" s="1"/>
      <c r="B112" s="69"/>
      <c r="D112" s="70"/>
      <c r="E112" s="71"/>
      <c r="F112" s="72"/>
      <c r="G112" s="19">
        <v>0.0</v>
      </c>
      <c r="H112" s="73"/>
      <c r="I112" s="51">
        <f t="shared" si="1"/>
        <v>0</v>
      </c>
      <c r="J112" s="74"/>
      <c r="K112" s="51">
        <f t="shared" si="2"/>
        <v>0</v>
      </c>
      <c r="L112" s="8">
        <f t="shared" si="3"/>
        <v>0</v>
      </c>
      <c r="M112" s="51">
        <f t="shared" si="4"/>
        <v>0</v>
      </c>
      <c r="N112" s="67"/>
    </row>
    <row r="113" ht="15.75" customHeight="1">
      <c r="A113" s="1"/>
      <c r="B113" s="69"/>
      <c r="D113" s="70"/>
      <c r="E113" s="71"/>
      <c r="F113" s="72"/>
      <c r="G113" s="19">
        <v>0.0</v>
      </c>
      <c r="H113" s="73"/>
      <c r="I113" s="51">
        <f t="shared" si="1"/>
        <v>0</v>
      </c>
      <c r="J113" s="74"/>
      <c r="K113" s="51">
        <f t="shared" si="2"/>
        <v>0</v>
      </c>
      <c r="L113" s="8">
        <f t="shared" si="3"/>
        <v>0</v>
      </c>
      <c r="M113" s="51">
        <f t="shared" si="4"/>
        <v>0</v>
      </c>
      <c r="N113" s="67"/>
    </row>
    <row r="114" ht="15.75" customHeight="1">
      <c r="A114" s="1"/>
      <c r="B114" s="69"/>
      <c r="D114" s="70"/>
      <c r="E114" s="71"/>
      <c r="F114" s="72"/>
      <c r="G114" s="19">
        <v>0.0</v>
      </c>
      <c r="H114" s="73"/>
      <c r="I114" s="51">
        <f t="shared" si="1"/>
        <v>0</v>
      </c>
      <c r="J114" s="74"/>
      <c r="K114" s="51">
        <f t="shared" si="2"/>
        <v>0</v>
      </c>
      <c r="L114" s="8">
        <f t="shared" si="3"/>
        <v>0</v>
      </c>
      <c r="M114" s="51">
        <f t="shared" si="4"/>
        <v>0</v>
      </c>
      <c r="N114" s="67"/>
    </row>
    <row r="115" ht="15.75" customHeight="1">
      <c r="A115" s="1"/>
      <c r="B115" s="69"/>
      <c r="D115" s="70"/>
      <c r="E115" s="71"/>
      <c r="F115" s="72"/>
      <c r="G115" s="19">
        <v>0.0</v>
      </c>
      <c r="H115" s="73"/>
      <c r="I115" s="51">
        <f t="shared" si="1"/>
        <v>0</v>
      </c>
      <c r="J115" s="74"/>
      <c r="K115" s="51">
        <f t="shared" si="2"/>
        <v>0</v>
      </c>
      <c r="L115" s="8">
        <f t="shared" si="3"/>
        <v>0</v>
      </c>
      <c r="M115" s="51">
        <f t="shared" si="4"/>
        <v>0</v>
      </c>
      <c r="N115" s="67"/>
    </row>
    <row r="116" ht="15.75" customHeight="1">
      <c r="A116" s="1"/>
      <c r="B116" s="69"/>
      <c r="D116" s="70"/>
      <c r="E116" s="71"/>
      <c r="F116" s="72"/>
      <c r="G116" s="19">
        <v>0.0</v>
      </c>
      <c r="H116" s="73"/>
      <c r="I116" s="51">
        <f t="shared" si="1"/>
        <v>0</v>
      </c>
      <c r="J116" s="74"/>
      <c r="K116" s="51">
        <f t="shared" si="2"/>
        <v>0</v>
      </c>
      <c r="L116" s="8">
        <f t="shared" si="3"/>
        <v>0</v>
      </c>
      <c r="M116" s="51">
        <f t="shared" si="4"/>
        <v>0</v>
      </c>
      <c r="N116" s="67"/>
    </row>
    <row r="117" ht="15.75" customHeight="1">
      <c r="A117" s="1"/>
      <c r="B117" s="69"/>
      <c r="D117" s="70"/>
      <c r="E117" s="71"/>
      <c r="F117" s="72"/>
      <c r="G117" s="19">
        <v>0.0</v>
      </c>
      <c r="H117" s="73"/>
      <c r="I117" s="51">
        <f t="shared" si="1"/>
        <v>0</v>
      </c>
      <c r="J117" s="74"/>
      <c r="K117" s="51">
        <f t="shared" si="2"/>
        <v>0</v>
      </c>
      <c r="L117" s="8">
        <f t="shared" si="3"/>
        <v>0</v>
      </c>
      <c r="M117" s="51">
        <f t="shared" si="4"/>
        <v>0</v>
      </c>
      <c r="N117" s="67"/>
    </row>
    <row r="118" ht="15.75" customHeight="1">
      <c r="A118" s="1"/>
      <c r="B118" s="69"/>
      <c r="D118" s="70"/>
      <c r="E118" s="71"/>
      <c r="F118" s="72"/>
      <c r="G118" s="19">
        <v>0.0</v>
      </c>
      <c r="H118" s="73"/>
      <c r="I118" s="51">
        <f t="shared" si="1"/>
        <v>0</v>
      </c>
      <c r="J118" s="74"/>
      <c r="K118" s="51">
        <f t="shared" si="2"/>
        <v>0</v>
      </c>
      <c r="L118" s="8">
        <f t="shared" si="3"/>
        <v>0</v>
      </c>
      <c r="M118" s="51">
        <f t="shared" si="4"/>
        <v>0</v>
      </c>
      <c r="N118" s="67"/>
    </row>
    <row r="119" ht="15.75" customHeight="1">
      <c r="A119" s="1"/>
      <c r="B119" s="69"/>
      <c r="D119" s="70"/>
      <c r="E119" s="71"/>
      <c r="F119" s="72"/>
      <c r="G119" s="19">
        <v>0.0</v>
      </c>
      <c r="H119" s="73"/>
      <c r="I119" s="51">
        <f t="shared" si="1"/>
        <v>0</v>
      </c>
      <c r="J119" s="74"/>
      <c r="K119" s="51">
        <f t="shared" si="2"/>
        <v>0</v>
      </c>
      <c r="L119" s="8">
        <f t="shared" si="3"/>
        <v>0</v>
      </c>
      <c r="M119" s="51">
        <f t="shared" si="4"/>
        <v>0</v>
      </c>
      <c r="N119" s="67"/>
    </row>
    <row r="120" ht="15.75" customHeight="1">
      <c r="A120" s="1"/>
      <c r="B120" s="69"/>
      <c r="D120" s="70"/>
      <c r="E120" s="71"/>
      <c r="F120" s="72"/>
      <c r="G120" s="19">
        <v>0.0</v>
      </c>
      <c r="H120" s="73"/>
      <c r="I120" s="51">
        <f t="shared" si="1"/>
        <v>0</v>
      </c>
      <c r="J120" s="74"/>
      <c r="K120" s="51">
        <f t="shared" si="2"/>
        <v>0</v>
      </c>
      <c r="L120" s="8">
        <f t="shared" si="3"/>
        <v>0</v>
      </c>
      <c r="M120" s="51">
        <f t="shared" si="4"/>
        <v>0</v>
      </c>
      <c r="N120" s="67"/>
    </row>
    <row r="121" ht="15.75" customHeight="1">
      <c r="A121" s="1"/>
      <c r="B121" s="69"/>
      <c r="D121" s="70"/>
      <c r="E121" s="71"/>
      <c r="F121" s="72"/>
      <c r="G121" s="19">
        <v>0.0</v>
      </c>
      <c r="H121" s="73"/>
      <c r="I121" s="51">
        <f t="shared" si="1"/>
        <v>0</v>
      </c>
      <c r="J121" s="74"/>
      <c r="K121" s="51">
        <f t="shared" si="2"/>
        <v>0</v>
      </c>
      <c r="L121" s="8">
        <f t="shared" si="3"/>
        <v>0</v>
      </c>
      <c r="M121" s="51">
        <f t="shared" si="4"/>
        <v>0</v>
      </c>
      <c r="N121" s="67"/>
    </row>
    <row r="122" ht="15.75" customHeight="1">
      <c r="A122" s="1"/>
      <c r="B122" s="69"/>
      <c r="D122" s="70"/>
      <c r="E122" s="71"/>
      <c r="F122" s="72"/>
      <c r="G122" s="19">
        <v>0.0</v>
      </c>
      <c r="H122" s="73"/>
      <c r="I122" s="51">
        <f t="shared" si="1"/>
        <v>0</v>
      </c>
      <c r="J122" s="74"/>
      <c r="K122" s="51">
        <f t="shared" si="2"/>
        <v>0</v>
      </c>
      <c r="L122" s="8">
        <f t="shared" si="3"/>
        <v>0</v>
      </c>
      <c r="M122" s="51">
        <f t="shared" si="4"/>
        <v>0</v>
      </c>
      <c r="N122" s="67"/>
    </row>
    <row r="123" ht="15.75" customHeight="1">
      <c r="A123" s="1"/>
      <c r="B123" s="69"/>
      <c r="D123" s="70"/>
      <c r="E123" s="71"/>
      <c r="F123" s="72"/>
      <c r="G123" s="19">
        <v>0.0</v>
      </c>
      <c r="H123" s="73"/>
      <c r="I123" s="51">
        <f t="shared" si="1"/>
        <v>0</v>
      </c>
      <c r="J123" s="74"/>
      <c r="K123" s="51">
        <f t="shared" si="2"/>
        <v>0</v>
      </c>
      <c r="L123" s="8">
        <f t="shared" si="3"/>
        <v>0</v>
      </c>
      <c r="M123" s="51">
        <f t="shared" si="4"/>
        <v>0</v>
      </c>
      <c r="N123" s="67"/>
    </row>
    <row r="124" ht="15.75" customHeight="1">
      <c r="A124" s="1"/>
      <c r="B124" s="69"/>
      <c r="D124" s="70"/>
      <c r="E124" s="71"/>
      <c r="F124" s="72"/>
      <c r="G124" s="19">
        <v>0.0</v>
      </c>
      <c r="H124" s="73"/>
      <c r="I124" s="51">
        <f t="shared" si="1"/>
        <v>0</v>
      </c>
      <c r="J124" s="74"/>
      <c r="K124" s="51">
        <f t="shared" si="2"/>
        <v>0</v>
      </c>
      <c r="L124" s="8">
        <f t="shared" si="3"/>
        <v>0</v>
      </c>
      <c r="M124" s="51">
        <f t="shared" si="4"/>
        <v>0</v>
      </c>
      <c r="N124" s="67"/>
    </row>
    <row r="125" ht="15.75" customHeight="1">
      <c r="A125" s="1"/>
      <c r="B125" s="69"/>
      <c r="D125" s="70"/>
      <c r="E125" s="71"/>
      <c r="F125" s="72"/>
      <c r="G125" s="19">
        <v>0.0</v>
      </c>
      <c r="H125" s="73"/>
      <c r="I125" s="51">
        <f t="shared" si="1"/>
        <v>0</v>
      </c>
      <c r="J125" s="74"/>
      <c r="K125" s="51">
        <f t="shared" si="2"/>
        <v>0</v>
      </c>
      <c r="L125" s="8">
        <f t="shared" si="3"/>
        <v>0</v>
      </c>
      <c r="M125" s="51">
        <f t="shared" si="4"/>
        <v>0</v>
      </c>
      <c r="N125" s="67"/>
    </row>
    <row r="126" ht="15.75" customHeight="1">
      <c r="A126" s="1"/>
      <c r="B126" s="69"/>
      <c r="D126" s="70"/>
      <c r="E126" s="71"/>
      <c r="F126" s="72"/>
      <c r="G126" s="19">
        <v>0.0</v>
      </c>
      <c r="H126" s="73"/>
      <c r="I126" s="51">
        <f t="shared" si="1"/>
        <v>0</v>
      </c>
      <c r="J126" s="74"/>
      <c r="K126" s="51">
        <f t="shared" si="2"/>
        <v>0</v>
      </c>
      <c r="L126" s="8">
        <f t="shared" si="3"/>
        <v>0</v>
      </c>
      <c r="M126" s="51">
        <f t="shared" si="4"/>
        <v>0</v>
      </c>
      <c r="N126" s="67"/>
    </row>
    <row r="127" ht="15.75" customHeight="1">
      <c r="A127" s="1"/>
      <c r="B127" s="69"/>
      <c r="D127" s="70"/>
      <c r="E127" s="71"/>
      <c r="F127" s="72"/>
      <c r="G127" s="19">
        <v>0.0</v>
      </c>
      <c r="H127" s="73"/>
      <c r="I127" s="51">
        <f t="shared" si="1"/>
        <v>0</v>
      </c>
      <c r="J127" s="74"/>
      <c r="K127" s="51">
        <f t="shared" si="2"/>
        <v>0</v>
      </c>
      <c r="L127" s="8">
        <f t="shared" si="3"/>
        <v>0</v>
      </c>
      <c r="M127" s="51">
        <f t="shared" si="4"/>
        <v>0</v>
      </c>
      <c r="N127" s="67"/>
    </row>
    <row r="128" ht="15.75" customHeight="1">
      <c r="A128" s="1"/>
      <c r="B128" s="69"/>
      <c r="D128" s="70"/>
      <c r="E128" s="71"/>
      <c r="F128" s="72"/>
      <c r="G128" s="19">
        <v>0.0</v>
      </c>
      <c r="H128" s="73"/>
      <c r="I128" s="51">
        <f t="shared" si="1"/>
        <v>0</v>
      </c>
      <c r="J128" s="74"/>
      <c r="K128" s="51">
        <f t="shared" si="2"/>
        <v>0</v>
      </c>
      <c r="L128" s="8">
        <f t="shared" si="3"/>
        <v>0</v>
      </c>
      <c r="M128" s="51">
        <f t="shared" si="4"/>
        <v>0</v>
      </c>
      <c r="N128" s="67"/>
    </row>
    <row r="129" ht="15.75" customHeight="1">
      <c r="A129" s="1"/>
      <c r="B129" s="69"/>
      <c r="D129" s="70"/>
      <c r="E129" s="71"/>
      <c r="F129" s="72"/>
      <c r="G129" s="19">
        <v>0.0</v>
      </c>
      <c r="H129" s="73"/>
      <c r="I129" s="51">
        <f t="shared" si="1"/>
        <v>0</v>
      </c>
      <c r="J129" s="74"/>
      <c r="K129" s="51">
        <f t="shared" si="2"/>
        <v>0</v>
      </c>
      <c r="L129" s="8">
        <f t="shared" si="3"/>
        <v>0</v>
      </c>
      <c r="M129" s="51">
        <f t="shared" si="4"/>
        <v>0</v>
      </c>
      <c r="N129" s="67"/>
    </row>
    <row r="130" ht="15.75" customHeight="1">
      <c r="A130" s="1"/>
      <c r="B130" s="69"/>
      <c r="D130" s="70"/>
      <c r="E130" s="71"/>
      <c r="F130" s="72"/>
      <c r="G130" s="19">
        <v>0.0</v>
      </c>
      <c r="H130" s="73"/>
      <c r="I130" s="51">
        <f t="shared" si="1"/>
        <v>0</v>
      </c>
      <c r="J130" s="74"/>
      <c r="K130" s="51">
        <f t="shared" si="2"/>
        <v>0</v>
      </c>
      <c r="L130" s="8">
        <f t="shared" si="3"/>
        <v>0</v>
      </c>
      <c r="M130" s="51">
        <f t="shared" si="4"/>
        <v>0</v>
      </c>
      <c r="N130" s="67"/>
    </row>
    <row r="131" ht="15.75" customHeight="1">
      <c r="A131" s="1"/>
      <c r="B131" s="69"/>
      <c r="D131" s="70"/>
      <c r="E131" s="71"/>
      <c r="F131" s="72"/>
      <c r="G131" s="19">
        <v>0.0</v>
      </c>
      <c r="H131" s="73"/>
      <c r="I131" s="51">
        <f t="shared" si="1"/>
        <v>0</v>
      </c>
      <c r="J131" s="74"/>
      <c r="K131" s="51">
        <f t="shared" si="2"/>
        <v>0</v>
      </c>
      <c r="L131" s="8">
        <f t="shared" si="3"/>
        <v>0</v>
      </c>
      <c r="M131" s="51">
        <f t="shared" si="4"/>
        <v>0</v>
      </c>
      <c r="N131" s="67"/>
    </row>
    <row r="132" ht="15.75" customHeight="1">
      <c r="A132" s="1"/>
      <c r="B132" s="69"/>
      <c r="D132" s="70"/>
      <c r="E132" s="71"/>
      <c r="F132" s="72"/>
      <c r="G132" s="19">
        <v>0.0</v>
      </c>
      <c r="H132" s="73"/>
      <c r="I132" s="51">
        <f t="shared" si="1"/>
        <v>0</v>
      </c>
      <c r="J132" s="74"/>
      <c r="K132" s="51">
        <f t="shared" si="2"/>
        <v>0</v>
      </c>
      <c r="L132" s="8">
        <f t="shared" si="3"/>
        <v>0</v>
      </c>
      <c r="M132" s="51">
        <f t="shared" si="4"/>
        <v>0</v>
      </c>
      <c r="N132" s="67"/>
    </row>
    <row r="133" ht="15.75" customHeight="1">
      <c r="A133" s="1"/>
      <c r="B133" s="69"/>
      <c r="D133" s="70"/>
      <c r="E133" s="71"/>
      <c r="F133" s="72"/>
      <c r="G133" s="19">
        <v>0.0</v>
      </c>
      <c r="H133" s="73"/>
      <c r="I133" s="51">
        <f t="shared" si="1"/>
        <v>0</v>
      </c>
      <c r="J133" s="74"/>
      <c r="K133" s="51">
        <f t="shared" si="2"/>
        <v>0</v>
      </c>
      <c r="L133" s="8">
        <f t="shared" si="3"/>
        <v>0</v>
      </c>
      <c r="M133" s="51">
        <f t="shared" si="4"/>
        <v>0</v>
      </c>
      <c r="N133" s="67"/>
    </row>
    <row r="134" ht="15.75" customHeight="1">
      <c r="A134" s="1"/>
      <c r="B134" s="69"/>
      <c r="D134" s="70"/>
      <c r="E134" s="71"/>
      <c r="F134" s="72"/>
      <c r="G134" s="19">
        <v>0.0</v>
      </c>
      <c r="H134" s="73"/>
      <c r="I134" s="51">
        <f t="shared" si="1"/>
        <v>0</v>
      </c>
      <c r="J134" s="74"/>
      <c r="K134" s="51">
        <f t="shared" si="2"/>
        <v>0</v>
      </c>
      <c r="L134" s="8">
        <f t="shared" si="3"/>
        <v>0</v>
      </c>
      <c r="M134" s="51">
        <f t="shared" si="4"/>
        <v>0</v>
      </c>
      <c r="N134" s="67"/>
    </row>
    <row r="135" ht="15.75" customHeight="1">
      <c r="A135" s="1"/>
      <c r="B135" s="69"/>
      <c r="D135" s="70"/>
      <c r="E135" s="71"/>
      <c r="F135" s="72"/>
      <c r="G135" s="19">
        <v>0.0</v>
      </c>
      <c r="H135" s="73"/>
      <c r="I135" s="51">
        <f t="shared" si="1"/>
        <v>0</v>
      </c>
      <c r="J135" s="74"/>
      <c r="K135" s="51">
        <f t="shared" si="2"/>
        <v>0</v>
      </c>
      <c r="L135" s="8">
        <f t="shared" si="3"/>
        <v>0</v>
      </c>
      <c r="M135" s="51">
        <f t="shared" si="4"/>
        <v>0</v>
      </c>
      <c r="N135" s="67"/>
    </row>
    <row r="136" ht="15.75" customHeight="1">
      <c r="A136" s="1"/>
      <c r="B136" s="69"/>
      <c r="D136" s="70"/>
      <c r="E136" s="71"/>
      <c r="F136" s="72"/>
      <c r="G136" s="19">
        <v>0.0</v>
      </c>
      <c r="H136" s="73"/>
      <c r="I136" s="51">
        <f t="shared" si="1"/>
        <v>0</v>
      </c>
      <c r="J136" s="74"/>
      <c r="K136" s="51">
        <f t="shared" si="2"/>
        <v>0</v>
      </c>
      <c r="L136" s="8">
        <f t="shared" si="3"/>
        <v>0</v>
      </c>
      <c r="M136" s="51">
        <f t="shared" si="4"/>
        <v>0</v>
      </c>
      <c r="N136" s="67"/>
    </row>
    <row r="137" ht="15.75" customHeight="1">
      <c r="A137" s="1"/>
      <c r="B137" s="69"/>
      <c r="D137" s="70"/>
      <c r="E137" s="71"/>
      <c r="F137" s="72"/>
      <c r="G137" s="19">
        <v>0.0</v>
      </c>
      <c r="H137" s="73"/>
      <c r="I137" s="51">
        <f t="shared" si="1"/>
        <v>0</v>
      </c>
      <c r="J137" s="74"/>
      <c r="K137" s="51">
        <f t="shared" si="2"/>
        <v>0</v>
      </c>
      <c r="L137" s="8">
        <f t="shared" si="3"/>
        <v>0</v>
      </c>
      <c r="M137" s="51">
        <f t="shared" si="4"/>
        <v>0</v>
      </c>
      <c r="N137" s="67"/>
    </row>
    <row r="138" ht="15.75" customHeight="1">
      <c r="A138" s="1"/>
      <c r="B138" s="69"/>
      <c r="D138" s="70"/>
      <c r="E138" s="71"/>
      <c r="F138" s="72"/>
      <c r="G138" s="19">
        <v>0.0</v>
      </c>
      <c r="H138" s="73"/>
      <c r="I138" s="51">
        <f t="shared" si="1"/>
        <v>0</v>
      </c>
      <c r="J138" s="74"/>
      <c r="K138" s="51">
        <f t="shared" si="2"/>
        <v>0</v>
      </c>
      <c r="L138" s="8">
        <f t="shared" si="3"/>
        <v>0</v>
      </c>
      <c r="M138" s="51">
        <f t="shared" si="4"/>
        <v>0</v>
      </c>
      <c r="N138" s="67"/>
    </row>
    <row r="139" ht="15.75" customHeight="1">
      <c r="A139" s="1"/>
      <c r="B139" s="69"/>
      <c r="D139" s="70"/>
      <c r="E139" s="71"/>
      <c r="F139" s="72"/>
      <c r="G139" s="19">
        <v>0.0</v>
      </c>
      <c r="H139" s="73"/>
      <c r="I139" s="51">
        <f t="shared" si="1"/>
        <v>0</v>
      </c>
      <c r="J139" s="74"/>
      <c r="K139" s="51">
        <f t="shared" si="2"/>
        <v>0</v>
      </c>
      <c r="L139" s="8">
        <f t="shared" si="3"/>
        <v>0</v>
      </c>
      <c r="M139" s="51">
        <f t="shared" si="4"/>
        <v>0</v>
      </c>
      <c r="N139" s="67"/>
    </row>
    <row r="140" ht="15.75" customHeight="1">
      <c r="A140" s="1"/>
      <c r="B140" s="69"/>
      <c r="D140" s="70"/>
      <c r="E140" s="71"/>
      <c r="F140" s="72"/>
      <c r="G140" s="75"/>
      <c r="H140" s="73"/>
      <c r="I140" s="51">
        <f t="shared" si="1"/>
        <v>0</v>
      </c>
      <c r="J140" s="74"/>
      <c r="K140" s="51">
        <f t="shared" si="2"/>
        <v>0</v>
      </c>
      <c r="L140" s="8">
        <f t="shared" si="3"/>
        <v>0</v>
      </c>
      <c r="M140" s="51">
        <f t="shared" si="4"/>
        <v>0</v>
      </c>
      <c r="N140" s="67"/>
    </row>
    <row r="141" ht="15.75" customHeight="1">
      <c r="A141" s="1"/>
      <c r="B141" s="69"/>
      <c r="D141" s="70"/>
      <c r="E141" s="71"/>
      <c r="F141" s="72"/>
      <c r="G141" s="75"/>
      <c r="H141" s="73"/>
      <c r="I141" s="51">
        <f t="shared" si="1"/>
        <v>0</v>
      </c>
      <c r="J141" s="74"/>
      <c r="K141" s="51">
        <f t="shared" si="2"/>
        <v>0</v>
      </c>
      <c r="L141" s="8">
        <f t="shared" si="3"/>
        <v>0</v>
      </c>
      <c r="M141" s="51">
        <f t="shared" si="4"/>
        <v>0</v>
      </c>
      <c r="N141" s="67"/>
    </row>
    <row r="142" ht="15.75" customHeight="1">
      <c r="A142" s="1"/>
      <c r="B142" s="69"/>
      <c r="D142" s="70"/>
      <c r="E142" s="71"/>
      <c r="F142" s="72"/>
      <c r="G142" s="75"/>
      <c r="H142" s="73"/>
      <c r="I142" s="51">
        <f t="shared" si="1"/>
        <v>0</v>
      </c>
      <c r="J142" s="74"/>
      <c r="K142" s="51">
        <f t="shared" si="2"/>
        <v>0</v>
      </c>
      <c r="L142" s="8">
        <f t="shared" si="3"/>
        <v>0</v>
      </c>
      <c r="M142" s="51">
        <f t="shared" si="4"/>
        <v>0</v>
      </c>
      <c r="N142" s="67"/>
    </row>
    <row r="143" ht="15.75" customHeight="1">
      <c r="A143" s="1"/>
      <c r="B143" s="69"/>
      <c r="D143" s="70"/>
      <c r="E143" s="71"/>
      <c r="F143" s="72"/>
      <c r="G143" s="75"/>
      <c r="H143" s="73"/>
      <c r="I143" s="51">
        <f t="shared" si="1"/>
        <v>0</v>
      </c>
      <c r="J143" s="74"/>
      <c r="K143" s="51">
        <f t="shared" si="2"/>
        <v>0</v>
      </c>
      <c r="L143" s="8">
        <f t="shared" si="3"/>
        <v>0</v>
      </c>
      <c r="M143" s="51">
        <f t="shared" si="4"/>
        <v>0</v>
      </c>
      <c r="N143" s="67"/>
    </row>
    <row r="144" ht="15.75" customHeight="1">
      <c r="A144" s="1"/>
      <c r="B144" s="69"/>
      <c r="D144" s="70"/>
      <c r="E144" s="71"/>
      <c r="F144" s="72"/>
      <c r="G144" s="75"/>
      <c r="H144" s="73"/>
      <c r="I144" s="51">
        <f t="shared" si="1"/>
        <v>0</v>
      </c>
      <c r="J144" s="74"/>
      <c r="K144" s="51">
        <f t="shared" si="2"/>
        <v>0</v>
      </c>
      <c r="L144" s="8">
        <f t="shared" si="3"/>
        <v>0</v>
      </c>
      <c r="M144" s="51">
        <f t="shared" si="4"/>
        <v>0</v>
      </c>
      <c r="N144" s="67"/>
    </row>
    <row r="145" ht="15.75" customHeight="1">
      <c r="A145" s="1"/>
      <c r="B145" s="69"/>
      <c r="D145" s="70"/>
      <c r="E145" s="71"/>
      <c r="F145" s="72"/>
      <c r="G145" s="75"/>
      <c r="H145" s="73"/>
      <c r="I145" s="51">
        <f t="shared" si="1"/>
        <v>0</v>
      </c>
      <c r="J145" s="74"/>
      <c r="K145" s="51">
        <f t="shared" si="2"/>
        <v>0</v>
      </c>
      <c r="L145" s="8">
        <f t="shared" si="3"/>
        <v>0</v>
      </c>
      <c r="M145" s="51">
        <f t="shared" si="4"/>
        <v>0</v>
      </c>
      <c r="N145" s="67"/>
    </row>
    <row r="146" ht="15.75" customHeight="1">
      <c r="A146" s="1"/>
      <c r="B146" s="69"/>
      <c r="D146" s="70"/>
      <c r="E146" s="71"/>
      <c r="F146" s="72"/>
      <c r="G146" s="75"/>
      <c r="H146" s="73"/>
      <c r="I146" s="51">
        <f t="shared" si="1"/>
        <v>0</v>
      </c>
      <c r="J146" s="74"/>
      <c r="K146" s="51">
        <f t="shared" si="2"/>
        <v>0</v>
      </c>
      <c r="L146" s="8">
        <f t="shared" si="3"/>
        <v>0</v>
      </c>
      <c r="M146" s="51">
        <f t="shared" si="4"/>
        <v>0</v>
      </c>
      <c r="N146" s="67"/>
    </row>
    <row r="147" ht="15.75" customHeight="1">
      <c r="A147" s="1"/>
      <c r="B147" s="69"/>
      <c r="D147" s="70"/>
      <c r="E147" s="71"/>
      <c r="F147" s="72"/>
      <c r="G147" s="75"/>
      <c r="H147" s="73"/>
      <c r="I147" s="51">
        <f t="shared" si="1"/>
        <v>0</v>
      </c>
      <c r="J147" s="74"/>
      <c r="K147" s="51">
        <f t="shared" si="2"/>
        <v>0</v>
      </c>
      <c r="L147" s="8">
        <f t="shared" si="3"/>
        <v>0</v>
      </c>
      <c r="M147" s="51">
        <f t="shared" si="4"/>
        <v>0</v>
      </c>
      <c r="N147" s="67"/>
    </row>
    <row r="148" ht="15.75" customHeight="1">
      <c r="A148" s="1"/>
      <c r="B148" s="69"/>
      <c r="D148" s="70"/>
      <c r="E148" s="71"/>
      <c r="F148" s="72"/>
      <c r="G148" s="75"/>
      <c r="H148" s="73"/>
      <c r="I148" s="51">
        <f t="shared" si="1"/>
        <v>0</v>
      </c>
      <c r="J148" s="74"/>
      <c r="K148" s="51">
        <f t="shared" si="2"/>
        <v>0</v>
      </c>
      <c r="L148" s="8">
        <f t="shared" si="3"/>
        <v>0</v>
      </c>
      <c r="M148" s="51">
        <f t="shared" si="4"/>
        <v>0</v>
      </c>
      <c r="N148" s="67"/>
    </row>
    <row r="149" ht="15.75" customHeight="1">
      <c r="A149" s="1"/>
      <c r="B149" s="69"/>
      <c r="D149" s="70"/>
      <c r="E149" s="71"/>
      <c r="F149" s="72"/>
      <c r="G149" s="75"/>
      <c r="H149" s="73"/>
      <c r="I149" s="51">
        <f t="shared" si="1"/>
        <v>0</v>
      </c>
      <c r="J149" s="74"/>
      <c r="K149" s="51">
        <f t="shared" si="2"/>
        <v>0</v>
      </c>
      <c r="L149" s="8">
        <f t="shared" si="3"/>
        <v>0</v>
      </c>
      <c r="M149" s="51">
        <f t="shared" si="4"/>
        <v>0</v>
      </c>
      <c r="N149" s="67"/>
    </row>
    <row r="150" ht="15.75" customHeight="1">
      <c r="A150" s="1"/>
      <c r="B150" s="69"/>
      <c r="D150" s="70"/>
      <c r="E150" s="71"/>
      <c r="F150" s="72"/>
      <c r="G150" s="75"/>
      <c r="H150" s="73"/>
      <c r="I150" s="51">
        <f t="shared" si="1"/>
        <v>0</v>
      </c>
      <c r="J150" s="74"/>
      <c r="K150" s="51">
        <f t="shared" si="2"/>
        <v>0</v>
      </c>
      <c r="L150" s="8">
        <f t="shared" si="3"/>
        <v>0</v>
      </c>
      <c r="M150" s="51">
        <f t="shared" si="4"/>
        <v>0</v>
      </c>
      <c r="N150" s="67"/>
    </row>
    <row r="151" ht="15.75" customHeight="1">
      <c r="A151" s="1"/>
      <c r="B151" s="69"/>
      <c r="D151" s="70"/>
      <c r="E151" s="71"/>
      <c r="F151" s="72"/>
      <c r="G151" s="75"/>
      <c r="H151" s="73"/>
      <c r="I151" s="51">
        <f t="shared" si="1"/>
        <v>0</v>
      </c>
      <c r="J151" s="74"/>
      <c r="K151" s="51">
        <f t="shared" si="2"/>
        <v>0</v>
      </c>
      <c r="L151" s="8">
        <f t="shared" si="3"/>
        <v>0</v>
      </c>
      <c r="M151" s="51">
        <f t="shared" si="4"/>
        <v>0</v>
      </c>
      <c r="N151" s="67"/>
    </row>
    <row r="152" ht="15.75" customHeight="1">
      <c r="A152" s="1"/>
      <c r="B152" s="69"/>
      <c r="D152" s="70"/>
      <c r="E152" s="71"/>
      <c r="F152" s="72"/>
      <c r="G152" s="75"/>
      <c r="H152" s="73"/>
      <c r="I152" s="51">
        <f t="shared" si="1"/>
        <v>0</v>
      </c>
      <c r="J152" s="74"/>
      <c r="K152" s="51">
        <f t="shared" si="2"/>
        <v>0</v>
      </c>
      <c r="L152" s="8">
        <f t="shared" si="3"/>
        <v>0</v>
      </c>
      <c r="M152" s="51">
        <f t="shared" si="4"/>
        <v>0</v>
      </c>
      <c r="N152" s="67"/>
    </row>
    <row r="153" ht="15.75" customHeight="1">
      <c r="A153" s="1"/>
      <c r="B153" s="69"/>
      <c r="D153" s="70"/>
      <c r="E153" s="71"/>
      <c r="F153" s="72"/>
      <c r="G153" s="75"/>
      <c r="H153" s="73"/>
      <c r="I153" s="51">
        <f t="shared" si="1"/>
        <v>0</v>
      </c>
      <c r="J153" s="74"/>
      <c r="K153" s="51">
        <f t="shared" si="2"/>
        <v>0</v>
      </c>
      <c r="L153" s="8">
        <f t="shared" si="3"/>
        <v>0</v>
      </c>
      <c r="M153" s="51">
        <f t="shared" si="4"/>
        <v>0</v>
      </c>
      <c r="N153" s="67"/>
    </row>
    <row r="154" ht="15.75" customHeight="1">
      <c r="A154" s="1"/>
      <c r="B154" s="69"/>
      <c r="D154" s="70"/>
      <c r="E154" s="71"/>
      <c r="F154" s="72"/>
      <c r="G154" s="75"/>
      <c r="H154" s="73"/>
      <c r="I154" s="51">
        <f t="shared" si="1"/>
        <v>0</v>
      </c>
      <c r="J154" s="74"/>
      <c r="K154" s="51">
        <f t="shared" si="2"/>
        <v>0</v>
      </c>
      <c r="L154" s="8">
        <f t="shared" si="3"/>
        <v>0</v>
      </c>
      <c r="M154" s="51">
        <f t="shared" si="4"/>
        <v>0</v>
      </c>
      <c r="N154" s="67"/>
    </row>
    <row r="155" ht="15.75" customHeight="1">
      <c r="A155" s="1"/>
      <c r="B155" s="69"/>
      <c r="D155" s="70"/>
      <c r="E155" s="71"/>
      <c r="F155" s="72"/>
      <c r="G155" s="75"/>
      <c r="H155" s="73"/>
      <c r="I155" s="51">
        <f t="shared" si="1"/>
        <v>0</v>
      </c>
      <c r="J155" s="74"/>
      <c r="K155" s="51">
        <f t="shared" si="2"/>
        <v>0</v>
      </c>
      <c r="L155" s="8">
        <f t="shared" si="3"/>
        <v>0</v>
      </c>
      <c r="M155" s="51">
        <f t="shared" si="4"/>
        <v>0</v>
      </c>
      <c r="N155" s="67"/>
    </row>
    <row r="156" ht="15.75" customHeight="1">
      <c r="A156" s="1"/>
      <c r="B156" s="69"/>
      <c r="D156" s="70"/>
      <c r="E156" s="71"/>
      <c r="F156" s="72"/>
      <c r="G156" s="75"/>
      <c r="H156" s="73"/>
      <c r="I156" s="51">
        <f t="shared" si="1"/>
        <v>0</v>
      </c>
      <c r="J156" s="74"/>
      <c r="K156" s="51">
        <f t="shared" si="2"/>
        <v>0</v>
      </c>
      <c r="L156" s="8">
        <f t="shared" si="3"/>
        <v>0</v>
      </c>
      <c r="M156" s="51">
        <f t="shared" si="4"/>
        <v>0</v>
      </c>
      <c r="N156" s="67"/>
    </row>
    <row r="157" ht="15.75" customHeight="1">
      <c r="A157" s="1"/>
      <c r="B157" s="69"/>
      <c r="D157" s="70"/>
      <c r="E157" s="71"/>
      <c r="F157" s="72"/>
      <c r="G157" s="75"/>
      <c r="H157" s="73"/>
      <c r="I157" s="51">
        <f t="shared" si="1"/>
        <v>0</v>
      </c>
      <c r="J157" s="74"/>
      <c r="K157" s="51">
        <f t="shared" si="2"/>
        <v>0</v>
      </c>
      <c r="L157" s="8">
        <f t="shared" si="3"/>
        <v>0</v>
      </c>
      <c r="M157" s="51">
        <f t="shared" si="4"/>
        <v>0</v>
      </c>
      <c r="N157" s="67"/>
    </row>
    <row r="158" ht="15.75" customHeight="1">
      <c r="A158" s="1"/>
      <c r="B158" s="69"/>
      <c r="D158" s="70"/>
      <c r="E158" s="71"/>
      <c r="F158" s="72"/>
      <c r="G158" s="75"/>
      <c r="H158" s="73"/>
      <c r="I158" s="51">
        <f t="shared" si="1"/>
        <v>0</v>
      </c>
      <c r="J158" s="74"/>
      <c r="K158" s="51">
        <f t="shared" si="2"/>
        <v>0</v>
      </c>
      <c r="L158" s="8">
        <f t="shared" si="3"/>
        <v>0</v>
      </c>
      <c r="M158" s="51">
        <f t="shared" si="4"/>
        <v>0</v>
      </c>
      <c r="N158" s="67"/>
    </row>
    <row r="159" ht="15.75" customHeight="1">
      <c r="A159" s="1"/>
      <c r="B159" s="69"/>
      <c r="D159" s="70"/>
      <c r="E159" s="71"/>
      <c r="F159" s="72"/>
      <c r="G159" s="75"/>
      <c r="H159" s="73"/>
      <c r="I159" s="51">
        <f t="shared" si="1"/>
        <v>0</v>
      </c>
      <c r="J159" s="74"/>
      <c r="K159" s="51">
        <f t="shared" si="2"/>
        <v>0</v>
      </c>
      <c r="L159" s="8">
        <f t="shared" si="3"/>
        <v>0</v>
      </c>
      <c r="M159" s="51">
        <f t="shared" si="4"/>
        <v>0</v>
      </c>
      <c r="N159" s="67"/>
    </row>
    <row r="160" ht="15.75" customHeight="1">
      <c r="A160" s="1"/>
      <c r="B160" s="69"/>
      <c r="D160" s="70"/>
      <c r="E160" s="71"/>
      <c r="F160" s="72"/>
      <c r="G160" s="75"/>
      <c r="H160" s="73"/>
      <c r="I160" s="51">
        <f t="shared" si="1"/>
        <v>0</v>
      </c>
      <c r="J160" s="74"/>
      <c r="K160" s="51">
        <f t="shared" si="2"/>
        <v>0</v>
      </c>
      <c r="L160" s="8">
        <f t="shared" si="3"/>
        <v>0</v>
      </c>
      <c r="M160" s="51">
        <f t="shared" si="4"/>
        <v>0</v>
      </c>
      <c r="N160" s="67"/>
    </row>
    <row r="161" ht="15.75" customHeight="1">
      <c r="A161" s="1"/>
      <c r="B161" s="69"/>
      <c r="D161" s="70"/>
      <c r="E161" s="71"/>
      <c r="F161" s="72"/>
      <c r="G161" s="75"/>
      <c r="H161" s="73"/>
      <c r="I161" s="51">
        <f t="shared" si="1"/>
        <v>0</v>
      </c>
      <c r="J161" s="74"/>
      <c r="K161" s="51">
        <f t="shared" si="2"/>
        <v>0</v>
      </c>
      <c r="L161" s="8">
        <f t="shared" si="3"/>
        <v>0</v>
      </c>
      <c r="M161" s="51">
        <f t="shared" si="4"/>
        <v>0</v>
      </c>
      <c r="N161" s="67"/>
    </row>
    <row r="162" ht="15.75" customHeight="1">
      <c r="A162" s="1"/>
      <c r="B162" s="69"/>
      <c r="D162" s="70"/>
      <c r="E162" s="71"/>
      <c r="F162" s="72"/>
      <c r="G162" s="75"/>
      <c r="H162" s="73"/>
      <c r="I162" s="51">
        <f t="shared" si="1"/>
        <v>0</v>
      </c>
      <c r="J162" s="74"/>
      <c r="K162" s="51">
        <f t="shared" si="2"/>
        <v>0</v>
      </c>
      <c r="L162" s="8">
        <f t="shared" si="3"/>
        <v>0</v>
      </c>
      <c r="M162" s="51">
        <f t="shared" si="4"/>
        <v>0</v>
      </c>
      <c r="N162" s="67"/>
    </row>
    <row r="163" ht="15.75" customHeight="1">
      <c r="A163" s="1"/>
      <c r="B163" s="69"/>
      <c r="D163" s="70"/>
      <c r="E163" s="71"/>
      <c r="F163" s="72"/>
      <c r="G163" s="75"/>
      <c r="H163" s="73"/>
      <c r="I163" s="51">
        <f t="shared" si="1"/>
        <v>0</v>
      </c>
      <c r="J163" s="74"/>
      <c r="K163" s="51">
        <f t="shared" si="2"/>
        <v>0</v>
      </c>
      <c r="L163" s="8">
        <f t="shared" si="3"/>
        <v>0</v>
      </c>
      <c r="M163" s="51">
        <f t="shared" si="4"/>
        <v>0</v>
      </c>
      <c r="N163" s="67"/>
    </row>
    <row r="164" ht="15.75" customHeight="1">
      <c r="A164" s="1"/>
      <c r="B164" s="69"/>
      <c r="D164" s="70"/>
      <c r="E164" s="71"/>
      <c r="F164" s="72"/>
      <c r="G164" s="75"/>
      <c r="H164" s="73"/>
      <c r="I164" s="51">
        <f t="shared" si="1"/>
        <v>0</v>
      </c>
      <c r="J164" s="74"/>
      <c r="K164" s="51">
        <f t="shared" si="2"/>
        <v>0</v>
      </c>
      <c r="L164" s="8">
        <f t="shared" si="3"/>
        <v>0</v>
      </c>
      <c r="M164" s="51">
        <f t="shared" si="4"/>
        <v>0</v>
      </c>
      <c r="N164" s="67"/>
    </row>
    <row r="165" ht="15.75" customHeight="1">
      <c r="A165" s="1"/>
      <c r="B165" s="69"/>
      <c r="D165" s="70"/>
      <c r="E165" s="71"/>
      <c r="F165" s="72"/>
      <c r="G165" s="75"/>
      <c r="H165" s="73"/>
      <c r="I165" s="51">
        <f t="shared" si="1"/>
        <v>0</v>
      </c>
      <c r="J165" s="74"/>
      <c r="K165" s="51">
        <f t="shared" si="2"/>
        <v>0</v>
      </c>
      <c r="L165" s="8">
        <f t="shared" si="3"/>
        <v>0</v>
      </c>
      <c r="M165" s="51">
        <f t="shared" si="4"/>
        <v>0</v>
      </c>
      <c r="N165" s="67"/>
    </row>
    <row r="166" ht="15.75" customHeight="1">
      <c r="A166" s="1"/>
      <c r="B166" s="69"/>
      <c r="D166" s="70"/>
      <c r="E166" s="71"/>
      <c r="F166" s="72"/>
      <c r="G166" s="75"/>
      <c r="H166" s="73"/>
      <c r="I166" s="51">
        <f t="shared" si="1"/>
        <v>0</v>
      </c>
      <c r="J166" s="74"/>
      <c r="K166" s="51">
        <f t="shared" si="2"/>
        <v>0</v>
      </c>
      <c r="L166" s="8">
        <f t="shared" si="3"/>
        <v>0</v>
      </c>
      <c r="M166" s="51">
        <f t="shared" si="4"/>
        <v>0</v>
      </c>
      <c r="N166" s="67"/>
    </row>
    <row r="167" ht="15.75" customHeight="1">
      <c r="A167" s="1"/>
      <c r="B167" s="69"/>
      <c r="D167" s="70"/>
      <c r="E167" s="71"/>
      <c r="F167" s="72"/>
      <c r="G167" s="75"/>
      <c r="H167" s="73"/>
      <c r="I167" s="51">
        <f t="shared" si="1"/>
        <v>0</v>
      </c>
      <c r="J167" s="74"/>
      <c r="K167" s="51">
        <f t="shared" si="2"/>
        <v>0</v>
      </c>
      <c r="L167" s="8">
        <f t="shared" si="3"/>
        <v>0</v>
      </c>
      <c r="M167" s="51">
        <f t="shared" si="4"/>
        <v>0</v>
      </c>
      <c r="N167" s="67"/>
    </row>
    <row r="168" ht="15.75" customHeight="1">
      <c r="A168" s="1"/>
      <c r="B168" s="69"/>
      <c r="D168" s="70"/>
      <c r="E168" s="71"/>
      <c r="F168" s="72"/>
      <c r="G168" s="75"/>
      <c r="H168" s="73"/>
      <c r="I168" s="51">
        <f t="shared" si="1"/>
        <v>0</v>
      </c>
      <c r="J168" s="74"/>
      <c r="K168" s="51">
        <f t="shared" si="2"/>
        <v>0</v>
      </c>
      <c r="L168" s="8">
        <f t="shared" si="3"/>
        <v>0</v>
      </c>
      <c r="M168" s="51">
        <f t="shared" si="4"/>
        <v>0</v>
      </c>
      <c r="N168" s="67"/>
    </row>
    <row r="169" ht="15.75" customHeight="1">
      <c r="A169" s="1"/>
      <c r="B169" s="69"/>
      <c r="D169" s="70"/>
      <c r="E169" s="71"/>
      <c r="F169" s="72"/>
      <c r="G169" s="75"/>
      <c r="H169" s="73"/>
      <c r="I169" s="51">
        <f t="shared" si="1"/>
        <v>0</v>
      </c>
      <c r="J169" s="74"/>
      <c r="K169" s="51">
        <f t="shared" si="2"/>
        <v>0</v>
      </c>
      <c r="L169" s="8">
        <f t="shared" si="3"/>
        <v>0</v>
      </c>
      <c r="M169" s="51">
        <f t="shared" si="4"/>
        <v>0</v>
      </c>
      <c r="N169" s="67"/>
    </row>
    <row r="170" ht="15.75" customHeight="1">
      <c r="A170" s="1"/>
      <c r="B170" s="69"/>
      <c r="D170" s="70"/>
      <c r="E170" s="71"/>
      <c r="F170" s="72"/>
      <c r="G170" s="75"/>
      <c r="H170" s="73"/>
      <c r="I170" s="51">
        <f t="shared" si="1"/>
        <v>0</v>
      </c>
      <c r="J170" s="74"/>
      <c r="K170" s="51">
        <f t="shared" si="2"/>
        <v>0</v>
      </c>
      <c r="L170" s="8">
        <f t="shared" si="3"/>
        <v>0</v>
      </c>
      <c r="M170" s="51">
        <f t="shared" si="4"/>
        <v>0</v>
      </c>
      <c r="N170" s="67"/>
    </row>
    <row r="171" ht="15.75" customHeight="1">
      <c r="A171" s="1"/>
      <c r="B171" s="69"/>
      <c r="D171" s="70"/>
      <c r="E171" s="71"/>
      <c r="F171" s="72"/>
      <c r="G171" s="75"/>
      <c r="H171" s="73"/>
      <c r="I171" s="51">
        <f t="shared" si="1"/>
        <v>0</v>
      </c>
      <c r="J171" s="74"/>
      <c r="K171" s="51">
        <f t="shared" si="2"/>
        <v>0</v>
      </c>
      <c r="L171" s="8">
        <f t="shared" si="3"/>
        <v>0</v>
      </c>
      <c r="M171" s="51">
        <f t="shared" si="4"/>
        <v>0</v>
      </c>
      <c r="N171" s="67"/>
    </row>
    <row r="172" ht="15.75" customHeight="1">
      <c r="A172" s="1"/>
      <c r="B172" s="69"/>
      <c r="D172" s="70"/>
      <c r="E172" s="71"/>
      <c r="F172" s="72"/>
      <c r="G172" s="75"/>
      <c r="H172" s="73"/>
      <c r="I172" s="51">
        <f t="shared" si="1"/>
        <v>0</v>
      </c>
      <c r="J172" s="74"/>
      <c r="K172" s="51">
        <f t="shared" si="2"/>
        <v>0</v>
      </c>
      <c r="L172" s="8">
        <f t="shared" si="3"/>
        <v>0</v>
      </c>
      <c r="M172" s="51">
        <f t="shared" si="4"/>
        <v>0</v>
      </c>
      <c r="N172" s="67"/>
    </row>
    <row r="173" ht="15.75" customHeight="1">
      <c r="A173" s="1"/>
      <c r="B173" s="69"/>
      <c r="D173" s="70"/>
      <c r="E173" s="71"/>
      <c r="F173" s="72"/>
      <c r="G173" s="75"/>
      <c r="H173" s="73"/>
      <c r="I173" s="51">
        <f t="shared" si="1"/>
        <v>0</v>
      </c>
      <c r="J173" s="74"/>
      <c r="K173" s="51">
        <f t="shared" si="2"/>
        <v>0</v>
      </c>
      <c r="L173" s="8">
        <f t="shared" si="3"/>
        <v>0</v>
      </c>
      <c r="M173" s="51">
        <f t="shared" si="4"/>
        <v>0</v>
      </c>
      <c r="N173" s="67"/>
    </row>
    <row r="174" ht="15.75" customHeight="1">
      <c r="A174" s="1"/>
      <c r="B174" s="69"/>
      <c r="D174" s="70"/>
      <c r="E174" s="71"/>
      <c r="F174" s="72"/>
      <c r="G174" s="75"/>
      <c r="H174" s="73"/>
      <c r="I174" s="51">
        <f t="shared" si="1"/>
        <v>0</v>
      </c>
      <c r="J174" s="74"/>
      <c r="K174" s="51">
        <f t="shared" si="2"/>
        <v>0</v>
      </c>
      <c r="L174" s="8">
        <f t="shared" si="3"/>
        <v>0</v>
      </c>
      <c r="M174" s="51">
        <f t="shared" si="4"/>
        <v>0</v>
      </c>
      <c r="N174" s="67"/>
    </row>
    <row r="175" ht="15.75" customHeight="1">
      <c r="A175" s="1"/>
      <c r="B175" s="69"/>
      <c r="D175" s="70"/>
      <c r="E175" s="71"/>
      <c r="F175" s="72"/>
      <c r="G175" s="75"/>
      <c r="H175" s="73"/>
      <c r="I175" s="51">
        <f t="shared" si="1"/>
        <v>0</v>
      </c>
      <c r="J175" s="74"/>
      <c r="K175" s="51">
        <f t="shared" si="2"/>
        <v>0</v>
      </c>
      <c r="L175" s="8">
        <f t="shared" si="3"/>
        <v>0</v>
      </c>
      <c r="M175" s="51">
        <f t="shared" si="4"/>
        <v>0</v>
      </c>
      <c r="N175" s="67"/>
    </row>
    <row r="176" ht="15.75" customHeight="1">
      <c r="A176" s="1"/>
      <c r="B176" s="69"/>
      <c r="D176" s="70"/>
      <c r="E176" s="71"/>
      <c r="F176" s="72"/>
      <c r="G176" s="75"/>
      <c r="H176" s="73"/>
      <c r="I176" s="51">
        <f t="shared" si="1"/>
        <v>0</v>
      </c>
      <c r="J176" s="74"/>
      <c r="K176" s="51">
        <f t="shared" si="2"/>
        <v>0</v>
      </c>
      <c r="L176" s="8">
        <f t="shared" si="3"/>
        <v>0</v>
      </c>
      <c r="M176" s="51">
        <f t="shared" si="4"/>
        <v>0</v>
      </c>
      <c r="N176" s="67"/>
    </row>
    <row r="177" ht="15.75" customHeight="1">
      <c r="A177" s="1"/>
      <c r="B177" s="69"/>
      <c r="D177" s="70"/>
      <c r="E177" s="71"/>
      <c r="F177" s="72"/>
      <c r="G177" s="75"/>
      <c r="H177" s="73"/>
      <c r="I177" s="51">
        <f t="shared" si="1"/>
        <v>0</v>
      </c>
      <c r="J177" s="74"/>
      <c r="K177" s="51">
        <f t="shared" si="2"/>
        <v>0</v>
      </c>
      <c r="L177" s="8">
        <f t="shared" si="3"/>
        <v>0</v>
      </c>
      <c r="M177" s="51">
        <f t="shared" si="4"/>
        <v>0</v>
      </c>
      <c r="N177" s="67"/>
    </row>
    <row r="178" ht="15.75" customHeight="1">
      <c r="A178" s="1"/>
      <c r="B178" s="69"/>
      <c r="D178" s="70"/>
      <c r="E178" s="71"/>
      <c r="F178" s="72"/>
      <c r="G178" s="75"/>
      <c r="H178" s="73"/>
      <c r="I178" s="51">
        <f t="shared" si="1"/>
        <v>0</v>
      </c>
      <c r="J178" s="74"/>
      <c r="K178" s="51">
        <f t="shared" si="2"/>
        <v>0</v>
      </c>
      <c r="L178" s="8">
        <f t="shared" si="3"/>
        <v>0</v>
      </c>
      <c r="M178" s="51">
        <f t="shared" si="4"/>
        <v>0</v>
      </c>
      <c r="N178" s="67"/>
    </row>
    <row r="179" ht="15.75" customHeight="1">
      <c r="A179" s="1"/>
      <c r="B179" s="69"/>
      <c r="D179" s="70"/>
      <c r="E179" s="71"/>
      <c r="F179" s="72"/>
      <c r="G179" s="75"/>
      <c r="H179" s="73"/>
      <c r="I179" s="51">
        <f t="shared" si="1"/>
        <v>0</v>
      </c>
      <c r="J179" s="74"/>
      <c r="K179" s="51">
        <f t="shared" si="2"/>
        <v>0</v>
      </c>
      <c r="L179" s="8">
        <f t="shared" si="3"/>
        <v>0</v>
      </c>
      <c r="M179" s="51">
        <f t="shared" si="4"/>
        <v>0</v>
      </c>
      <c r="N179" s="67"/>
    </row>
    <row r="180" ht="15.75" customHeight="1">
      <c r="A180" s="1"/>
      <c r="B180" s="69"/>
      <c r="D180" s="70"/>
      <c r="E180" s="71"/>
      <c r="F180" s="72"/>
      <c r="G180" s="75"/>
      <c r="H180" s="73"/>
      <c r="I180" s="51">
        <f t="shared" si="1"/>
        <v>0</v>
      </c>
      <c r="J180" s="74"/>
      <c r="K180" s="51">
        <f t="shared" si="2"/>
        <v>0</v>
      </c>
      <c r="L180" s="8">
        <f t="shared" si="3"/>
        <v>0</v>
      </c>
      <c r="M180" s="51">
        <f t="shared" si="4"/>
        <v>0</v>
      </c>
      <c r="N180" s="67"/>
    </row>
    <row r="181" ht="15.75" customHeight="1">
      <c r="A181" s="1"/>
      <c r="B181" s="69"/>
      <c r="D181" s="70"/>
      <c r="E181" s="71"/>
      <c r="F181" s="72"/>
      <c r="G181" s="75"/>
      <c r="H181" s="73"/>
      <c r="I181" s="51">
        <f t="shared" si="1"/>
        <v>0</v>
      </c>
      <c r="J181" s="74"/>
      <c r="K181" s="51">
        <f t="shared" si="2"/>
        <v>0</v>
      </c>
      <c r="L181" s="8">
        <f t="shared" si="3"/>
        <v>0</v>
      </c>
      <c r="M181" s="51">
        <f t="shared" si="4"/>
        <v>0</v>
      </c>
      <c r="N181" s="67"/>
    </row>
    <row r="182" ht="15.75" customHeight="1">
      <c r="A182" s="1"/>
      <c r="B182" s="69"/>
      <c r="D182" s="70"/>
      <c r="E182" s="71"/>
      <c r="F182" s="72"/>
      <c r="G182" s="75"/>
      <c r="H182" s="73"/>
      <c r="I182" s="51">
        <f t="shared" si="1"/>
        <v>0</v>
      </c>
      <c r="J182" s="74"/>
      <c r="K182" s="51">
        <f t="shared" si="2"/>
        <v>0</v>
      </c>
      <c r="L182" s="8">
        <f t="shared" si="3"/>
        <v>0</v>
      </c>
      <c r="M182" s="51">
        <f t="shared" si="4"/>
        <v>0</v>
      </c>
      <c r="N182" s="67"/>
    </row>
    <row r="183" ht="15.75" customHeight="1">
      <c r="A183" s="1"/>
      <c r="B183" s="69"/>
      <c r="D183" s="70"/>
      <c r="E183" s="71"/>
      <c r="F183" s="72"/>
      <c r="G183" s="75"/>
      <c r="H183" s="73"/>
      <c r="I183" s="51">
        <f t="shared" si="1"/>
        <v>0</v>
      </c>
      <c r="J183" s="74"/>
      <c r="K183" s="51">
        <f t="shared" si="2"/>
        <v>0</v>
      </c>
      <c r="L183" s="8">
        <f t="shared" si="3"/>
        <v>0</v>
      </c>
      <c r="M183" s="51">
        <f t="shared" si="4"/>
        <v>0</v>
      </c>
      <c r="N183" s="67"/>
    </row>
    <row r="184" ht="15.75" customHeight="1">
      <c r="A184" s="1"/>
      <c r="B184" s="69"/>
      <c r="D184" s="70"/>
      <c r="E184" s="71"/>
      <c r="F184" s="72"/>
      <c r="G184" s="75"/>
      <c r="H184" s="73"/>
      <c r="I184" s="51">
        <f t="shared" si="1"/>
        <v>0</v>
      </c>
      <c r="J184" s="74"/>
      <c r="K184" s="51">
        <f t="shared" si="2"/>
        <v>0</v>
      </c>
      <c r="L184" s="8">
        <f t="shared" si="3"/>
        <v>0</v>
      </c>
      <c r="M184" s="51">
        <f t="shared" si="4"/>
        <v>0</v>
      </c>
      <c r="N184" s="67"/>
    </row>
    <row r="185" ht="15.75" customHeight="1">
      <c r="A185" s="1"/>
      <c r="B185" s="69"/>
      <c r="D185" s="70"/>
      <c r="E185" s="71"/>
      <c r="F185" s="72"/>
      <c r="G185" s="75"/>
      <c r="H185" s="73"/>
      <c r="I185" s="51">
        <f t="shared" si="1"/>
        <v>0</v>
      </c>
      <c r="J185" s="74"/>
      <c r="K185" s="51">
        <f t="shared" si="2"/>
        <v>0</v>
      </c>
      <c r="L185" s="8">
        <f t="shared" si="3"/>
        <v>0</v>
      </c>
      <c r="M185" s="51">
        <f t="shared" si="4"/>
        <v>0</v>
      </c>
      <c r="N185" s="67"/>
    </row>
    <row r="186" ht="15.75" customHeight="1">
      <c r="A186" s="1"/>
      <c r="B186" s="69"/>
      <c r="D186" s="70"/>
      <c r="E186" s="71"/>
      <c r="F186" s="72"/>
      <c r="G186" s="75"/>
      <c r="H186" s="73"/>
      <c r="I186" s="51">
        <f t="shared" si="1"/>
        <v>0</v>
      </c>
      <c r="J186" s="74"/>
      <c r="K186" s="51">
        <f t="shared" si="2"/>
        <v>0</v>
      </c>
      <c r="L186" s="8">
        <f t="shared" si="3"/>
        <v>0</v>
      </c>
      <c r="M186" s="51">
        <f t="shared" si="4"/>
        <v>0</v>
      </c>
      <c r="N186" s="67"/>
    </row>
    <row r="187" ht="15.75" customHeight="1">
      <c r="A187" s="1"/>
      <c r="B187" s="69"/>
      <c r="D187" s="70"/>
      <c r="E187" s="71"/>
      <c r="F187" s="72"/>
      <c r="G187" s="75"/>
      <c r="H187" s="73"/>
      <c r="I187" s="51">
        <f t="shared" si="1"/>
        <v>0</v>
      </c>
      <c r="J187" s="74"/>
      <c r="K187" s="51">
        <f t="shared" si="2"/>
        <v>0</v>
      </c>
      <c r="L187" s="8">
        <f t="shared" si="3"/>
        <v>0</v>
      </c>
      <c r="M187" s="51">
        <f t="shared" si="4"/>
        <v>0</v>
      </c>
      <c r="N187" s="67"/>
    </row>
    <row r="188" ht="15.75" customHeight="1">
      <c r="A188" s="1"/>
      <c r="B188" s="69"/>
      <c r="D188" s="70"/>
      <c r="E188" s="71"/>
      <c r="F188" s="72"/>
      <c r="G188" s="75"/>
      <c r="H188" s="73"/>
      <c r="I188" s="51">
        <f t="shared" si="1"/>
        <v>0</v>
      </c>
      <c r="J188" s="74"/>
      <c r="K188" s="51">
        <f t="shared" si="2"/>
        <v>0</v>
      </c>
      <c r="L188" s="8">
        <f t="shared" si="3"/>
        <v>0</v>
      </c>
      <c r="M188" s="51">
        <f t="shared" si="4"/>
        <v>0</v>
      </c>
      <c r="N188" s="67"/>
    </row>
    <row r="189" ht="15.75" customHeight="1">
      <c r="A189" s="1"/>
      <c r="B189" s="69"/>
      <c r="D189" s="70"/>
      <c r="E189" s="71"/>
      <c r="F189" s="72"/>
      <c r="G189" s="75"/>
      <c r="H189" s="73"/>
      <c r="I189" s="51">
        <f t="shared" si="1"/>
        <v>0</v>
      </c>
      <c r="J189" s="74"/>
      <c r="K189" s="51">
        <f t="shared" si="2"/>
        <v>0</v>
      </c>
      <c r="L189" s="8">
        <f t="shared" si="3"/>
        <v>0</v>
      </c>
      <c r="M189" s="51">
        <f t="shared" si="4"/>
        <v>0</v>
      </c>
      <c r="N189" s="67"/>
    </row>
    <row r="190" ht="15.75" customHeight="1">
      <c r="A190" s="1"/>
      <c r="B190" s="69"/>
      <c r="D190" s="70"/>
      <c r="E190" s="71"/>
      <c r="F190" s="72"/>
      <c r="G190" s="75"/>
      <c r="H190" s="73"/>
      <c r="I190" s="51">
        <f t="shared" si="1"/>
        <v>0</v>
      </c>
      <c r="J190" s="74"/>
      <c r="K190" s="51">
        <f t="shared" si="2"/>
        <v>0</v>
      </c>
      <c r="L190" s="8">
        <f t="shared" si="3"/>
        <v>0</v>
      </c>
      <c r="M190" s="51">
        <f t="shared" si="4"/>
        <v>0</v>
      </c>
      <c r="N190" s="67"/>
    </row>
    <row r="191" ht="15.75" customHeight="1">
      <c r="A191" s="1"/>
      <c r="B191" s="69"/>
      <c r="D191" s="70"/>
      <c r="E191" s="71"/>
      <c r="F191" s="72"/>
      <c r="G191" s="75"/>
      <c r="H191" s="73"/>
      <c r="I191" s="51">
        <f t="shared" si="1"/>
        <v>0</v>
      </c>
      <c r="J191" s="74"/>
      <c r="K191" s="51">
        <f t="shared" si="2"/>
        <v>0</v>
      </c>
      <c r="L191" s="8">
        <f t="shared" si="3"/>
        <v>0</v>
      </c>
      <c r="M191" s="51">
        <f t="shared" si="4"/>
        <v>0</v>
      </c>
      <c r="N191" s="67"/>
    </row>
    <row r="192" ht="15.75" customHeight="1">
      <c r="A192" s="1"/>
      <c r="B192" s="69"/>
      <c r="D192" s="70"/>
      <c r="E192" s="71"/>
      <c r="F192" s="72"/>
      <c r="G192" s="75"/>
      <c r="H192" s="73"/>
      <c r="I192" s="51">
        <f t="shared" si="1"/>
        <v>0</v>
      </c>
      <c r="J192" s="74"/>
      <c r="K192" s="51">
        <f t="shared" si="2"/>
        <v>0</v>
      </c>
      <c r="L192" s="8">
        <f t="shared" si="3"/>
        <v>0</v>
      </c>
      <c r="M192" s="51">
        <f t="shared" si="4"/>
        <v>0</v>
      </c>
      <c r="N192" s="67"/>
    </row>
    <row r="193" ht="15.75" customHeight="1">
      <c r="A193" s="1"/>
      <c r="B193" s="69"/>
      <c r="D193" s="70"/>
      <c r="E193" s="71"/>
      <c r="F193" s="72"/>
      <c r="G193" s="75"/>
      <c r="H193" s="73"/>
      <c r="I193" s="51">
        <f t="shared" si="1"/>
        <v>0</v>
      </c>
      <c r="J193" s="74"/>
      <c r="K193" s="51">
        <f t="shared" si="2"/>
        <v>0</v>
      </c>
      <c r="L193" s="8">
        <f t="shared" si="3"/>
        <v>0</v>
      </c>
      <c r="M193" s="51">
        <f t="shared" si="4"/>
        <v>0</v>
      </c>
      <c r="N193" s="67"/>
    </row>
    <row r="194" ht="15.75" customHeight="1">
      <c r="A194" s="1"/>
      <c r="B194" s="69"/>
      <c r="D194" s="70"/>
      <c r="E194" s="71"/>
      <c r="F194" s="72"/>
      <c r="G194" s="75"/>
      <c r="H194" s="73"/>
      <c r="I194" s="51">
        <f t="shared" si="1"/>
        <v>0</v>
      </c>
      <c r="J194" s="74"/>
      <c r="K194" s="51">
        <f t="shared" si="2"/>
        <v>0</v>
      </c>
      <c r="L194" s="8">
        <f t="shared" si="3"/>
        <v>0</v>
      </c>
      <c r="M194" s="51">
        <f t="shared" si="4"/>
        <v>0</v>
      </c>
      <c r="N194" s="67"/>
    </row>
    <row r="195" ht="15.75" customHeight="1">
      <c r="A195" s="1"/>
      <c r="B195" s="69"/>
      <c r="D195" s="70"/>
      <c r="E195" s="71"/>
      <c r="F195" s="72"/>
      <c r="G195" s="75"/>
      <c r="H195" s="73"/>
      <c r="I195" s="51">
        <f t="shared" si="1"/>
        <v>0</v>
      </c>
      <c r="J195" s="74"/>
      <c r="K195" s="51">
        <f t="shared" si="2"/>
        <v>0</v>
      </c>
      <c r="L195" s="8">
        <f t="shared" si="3"/>
        <v>0</v>
      </c>
      <c r="M195" s="51">
        <f t="shared" si="4"/>
        <v>0</v>
      </c>
      <c r="N195" s="67"/>
    </row>
    <row r="196" ht="15.75" customHeight="1">
      <c r="A196" s="1"/>
      <c r="B196" s="69"/>
      <c r="D196" s="70"/>
      <c r="E196" s="71"/>
      <c r="F196" s="72"/>
      <c r="G196" s="75"/>
      <c r="H196" s="73"/>
      <c r="I196" s="51">
        <f t="shared" si="1"/>
        <v>0</v>
      </c>
      <c r="J196" s="74"/>
      <c r="K196" s="51">
        <f t="shared" si="2"/>
        <v>0</v>
      </c>
      <c r="L196" s="8">
        <f t="shared" si="3"/>
        <v>0</v>
      </c>
      <c r="M196" s="51">
        <f t="shared" si="4"/>
        <v>0</v>
      </c>
      <c r="N196" s="67"/>
    </row>
    <row r="197" ht="15.75" customHeight="1">
      <c r="A197" s="1"/>
      <c r="B197" s="69"/>
      <c r="D197" s="70"/>
      <c r="E197" s="71"/>
      <c r="F197" s="72"/>
      <c r="G197" s="75"/>
      <c r="H197" s="73"/>
      <c r="I197" s="51">
        <f t="shared" si="1"/>
        <v>0</v>
      </c>
      <c r="J197" s="74"/>
      <c r="K197" s="51">
        <f t="shared" si="2"/>
        <v>0</v>
      </c>
      <c r="L197" s="8">
        <f t="shared" si="3"/>
        <v>0</v>
      </c>
      <c r="M197" s="51">
        <f t="shared" si="4"/>
        <v>0</v>
      </c>
      <c r="N197" s="67"/>
    </row>
    <row r="198" ht="15.75" customHeight="1">
      <c r="A198" s="1"/>
      <c r="B198" s="69"/>
      <c r="D198" s="70"/>
      <c r="E198" s="71"/>
      <c r="F198" s="72"/>
      <c r="G198" s="75"/>
      <c r="H198" s="73"/>
      <c r="I198" s="51">
        <f t="shared" si="1"/>
        <v>0</v>
      </c>
      <c r="J198" s="74"/>
      <c r="K198" s="51">
        <f t="shared" si="2"/>
        <v>0</v>
      </c>
      <c r="L198" s="8">
        <f t="shared" si="3"/>
        <v>0</v>
      </c>
      <c r="M198" s="51">
        <f t="shared" si="4"/>
        <v>0</v>
      </c>
      <c r="N198" s="67"/>
    </row>
    <row r="199" ht="15.75" customHeight="1">
      <c r="A199" s="1"/>
      <c r="B199" s="69"/>
      <c r="D199" s="70"/>
      <c r="E199" s="71"/>
      <c r="F199" s="72"/>
      <c r="G199" s="75"/>
      <c r="H199" s="73"/>
      <c r="I199" s="51">
        <f t="shared" si="1"/>
        <v>0</v>
      </c>
      <c r="J199" s="74"/>
      <c r="K199" s="51">
        <f t="shared" si="2"/>
        <v>0</v>
      </c>
      <c r="L199" s="8">
        <f t="shared" si="3"/>
        <v>0</v>
      </c>
      <c r="M199" s="51">
        <f t="shared" si="4"/>
        <v>0</v>
      </c>
      <c r="N199" s="67"/>
    </row>
    <row r="200" ht="15.75" customHeight="1">
      <c r="A200" s="1"/>
      <c r="B200" s="69"/>
      <c r="D200" s="70"/>
      <c r="E200" s="71"/>
      <c r="F200" s="72"/>
      <c r="G200" s="75"/>
      <c r="H200" s="73"/>
      <c r="I200" s="51">
        <f t="shared" si="1"/>
        <v>0</v>
      </c>
      <c r="J200" s="74"/>
      <c r="K200" s="51">
        <f t="shared" si="2"/>
        <v>0</v>
      </c>
      <c r="L200" s="8">
        <f t="shared" si="3"/>
        <v>0</v>
      </c>
      <c r="M200" s="51">
        <f t="shared" si="4"/>
        <v>0</v>
      </c>
      <c r="N200" s="67"/>
    </row>
    <row r="201" ht="15.75" customHeight="1">
      <c r="A201" s="1"/>
      <c r="B201" s="69"/>
      <c r="D201" s="70"/>
      <c r="E201" s="71"/>
      <c r="F201" s="72"/>
      <c r="G201" s="75"/>
      <c r="H201" s="73"/>
      <c r="I201" s="51">
        <f t="shared" si="1"/>
        <v>0</v>
      </c>
      <c r="J201" s="74"/>
      <c r="K201" s="51">
        <f t="shared" si="2"/>
        <v>0</v>
      </c>
      <c r="L201" s="8">
        <f t="shared" si="3"/>
        <v>0</v>
      </c>
      <c r="M201" s="51">
        <f t="shared" si="4"/>
        <v>0</v>
      </c>
      <c r="N201" s="67"/>
    </row>
    <row r="202" ht="15.75" customHeight="1">
      <c r="A202" s="1"/>
      <c r="B202" s="69"/>
      <c r="D202" s="70"/>
      <c r="E202" s="71"/>
      <c r="F202" s="72"/>
      <c r="G202" s="75"/>
      <c r="H202" s="73"/>
      <c r="I202" s="51">
        <f t="shared" si="1"/>
        <v>0</v>
      </c>
      <c r="J202" s="74"/>
      <c r="K202" s="51">
        <f t="shared" si="2"/>
        <v>0</v>
      </c>
      <c r="L202" s="8">
        <f t="shared" si="3"/>
        <v>0</v>
      </c>
      <c r="M202" s="51">
        <f t="shared" si="4"/>
        <v>0</v>
      </c>
      <c r="N202" s="67"/>
    </row>
    <row r="203" ht="15.75" customHeight="1">
      <c r="A203" s="1"/>
      <c r="B203" s="69"/>
      <c r="D203" s="70"/>
      <c r="E203" s="71"/>
      <c r="F203" s="72"/>
      <c r="G203" s="75"/>
      <c r="H203" s="73"/>
      <c r="I203" s="51">
        <f t="shared" si="1"/>
        <v>0</v>
      </c>
      <c r="J203" s="74"/>
      <c r="K203" s="51">
        <f t="shared" si="2"/>
        <v>0</v>
      </c>
      <c r="L203" s="8">
        <f t="shared" si="3"/>
        <v>0</v>
      </c>
      <c r="M203" s="51">
        <f t="shared" si="4"/>
        <v>0</v>
      </c>
      <c r="N203" s="67"/>
    </row>
    <row r="204" ht="15.75" customHeight="1">
      <c r="A204" s="1"/>
      <c r="B204" s="69"/>
      <c r="D204" s="70"/>
      <c r="E204" s="71"/>
      <c r="F204" s="72"/>
      <c r="G204" s="75"/>
      <c r="H204" s="73"/>
      <c r="I204" s="51">
        <f t="shared" si="1"/>
        <v>0</v>
      </c>
      <c r="J204" s="74"/>
      <c r="K204" s="51">
        <f t="shared" si="2"/>
        <v>0</v>
      </c>
      <c r="L204" s="8">
        <f t="shared" si="3"/>
        <v>0</v>
      </c>
      <c r="M204" s="51">
        <f t="shared" si="4"/>
        <v>0</v>
      </c>
      <c r="N204" s="67"/>
    </row>
    <row r="205" ht="15.75" customHeight="1">
      <c r="A205" s="1"/>
      <c r="B205" s="69"/>
      <c r="D205" s="70"/>
      <c r="E205" s="71"/>
      <c r="F205" s="72"/>
      <c r="G205" s="75"/>
      <c r="H205" s="73"/>
      <c r="I205" s="51">
        <f t="shared" si="1"/>
        <v>0</v>
      </c>
      <c r="J205" s="74"/>
      <c r="K205" s="51">
        <f t="shared" si="2"/>
        <v>0</v>
      </c>
      <c r="L205" s="8">
        <f t="shared" si="3"/>
        <v>0</v>
      </c>
      <c r="M205" s="51">
        <f t="shared" si="4"/>
        <v>0</v>
      </c>
      <c r="N205" s="67"/>
    </row>
    <row r="206" ht="15.75" customHeight="1">
      <c r="A206" s="1"/>
      <c r="B206" s="69"/>
      <c r="D206" s="70"/>
      <c r="E206" s="71"/>
      <c r="F206" s="72"/>
      <c r="G206" s="75"/>
      <c r="H206" s="73"/>
      <c r="I206" s="51">
        <f t="shared" si="1"/>
        <v>0</v>
      </c>
      <c r="J206" s="74"/>
      <c r="K206" s="51">
        <f t="shared" si="2"/>
        <v>0</v>
      </c>
      <c r="L206" s="8">
        <f t="shared" si="3"/>
        <v>0</v>
      </c>
      <c r="M206" s="51">
        <f t="shared" si="4"/>
        <v>0</v>
      </c>
      <c r="N206" s="67"/>
    </row>
    <row r="207" ht="15.75" customHeight="1">
      <c r="A207" s="1"/>
      <c r="B207" s="69"/>
      <c r="D207" s="70"/>
      <c r="E207" s="71"/>
      <c r="F207" s="72"/>
      <c r="G207" s="75"/>
      <c r="H207" s="73"/>
      <c r="I207" s="51">
        <f t="shared" si="1"/>
        <v>0</v>
      </c>
      <c r="J207" s="74"/>
      <c r="K207" s="51">
        <f t="shared" si="2"/>
        <v>0</v>
      </c>
      <c r="L207" s="8">
        <f t="shared" si="3"/>
        <v>0</v>
      </c>
      <c r="M207" s="51">
        <f t="shared" si="4"/>
        <v>0</v>
      </c>
      <c r="N207" s="67"/>
    </row>
    <row r="208" ht="15.75" customHeight="1">
      <c r="A208" s="1"/>
      <c r="B208" s="69"/>
      <c r="D208" s="70"/>
      <c r="E208" s="71"/>
      <c r="F208" s="72"/>
      <c r="G208" s="75"/>
      <c r="H208" s="73"/>
      <c r="I208" s="51">
        <f t="shared" si="1"/>
        <v>0</v>
      </c>
      <c r="J208" s="74"/>
      <c r="K208" s="51">
        <f t="shared" si="2"/>
        <v>0</v>
      </c>
      <c r="L208" s="8">
        <f t="shared" si="3"/>
        <v>0</v>
      </c>
      <c r="M208" s="51">
        <f t="shared" si="4"/>
        <v>0</v>
      </c>
      <c r="N208" s="67"/>
    </row>
    <row r="209" ht="15.75" customHeight="1">
      <c r="A209" s="1"/>
      <c r="B209" s="69"/>
      <c r="D209" s="70"/>
      <c r="E209" s="71"/>
      <c r="F209" s="72"/>
      <c r="G209" s="75"/>
      <c r="H209" s="73"/>
      <c r="I209" s="51">
        <f t="shared" si="1"/>
        <v>0</v>
      </c>
      <c r="J209" s="74"/>
      <c r="K209" s="51">
        <f t="shared" si="2"/>
        <v>0</v>
      </c>
      <c r="L209" s="8">
        <f t="shared" si="3"/>
        <v>0</v>
      </c>
      <c r="M209" s="51">
        <f t="shared" si="4"/>
        <v>0</v>
      </c>
      <c r="N209" s="67"/>
    </row>
    <row r="210" ht="15.75" customHeight="1">
      <c r="A210" s="1"/>
      <c r="B210" s="69"/>
      <c r="D210" s="70"/>
      <c r="E210" s="71"/>
      <c r="F210" s="72"/>
      <c r="G210" s="75"/>
      <c r="H210" s="73"/>
      <c r="I210" s="51">
        <f t="shared" si="1"/>
        <v>0</v>
      </c>
      <c r="J210" s="74"/>
      <c r="K210" s="51">
        <f t="shared" si="2"/>
        <v>0</v>
      </c>
      <c r="L210" s="8">
        <f t="shared" si="3"/>
        <v>0</v>
      </c>
      <c r="M210" s="51">
        <f t="shared" si="4"/>
        <v>0</v>
      </c>
      <c r="N210" s="67"/>
    </row>
    <row r="211" ht="15.75" customHeight="1">
      <c r="A211" s="1"/>
      <c r="B211" s="69"/>
      <c r="D211" s="70"/>
      <c r="E211" s="71"/>
      <c r="F211" s="72"/>
      <c r="G211" s="75"/>
      <c r="H211" s="73"/>
      <c r="I211" s="51">
        <f t="shared" si="1"/>
        <v>0</v>
      </c>
      <c r="J211" s="74"/>
      <c r="K211" s="51">
        <f t="shared" si="2"/>
        <v>0</v>
      </c>
      <c r="L211" s="8">
        <f t="shared" si="3"/>
        <v>0</v>
      </c>
      <c r="M211" s="51">
        <f t="shared" si="4"/>
        <v>0</v>
      </c>
      <c r="N211" s="67"/>
    </row>
    <row r="212" ht="15.75" customHeight="1">
      <c r="A212" s="1"/>
      <c r="B212" s="69"/>
      <c r="D212" s="70"/>
      <c r="E212" s="71"/>
      <c r="F212" s="72"/>
      <c r="G212" s="75"/>
      <c r="H212" s="73"/>
      <c r="I212" s="51">
        <f t="shared" si="1"/>
        <v>0</v>
      </c>
      <c r="J212" s="74"/>
      <c r="K212" s="51">
        <f t="shared" si="2"/>
        <v>0</v>
      </c>
      <c r="L212" s="8">
        <f t="shared" si="3"/>
        <v>0</v>
      </c>
      <c r="M212" s="51">
        <f t="shared" si="4"/>
        <v>0</v>
      </c>
      <c r="N212" s="67"/>
    </row>
    <row r="213" ht="15.75" customHeight="1">
      <c r="A213" s="1"/>
      <c r="B213" s="69"/>
      <c r="D213" s="70"/>
      <c r="E213" s="71"/>
      <c r="F213" s="72"/>
      <c r="G213" s="75"/>
      <c r="H213" s="73"/>
      <c r="I213" s="51">
        <f t="shared" si="1"/>
        <v>0</v>
      </c>
      <c r="J213" s="74"/>
      <c r="K213" s="51">
        <f t="shared" si="2"/>
        <v>0</v>
      </c>
      <c r="L213" s="8">
        <f t="shared" si="3"/>
        <v>0</v>
      </c>
      <c r="M213" s="51">
        <f t="shared" si="4"/>
        <v>0</v>
      </c>
      <c r="N213" s="67"/>
    </row>
    <row r="214" ht="15.75" customHeight="1">
      <c r="A214" s="1"/>
      <c r="B214" s="69"/>
      <c r="D214" s="70"/>
      <c r="E214" s="71"/>
      <c r="F214" s="72"/>
      <c r="G214" s="75"/>
      <c r="H214" s="73"/>
      <c r="I214" s="51">
        <f t="shared" si="1"/>
        <v>0</v>
      </c>
      <c r="J214" s="74"/>
      <c r="K214" s="51">
        <f t="shared" si="2"/>
        <v>0</v>
      </c>
      <c r="L214" s="8">
        <f t="shared" si="3"/>
        <v>0</v>
      </c>
      <c r="M214" s="51">
        <f t="shared" si="4"/>
        <v>0</v>
      </c>
      <c r="N214" s="67"/>
    </row>
    <row r="215" ht="15.75" customHeight="1">
      <c r="A215" s="1"/>
      <c r="B215" s="69"/>
      <c r="D215" s="70"/>
      <c r="E215" s="71"/>
      <c r="F215" s="72"/>
      <c r="G215" s="75"/>
      <c r="H215" s="73"/>
      <c r="I215" s="51">
        <f t="shared" si="1"/>
        <v>0</v>
      </c>
      <c r="J215" s="74"/>
      <c r="K215" s="51">
        <f t="shared" si="2"/>
        <v>0</v>
      </c>
      <c r="L215" s="8">
        <f t="shared" si="3"/>
        <v>0</v>
      </c>
      <c r="M215" s="51">
        <f t="shared" si="4"/>
        <v>0</v>
      </c>
      <c r="N215" s="67"/>
    </row>
    <row r="216" ht="15.75" customHeight="1">
      <c r="A216" s="1"/>
      <c r="B216" s="69"/>
      <c r="D216" s="70"/>
      <c r="E216" s="71"/>
      <c r="F216" s="72"/>
      <c r="G216" s="75"/>
      <c r="H216" s="73"/>
      <c r="I216" s="51">
        <f t="shared" si="1"/>
        <v>0</v>
      </c>
      <c r="J216" s="74"/>
      <c r="K216" s="51">
        <f t="shared" si="2"/>
        <v>0</v>
      </c>
      <c r="L216" s="8">
        <f t="shared" si="3"/>
        <v>0</v>
      </c>
      <c r="M216" s="51">
        <f t="shared" si="4"/>
        <v>0</v>
      </c>
      <c r="N216" s="67"/>
    </row>
    <row r="217" ht="15.75" customHeight="1">
      <c r="A217" s="1"/>
      <c r="B217" s="69"/>
      <c r="D217" s="70"/>
      <c r="E217" s="71"/>
      <c r="F217" s="72"/>
      <c r="G217" s="75"/>
      <c r="H217" s="73"/>
      <c r="I217" s="51">
        <f t="shared" si="1"/>
        <v>0</v>
      </c>
      <c r="J217" s="74"/>
      <c r="K217" s="51">
        <f t="shared" si="2"/>
        <v>0</v>
      </c>
      <c r="L217" s="8">
        <f t="shared" si="3"/>
        <v>0</v>
      </c>
      <c r="M217" s="51">
        <f t="shared" si="4"/>
        <v>0</v>
      </c>
      <c r="N217" s="67"/>
    </row>
    <row r="218" ht="15.75" customHeight="1">
      <c r="A218" s="1"/>
      <c r="B218" s="69"/>
      <c r="D218" s="70"/>
      <c r="E218" s="71"/>
      <c r="F218" s="72"/>
      <c r="G218" s="75"/>
      <c r="H218" s="73"/>
      <c r="I218" s="51">
        <f t="shared" si="1"/>
        <v>0</v>
      </c>
      <c r="J218" s="74"/>
      <c r="K218" s="51">
        <f t="shared" si="2"/>
        <v>0</v>
      </c>
      <c r="L218" s="8">
        <f t="shared" si="3"/>
        <v>0</v>
      </c>
      <c r="M218" s="51">
        <f t="shared" si="4"/>
        <v>0</v>
      </c>
      <c r="N218" s="67"/>
    </row>
    <row r="219" ht="15.75" customHeight="1">
      <c r="A219" s="1"/>
      <c r="B219" s="69"/>
      <c r="D219" s="70"/>
      <c r="E219" s="71"/>
      <c r="F219" s="72"/>
      <c r="G219" s="75"/>
      <c r="H219" s="73"/>
      <c r="I219" s="51">
        <f t="shared" si="1"/>
        <v>0</v>
      </c>
      <c r="J219" s="74"/>
      <c r="K219" s="51">
        <f t="shared" si="2"/>
        <v>0</v>
      </c>
      <c r="L219" s="8">
        <f t="shared" si="3"/>
        <v>0</v>
      </c>
      <c r="M219" s="51">
        <f t="shared" si="4"/>
        <v>0</v>
      </c>
      <c r="N219" s="67"/>
    </row>
    <row r="220" ht="15.75" customHeight="1">
      <c r="A220" s="1"/>
      <c r="B220" s="69"/>
      <c r="D220" s="70"/>
      <c r="E220" s="71"/>
      <c r="F220" s="72"/>
      <c r="G220" s="75"/>
      <c r="H220" s="73"/>
      <c r="I220" s="51">
        <f t="shared" si="1"/>
        <v>0</v>
      </c>
      <c r="J220" s="74"/>
      <c r="K220" s="51">
        <f t="shared" si="2"/>
        <v>0</v>
      </c>
      <c r="L220" s="8">
        <f t="shared" si="3"/>
        <v>0</v>
      </c>
      <c r="M220" s="51">
        <f t="shared" si="4"/>
        <v>0</v>
      </c>
      <c r="N220" s="67"/>
    </row>
    <row r="221" ht="15.75" customHeight="1">
      <c r="A221" s="1"/>
      <c r="B221" s="69"/>
      <c r="D221" s="70"/>
      <c r="E221" s="71"/>
      <c r="F221" s="72"/>
      <c r="G221" s="75"/>
      <c r="H221" s="73"/>
      <c r="I221" s="51">
        <f t="shared" si="1"/>
        <v>0</v>
      </c>
      <c r="J221" s="74"/>
      <c r="K221" s="51">
        <f t="shared" si="2"/>
        <v>0</v>
      </c>
      <c r="L221" s="8">
        <f t="shared" si="3"/>
        <v>0</v>
      </c>
      <c r="M221" s="51">
        <f t="shared" si="4"/>
        <v>0</v>
      </c>
      <c r="N221" s="67"/>
    </row>
    <row r="222" ht="15.75" customHeight="1">
      <c r="A222" s="1"/>
      <c r="B222" s="69"/>
      <c r="D222" s="70"/>
      <c r="E222" s="71"/>
      <c r="F222" s="72"/>
      <c r="G222" s="75"/>
      <c r="H222" s="73"/>
      <c r="I222" s="51">
        <f t="shared" si="1"/>
        <v>0</v>
      </c>
      <c r="J222" s="74"/>
      <c r="K222" s="51">
        <f t="shared" si="2"/>
        <v>0</v>
      </c>
      <c r="L222" s="8">
        <f t="shared" si="3"/>
        <v>0</v>
      </c>
      <c r="M222" s="51">
        <f t="shared" si="4"/>
        <v>0</v>
      </c>
      <c r="N222" s="67"/>
    </row>
    <row r="223" ht="15.75" customHeight="1">
      <c r="A223" s="1"/>
      <c r="B223" s="69"/>
      <c r="D223" s="70"/>
      <c r="E223" s="71"/>
      <c r="F223" s="72"/>
      <c r="G223" s="75"/>
      <c r="H223" s="73"/>
      <c r="I223" s="51">
        <f t="shared" si="1"/>
        <v>0</v>
      </c>
      <c r="J223" s="74"/>
      <c r="K223" s="51">
        <f t="shared" si="2"/>
        <v>0</v>
      </c>
      <c r="L223" s="8">
        <f t="shared" si="3"/>
        <v>0</v>
      </c>
      <c r="M223" s="51">
        <f t="shared" si="4"/>
        <v>0</v>
      </c>
      <c r="N223" s="67"/>
    </row>
    <row r="224" ht="15.75" customHeight="1">
      <c r="A224" s="1"/>
      <c r="B224" s="69"/>
      <c r="D224" s="70"/>
      <c r="E224" s="71"/>
      <c r="F224" s="72"/>
      <c r="G224" s="75"/>
      <c r="H224" s="73"/>
      <c r="I224" s="51">
        <f t="shared" si="1"/>
        <v>0</v>
      </c>
      <c r="J224" s="74"/>
      <c r="K224" s="51">
        <f t="shared" si="2"/>
        <v>0</v>
      </c>
      <c r="L224" s="8">
        <f t="shared" si="3"/>
        <v>0</v>
      </c>
      <c r="M224" s="51">
        <f t="shared" si="4"/>
        <v>0</v>
      </c>
      <c r="N224" s="67"/>
    </row>
    <row r="225" ht="15.75" customHeight="1">
      <c r="A225" s="1"/>
      <c r="B225" s="69"/>
      <c r="D225" s="70"/>
      <c r="E225" s="71"/>
      <c r="F225" s="72"/>
      <c r="G225" s="75"/>
      <c r="H225" s="73"/>
      <c r="I225" s="51">
        <f t="shared" si="1"/>
        <v>0</v>
      </c>
      <c r="J225" s="74"/>
      <c r="K225" s="51">
        <f t="shared" si="2"/>
        <v>0</v>
      </c>
      <c r="L225" s="8">
        <f t="shared" si="3"/>
        <v>0</v>
      </c>
      <c r="M225" s="51">
        <f t="shared" si="4"/>
        <v>0</v>
      </c>
      <c r="N225" s="67"/>
    </row>
    <row r="226" ht="15.75" customHeight="1">
      <c r="A226" s="1"/>
      <c r="B226" s="69"/>
      <c r="D226" s="70"/>
      <c r="E226" s="71"/>
      <c r="F226" s="72"/>
      <c r="G226" s="75"/>
      <c r="H226" s="73"/>
      <c r="I226" s="51">
        <f t="shared" si="1"/>
        <v>0</v>
      </c>
      <c r="J226" s="74"/>
      <c r="K226" s="51">
        <f t="shared" si="2"/>
        <v>0</v>
      </c>
      <c r="L226" s="8">
        <f t="shared" si="3"/>
        <v>0</v>
      </c>
      <c r="M226" s="51">
        <f t="shared" si="4"/>
        <v>0</v>
      </c>
      <c r="N226" s="67"/>
    </row>
    <row r="227" ht="15.75" customHeight="1">
      <c r="A227" s="1"/>
      <c r="B227" s="69"/>
      <c r="D227" s="70"/>
      <c r="E227" s="71"/>
      <c r="F227" s="72"/>
      <c r="G227" s="75"/>
      <c r="H227" s="73"/>
      <c r="I227" s="51">
        <f t="shared" si="1"/>
        <v>0</v>
      </c>
      <c r="J227" s="74"/>
      <c r="K227" s="51">
        <f t="shared" si="2"/>
        <v>0</v>
      </c>
      <c r="L227" s="8">
        <f t="shared" si="3"/>
        <v>0</v>
      </c>
      <c r="M227" s="51">
        <f t="shared" si="4"/>
        <v>0</v>
      </c>
      <c r="N227" s="67"/>
    </row>
    <row r="228" ht="15.75" customHeight="1">
      <c r="A228" s="1"/>
      <c r="B228" s="69"/>
      <c r="D228" s="70"/>
      <c r="E228" s="71"/>
      <c r="F228" s="72"/>
      <c r="G228" s="75"/>
      <c r="H228" s="73"/>
      <c r="I228" s="51">
        <f t="shared" si="1"/>
        <v>0</v>
      </c>
      <c r="J228" s="74"/>
      <c r="K228" s="51">
        <f t="shared" si="2"/>
        <v>0</v>
      </c>
      <c r="L228" s="8">
        <f t="shared" si="3"/>
        <v>0</v>
      </c>
      <c r="M228" s="51">
        <f t="shared" si="4"/>
        <v>0</v>
      </c>
      <c r="N228" s="67"/>
    </row>
    <row r="229" ht="15.75" customHeight="1">
      <c r="A229" s="1"/>
      <c r="B229" s="69"/>
      <c r="D229" s="70"/>
      <c r="E229" s="71"/>
      <c r="F229" s="72"/>
      <c r="G229" s="75"/>
      <c r="H229" s="73"/>
      <c r="I229" s="51">
        <f t="shared" si="1"/>
        <v>0</v>
      </c>
      <c r="J229" s="74"/>
      <c r="K229" s="51">
        <f t="shared" si="2"/>
        <v>0</v>
      </c>
      <c r="L229" s="8">
        <f t="shared" si="3"/>
        <v>0</v>
      </c>
      <c r="M229" s="51">
        <f t="shared" si="4"/>
        <v>0</v>
      </c>
      <c r="N229" s="67"/>
    </row>
    <row r="230" ht="15.75" customHeight="1">
      <c r="A230" s="1"/>
      <c r="B230" s="69"/>
      <c r="D230" s="70"/>
      <c r="E230" s="71"/>
      <c r="F230" s="72"/>
      <c r="G230" s="75"/>
      <c r="H230" s="73"/>
      <c r="I230" s="51">
        <f t="shared" si="1"/>
        <v>0</v>
      </c>
      <c r="J230" s="74"/>
      <c r="K230" s="51">
        <f t="shared" si="2"/>
        <v>0</v>
      </c>
      <c r="L230" s="8">
        <f t="shared" si="3"/>
        <v>0</v>
      </c>
      <c r="M230" s="51">
        <f t="shared" si="4"/>
        <v>0</v>
      </c>
      <c r="N230" s="67"/>
    </row>
    <row r="231" ht="15.75" customHeight="1">
      <c r="A231" s="1"/>
      <c r="B231" s="69"/>
      <c r="D231" s="70"/>
      <c r="E231" s="71"/>
      <c r="F231" s="72"/>
      <c r="G231" s="75"/>
      <c r="H231" s="73"/>
      <c r="I231" s="51">
        <f t="shared" si="1"/>
        <v>0</v>
      </c>
      <c r="J231" s="74"/>
      <c r="K231" s="51">
        <f t="shared" si="2"/>
        <v>0</v>
      </c>
      <c r="L231" s="8">
        <f t="shared" si="3"/>
        <v>0</v>
      </c>
      <c r="M231" s="51">
        <f t="shared" si="4"/>
        <v>0</v>
      </c>
      <c r="N231" s="67"/>
    </row>
    <row r="232" ht="15.75" customHeight="1">
      <c r="A232" s="1"/>
      <c r="B232" s="69"/>
      <c r="D232" s="70"/>
      <c r="E232" s="71"/>
      <c r="F232" s="72"/>
      <c r="G232" s="75"/>
      <c r="H232" s="73"/>
      <c r="I232" s="51">
        <f t="shared" si="1"/>
        <v>0</v>
      </c>
      <c r="J232" s="74"/>
      <c r="K232" s="51">
        <f t="shared" si="2"/>
        <v>0</v>
      </c>
      <c r="L232" s="8">
        <f t="shared" si="3"/>
        <v>0</v>
      </c>
      <c r="M232" s="51">
        <f t="shared" si="4"/>
        <v>0</v>
      </c>
      <c r="N232" s="67"/>
    </row>
    <row r="233" ht="15.75" customHeight="1">
      <c r="A233" s="1"/>
      <c r="B233" s="69"/>
      <c r="D233" s="70"/>
      <c r="E233" s="71"/>
      <c r="F233" s="72"/>
      <c r="G233" s="75"/>
      <c r="H233" s="73"/>
      <c r="I233" s="51">
        <f t="shared" si="1"/>
        <v>0</v>
      </c>
      <c r="J233" s="74"/>
      <c r="K233" s="51">
        <f t="shared" si="2"/>
        <v>0</v>
      </c>
      <c r="L233" s="8">
        <f t="shared" si="3"/>
        <v>0</v>
      </c>
      <c r="M233" s="51">
        <f t="shared" si="4"/>
        <v>0</v>
      </c>
      <c r="N233" s="67"/>
    </row>
    <row r="234" ht="15.75" customHeight="1">
      <c r="A234" s="1"/>
      <c r="B234" s="69"/>
      <c r="D234" s="70"/>
      <c r="E234" s="71"/>
      <c r="F234" s="72"/>
      <c r="G234" s="75"/>
      <c r="H234" s="73"/>
      <c r="I234" s="51">
        <f t="shared" si="1"/>
        <v>0</v>
      </c>
      <c r="J234" s="74"/>
      <c r="K234" s="51">
        <f t="shared" si="2"/>
        <v>0</v>
      </c>
      <c r="L234" s="8">
        <f t="shared" si="3"/>
        <v>0</v>
      </c>
      <c r="M234" s="51">
        <f t="shared" si="4"/>
        <v>0</v>
      </c>
      <c r="N234" s="67"/>
    </row>
    <row r="235" ht="15.75" customHeight="1">
      <c r="A235" s="1"/>
      <c r="B235" s="69"/>
      <c r="D235" s="70"/>
      <c r="E235" s="71"/>
      <c r="F235" s="72"/>
      <c r="G235" s="75"/>
      <c r="H235" s="73"/>
      <c r="I235" s="51">
        <f t="shared" si="1"/>
        <v>0</v>
      </c>
      <c r="J235" s="74"/>
      <c r="K235" s="51">
        <f t="shared" si="2"/>
        <v>0</v>
      </c>
      <c r="L235" s="8">
        <f t="shared" si="3"/>
        <v>0</v>
      </c>
      <c r="M235" s="51">
        <f t="shared" si="4"/>
        <v>0</v>
      </c>
      <c r="N235" s="67"/>
    </row>
    <row r="236" ht="15.75" customHeight="1">
      <c r="A236" s="1"/>
      <c r="B236" s="69"/>
      <c r="D236" s="70"/>
      <c r="E236" s="71"/>
      <c r="F236" s="72"/>
      <c r="G236" s="75"/>
      <c r="H236" s="73"/>
      <c r="I236" s="51">
        <f t="shared" si="1"/>
        <v>0</v>
      </c>
      <c r="J236" s="74"/>
      <c r="K236" s="51">
        <f t="shared" si="2"/>
        <v>0</v>
      </c>
      <c r="L236" s="8">
        <f t="shared" si="3"/>
        <v>0</v>
      </c>
      <c r="M236" s="51">
        <f t="shared" si="4"/>
        <v>0</v>
      </c>
      <c r="N236" s="67"/>
    </row>
    <row r="237" ht="15.75" customHeight="1">
      <c r="A237" s="1"/>
      <c r="B237" s="69"/>
      <c r="D237" s="70"/>
      <c r="E237" s="71"/>
      <c r="F237" s="72"/>
      <c r="G237" s="75"/>
      <c r="H237" s="73"/>
      <c r="I237" s="51">
        <f t="shared" si="1"/>
        <v>0</v>
      </c>
      <c r="J237" s="74"/>
      <c r="K237" s="51">
        <f t="shared" si="2"/>
        <v>0</v>
      </c>
      <c r="L237" s="8">
        <f t="shared" si="3"/>
        <v>0</v>
      </c>
      <c r="M237" s="51">
        <f t="shared" si="4"/>
        <v>0</v>
      </c>
      <c r="N237" s="67"/>
    </row>
    <row r="238" ht="15.75" customHeight="1">
      <c r="A238" s="1"/>
      <c r="B238" s="69"/>
      <c r="D238" s="70"/>
      <c r="E238" s="71"/>
      <c r="F238" s="72"/>
      <c r="G238" s="75"/>
      <c r="H238" s="73"/>
      <c r="I238" s="51">
        <f t="shared" si="1"/>
        <v>0</v>
      </c>
      <c r="J238" s="74"/>
      <c r="K238" s="51">
        <f t="shared" si="2"/>
        <v>0</v>
      </c>
      <c r="L238" s="8">
        <f t="shared" si="3"/>
        <v>0</v>
      </c>
      <c r="M238" s="51">
        <f t="shared" si="4"/>
        <v>0</v>
      </c>
      <c r="N238" s="67"/>
    </row>
    <row r="239" ht="15.75" customHeight="1">
      <c r="A239" s="1"/>
      <c r="B239" s="69"/>
      <c r="D239" s="70"/>
      <c r="E239" s="71"/>
      <c r="F239" s="72"/>
      <c r="G239" s="75"/>
      <c r="H239" s="73"/>
      <c r="I239" s="51">
        <f t="shared" si="1"/>
        <v>0</v>
      </c>
      <c r="J239" s="74"/>
      <c r="K239" s="51">
        <f t="shared" si="2"/>
        <v>0</v>
      </c>
      <c r="L239" s="8">
        <f t="shared" si="3"/>
        <v>0</v>
      </c>
      <c r="M239" s="51">
        <f t="shared" si="4"/>
        <v>0</v>
      </c>
      <c r="N239" s="67"/>
    </row>
    <row r="240" ht="15.75" customHeight="1">
      <c r="A240" s="1"/>
      <c r="B240" s="69"/>
      <c r="D240" s="70"/>
      <c r="E240" s="71"/>
      <c r="F240" s="72"/>
      <c r="G240" s="75"/>
      <c r="H240" s="73"/>
      <c r="I240" s="51">
        <f t="shared" si="1"/>
        <v>0</v>
      </c>
      <c r="J240" s="74"/>
      <c r="K240" s="51">
        <f t="shared" si="2"/>
        <v>0</v>
      </c>
      <c r="L240" s="8">
        <f t="shared" si="3"/>
        <v>0</v>
      </c>
      <c r="M240" s="51">
        <f t="shared" si="4"/>
        <v>0</v>
      </c>
      <c r="N240" s="67"/>
    </row>
    <row r="241" ht="15.75" customHeight="1">
      <c r="A241" s="1"/>
      <c r="B241" s="69"/>
      <c r="D241" s="70"/>
      <c r="E241" s="71"/>
      <c r="F241" s="72"/>
      <c r="G241" s="75"/>
      <c r="H241" s="73"/>
      <c r="I241" s="51">
        <f t="shared" si="1"/>
        <v>0</v>
      </c>
      <c r="J241" s="74"/>
      <c r="K241" s="51">
        <f t="shared" si="2"/>
        <v>0</v>
      </c>
      <c r="L241" s="8">
        <f t="shared" si="3"/>
        <v>0</v>
      </c>
      <c r="M241" s="51">
        <f t="shared" si="4"/>
        <v>0</v>
      </c>
      <c r="N241" s="67"/>
    </row>
    <row r="242" ht="15.75" customHeight="1">
      <c r="A242" s="1"/>
      <c r="B242" s="69"/>
      <c r="D242" s="70"/>
      <c r="E242" s="71"/>
      <c r="F242" s="72"/>
      <c r="G242" s="75"/>
      <c r="H242" s="73"/>
      <c r="I242" s="51">
        <f t="shared" si="1"/>
        <v>0</v>
      </c>
      <c r="J242" s="74"/>
      <c r="K242" s="51">
        <f t="shared" si="2"/>
        <v>0</v>
      </c>
      <c r="L242" s="8">
        <f t="shared" si="3"/>
        <v>0</v>
      </c>
      <c r="M242" s="51">
        <f t="shared" si="4"/>
        <v>0</v>
      </c>
      <c r="N242" s="67"/>
    </row>
    <row r="243" ht="15.75" customHeight="1">
      <c r="A243" s="1"/>
      <c r="B243" s="69"/>
      <c r="D243" s="70"/>
      <c r="E243" s="71"/>
      <c r="F243" s="72"/>
      <c r="G243" s="75"/>
      <c r="H243" s="73"/>
      <c r="I243" s="51">
        <f t="shared" si="1"/>
        <v>0</v>
      </c>
      <c r="J243" s="74"/>
      <c r="K243" s="51">
        <f t="shared" si="2"/>
        <v>0</v>
      </c>
      <c r="L243" s="8">
        <f t="shared" si="3"/>
        <v>0</v>
      </c>
      <c r="M243" s="51">
        <f t="shared" si="4"/>
        <v>0</v>
      </c>
      <c r="N243" s="67"/>
    </row>
    <row r="244" ht="15.75" customHeight="1">
      <c r="A244" s="1"/>
      <c r="B244" s="69"/>
      <c r="D244" s="70"/>
      <c r="E244" s="71"/>
      <c r="F244" s="72"/>
      <c r="G244" s="75"/>
      <c r="H244" s="73"/>
      <c r="I244" s="51">
        <f t="shared" si="1"/>
        <v>0</v>
      </c>
      <c r="J244" s="74"/>
      <c r="K244" s="51">
        <f t="shared" si="2"/>
        <v>0</v>
      </c>
      <c r="L244" s="8">
        <f t="shared" si="3"/>
        <v>0</v>
      </c>
      <c r="M244" s="51">
        <f t="shared" si="4"/>
        <v>0</v>
      </c>
      <c r="N244" s="67"/>
    </row>
    <row r="245" ht="15.75" customHeight="1">
      <c r="A245" s="1"/>
      <c r="B245" s="69"/>
      <c r="D245" s="70"/>
      <c r="E245" s="71"/>
      <c r="F245" s="72"/>
      <c r="G245" s="75"/>
      <c r="H245" s="73"/>
      <c r="I245" s="51">
        <f t="shared" si="1"/>
        <v>0</v>
      </c>
      <c r="J245" s="74"/>
      <c r="K245" s="51">
        <f t="shared" si="2"/>
        <v>0</v>
      </c>
      <c r="L245" s="8">
        <f t="shared" si="3"/>
        <v>0</v>
      </c>
      <c r="M245" s="51">
        <f t="shared" si="4"/>
        <v>0</v>
      </c>
      <c r="N245" s="67"/>
    </row>
    <row r="246" ht="15.75" customHeight="1">
      <c r="A246" s="1"/>
      <c r="B246" s="69"/>
      <c r="D246" s="70"/>
      <c r="E246" s="71"/>
      <c r="F246" s="72"/>
      <c r="G246" s="75"/>
      <c r="H246" s="73"/>
      <c r="I246" s="51">
        <f t="shared" si="1"/>
        <v>0</v>
      </c>
      <c r="J246" s="74"/>
      <c r="K246" s="51">
        <f t="shared" si="2"/>
        <v>0</v>
      </c>
      <c r="L246" s="8">
        <f t="shared" si="3"/>
        <v>0</v>
      </c>
      <c r="M246" s="51">
        <f t="shared" si="4"/>
        <v>0</v>
      </c>
      <c r="N246" s="67"/>
    </row>
    <row r="247" ht="15.75" customHeight="1">
      <c r="A247" s="1"/>
      <c r="B247" s="69"/>
      <c r="D247" s="70"/>
      <c r="E247" s="71"/>
      <c r="F247" s="72"/>
      <c r="G247" s="75"/>
      <c r="H247" s="73"/>
      <c r="I247" s="51">
        <f t="shared" si="1"/>
        <v>0</v>
      </c>
      <c r="J247" s="74"/>
      <c r="K247" s="51">
        <f t="shared" si="2"/>
        <v>0</v>
      </c>
      <c r="L247" s="8">
        <f t="shared" si="3"/>
        <v>0</v>
      </c>
      <c r="M247" s="51">
        <f t="shared" si="4"/>
        <v>0</v>
      </c>
      <c r="N247" s="67"/>
    </row>
    <row r="248" ht="15.75" customHeight="1">
      <c r="A248" s="1"/>
      <c r="B248" s="69"/>
      <c r="D248" s="70"/>
      <c r="E248" s="71"/>
      <c r="F248" s="72"/>
      <c r="G248" s="75"/>
      <c r="H248" s="73"/>
      <c r="I248" s="51">
        <f t="shared" si="1"/>
        <v>0</v>
      </c>
      <c r="J248" s="74"/>
      <c r="K248" s="51">
        <f t="shared" si="2"/>
        <v>0</v>
      </c>
      <c r="L248" s="8">
        <f t="shared" si="3"/>
        <v>0</v>
      </c>
      <c r="M248" s="51">
        <f t="shared" si="4"/>
        <v>0</v>
      </c>
      <c r="N248" s="67"/>
    </row>
    <row r="249" ht="15.75" customHeight="1">
      <c r="A249" s="1"/>
      <c r="B249" s="69"/>
      <c r="D249" s="70"/>
      <c r="E249" s="71"/>
      <c r="F249" s="72"/>
      <c r="G249" s="75"/>
      <c r="H249" s="73"/>
      <c r="I249" s="51">
        <f t="shared" si="1"/>
        <v>0</v>
      </c>
      <c r="J249" s="74"/>
      <c r="K249" s="51">
        <f t="shared" si="2"/>
        <v>0</v>
      </c>
      <c r="L249" s="8">
        <f t="shared" si="3"/>
        <v>0</v>
      </c>
      <c r="M249" s="51">
        <f t="shared" si="4"/>
        <v>0</v>
      </c>
      <c r="N249" s="67"/>
    </row>
    <row r="250" ht="15.75" customHeight="1">
      <c r="A250" s="1"/>
      <c r="B250" s="69"/>
      <c r="D250" s="70"/>
      <c r="E250" s="71"/>
      <c r="F250" s="72"/>
      <c r="G250" s="75"/>
      <c r="H250" s="73"/>
      <c r="I250" s="51">
        <f t="shared" si="1"/>
        <v>0</v>
      </c>
      <c r="J250" s="74"/>
      <c r="K250" s="51">
        <f t="shared" si="2"/>
        <v>0</v>
      </c>
      <c r="L250" s="8">
        <f t="shared" si="3"/>
        <v>0</v>
      </c>
      <c r="M250" s="51">
        <f t="shared" si="4"/>
        <v>0</v>
      </c>
      <c r="N250" s="67"/>
    </row>
    <row r="251" ht="15.75" customHeight="1">
      <c r="A251" s="1"/>
      <c r="B251" s="69"/>
      <c r="D251" s="70"/>
      <c r="E251" s="71"/>
      <c r="F251" s="72"/>
      <c r="G251" s="75"/>
      <c r="H251" s="73"/>
      <c r="I251" s="51">
        <f t="shared" si="1"/>
        <v>0</v>
      </c>
      <c r="J251" s="74"/>
      <c r="K251" s="51">
        <f t="shared" si="2"/>
        <v>0</v>
      </c>
      <c r="L251" s="8">
        <f t="shared" si="3"/>
        <v>0</v>
      </c>
      <c r="M251" s="51">
        <f t="shared" si="4"/>
        <v>0</v>
      </c>
      <c r="N251" s="67"/>
    </row>
    <row r="252" ht="15.75" customHeight="1">
      <c r="A252" s="1"/>
      <c r="B252" s="69"/>
      <c r="D252" s="70"/>
      <c r="E252" s="71"/>
      <c r="F252" s="72"/>
      <c r="G252" s="75"/>
      <c r="H252" s="73"/>
      <c r="I252" s="51">
        <f t="shared" si="1"/>
        <v>0</v>
      </c>
      <c r="J252" s="74"/>
      <c r="K252" s="51">
        <f t="shared" si="2"/>
        <v>0</v>
      </c>
      <c r="L252" s="8">
        <f t="shared" si="3"/>
        <v>0</v>
      </c>
      <c r="M252" s="51">
        <f t="shared" si="4"/>
        <v>0</v>
      </c>
      <c r="N252" s="67"/>
    </row>
    <row r="253" ht="15.75" customHeight="1">
      <c r="A253" s="1"/>
      <c r="B253" s="69"/>
      <c r="D253" s="70"/>
      <c r="E253" s="71"/>
      <c r="F253" s="72"/>
      <c r="G253" s="75"/>
      <c r="H253" s="73"/>
      <c r="I253" s="51">
        <f t="shared" si="1"/>
        <v>0</v>
      </c>
      <c r="J253" s="74"/>
      <c r="K253" s="51">
        <f t="shared" si="2"/>
        <v>0</v>
      </c>
      <c r="L253" s="8">
        <f t="shared" si="3"/>
        <v>0</v>
      </c>
      <c r="M253" s="51">
        <f t="shared" si="4"/>
        <v>0</v>
      </c>
      <c r="N253" s="67"/>
    </row>
    <row r="254" ht="15.75" customHeight="1">
      <c r="A254" s="1"/>
      <c r="B254" s="69"/>
      <c r="D254" s="70"/>
      <c r="E254" s="71"/>
      <c r="F254" s="72"/>
      <c r="G254" s="75"/>
      <c r="H254" s="73"/>
      <c r="I254" s="51">
        <f t="shared" si="1"/>
        <v>0</v>
      </c>
      <c r="J254" s="74"/>
      <c r="K254" s="51">
        <f t="shared" si="2"/>
        <v>0</v>
      </c>
      <c r="L254" s="8">
        <f t="shared" si="3"/>
        <v>0</v>
      </c>
      <c r="M254" s="51">
        <f t="shared" si="4"/>
        <v>0</v>
      </c>
      <c r="N254" s="67"/>
    </row>
    <row r="255" ht="15.75" customHeight="1">
      <c r="A255" s="1"/>
      <c r="B255" s="69"/>
      <c r="D255" s="70"/>
      <c r="E255" s="71"/>
      <c r="F255" s="72"/>
      <c r="G255" s="75"/>
      <c r="H255" s="73"/>
      <c r="I255" s="51">
        <f t="shared" si="1"/>
        <v>0</v>
      </c>
      <c r="J255" s="74"/>
      <c r="K255" s="51">
        <f t="shared" si="2"/>
        <v>0</v>
      </c>
      <c r="L255" s="8">
        <f t="shared" si="3"/>
        <v>0</v>
      </c>
      <c r="M255" s="51">
        <f t="shared" si="4"/>
        <v>0</v>
      </c>
      <c r="N255" s="67"/>
    </row>
    <row r="256" ht="15.75" customHeight="1">
      <c r="A256" s="1"/>
      <c r="B256" s="69"/>
      <c r="D256" s="70"/>
      <c r="E256" s="71"/>
      <c r="F256" s="72"/>
      <c r="G256" s="75"/>
      <c r="H256" s="73"/>
      <c r="I256" s="51">
        <f t="shared" si="1"/>
        <v>0</v>
      </c>
      <c r="J256" s="74"/>
      <c r="K256" s="51">
        <f t="shared" si="2"/>
        <v>0</v>
      </c>
      <c r="L256" s="8">
        <f t="shared" si="3"/>
        <v>0</v>
      </c>
      <c r="M256" s="51">
        <f t="shared" si="4"/>
        <v>0</v>
      </c>
      <c r="N256" s="67"/>
    </row>
    <row r="257" ht="15.75" customHeight="1">
      <c r="A257" s="1"/>
      <c r="B257" s="69"/>
      <c r="D257" s="70"/>
      <c r="E257" s="71"/>
      <c r="F257" s="72"/>
      <c r="G257" s="75"/>
      <c r="H257" s="73"/>
      <c r="I257" s="51">
        <f t="shared" si="1"/>
        <v>0</v>
      </c>
      <c r="J257" s="74"/>
      <c r="K257" s="51">
        <f t="shared" si="2"/>
        <v>0</v>
      </c>
      <c r="L257" s="8">
        <f t="shared" si="3"/>
        <v>0</v>
      </c>
      <c r="M257" s="51">
        <f t="shared" si="4"/>
        <v>0</v>
      </c>
      <c r="N257" s="67"/>
    </row>
    <row r="258" ht="15.75" customHeight="1">
      <c r="A258" s="1"/>
      <c r="B258" s="69"/>
      <c r="D258" s="70"/>
      <c r="E258" s="71"/>
      <c r="F258" s="72"/>
      <c r="G258" s="75"/>
      <c r="H258" s="73"/>
      <c r="I258" s="51">
        <f t="shared" si="1"/>
        <v>0</v>
      </c>
      <c r="J258" s="74"/>
      <c r="K258" s="51">
        <f t="shared" si="2"/>
        <v>0</v>
      </c>
      <c r="L258" s="8">
        <f t="shared" si="3"/>
        <v>0</v>
      </c>
      <c r="M258" s="51">
        <f t="shared" si="4"/>
        <v>0</v>
      </c>
      <c r="N258" s="67"/>
    </row>
    <row r="259" ht="15.75" customHeight="1">
      <c r="A259" s="1"/>
      <c r="B259" s="69"/>
      <c r="D259" s="70"/>
      <c r="E259" s="71"/>
      <c r="F259" s="72"/>
      <c r="G259" s="75"/>
      <c r="H259" s="73"/>
      <c r="I259" s="51">
        <f t="shared" si="1"/>
        <v>0</v>
      </c>
      <c r="J259" s="74"/>
      <c r="K259" s="51">
        <f t="shared" si="2"/>
        <v>0</v>
      </c>
      <c r="L259" s="8">
        <f t="shared" si="3"/>
        <v>0</v>
      </c>
      <c r="M259" s="51">
        <f t="shared" si="4"/>
        <v>0</v>
      </c>
      <c r="N259" s="67"/>
    </row>
    <row r="260" ht="15.75" customHeight="1">
      <c r="A260" s="1"/>
      <c r="B260" s="69"/>
      <c r="D260" s="70"/>
      <c r="E260" s="71"/>
      <c r="F260" s="72"/>
      <c r="G260" s="75"/>
      <c r="H260" s="73"/>
      <c r="I260" s="51">
        <f t="shared" si="1"/>
        <v>0</v>
      </c>
      <c r="J260" s="74"/>
      <c r="K260" s="51">
        <f t="shared" si="2"/>
        <v>0</v>
      </c>
      <c r="L260" s="8">
        <f t="shared" si="3"/>
        <v>0</v>
      </c>
      <c r="M260" s="51">
        <f t="shared" si="4"/>
        <v>0</v>
      </c>
      <c r="N260" s="67"/>
    </row>
    <row r="261" ht="15.75" customHeight="1">
      <c r="A261" s="1"/>
      <c r="B261" s="69"/>
      <c r="D261" s="70"/>
      <c r="E261" s="71"/>
      <c r="F261" s="72"/>
      <c r="G261" s="75"/>
      <c r="H261" s="73"/>
      <c r="I261" s="51">
        <f t="shared" si="1"/>
        <v>0</v>
      </c>
      <c r="J261" s="74"/>
      <c r="K261" s="51">
        <f t="shared" si="2"/>
        <v>0</v>
      </c>
      <c r="L261" s="8">
        <f t="shared" si="3"/>
        <v>0</v>
      </c>
      <c r="M261" s="51">
        <f t="shared" si="4"/>
        <v>0</v>
      </c>
      <c r="N261" s="67"/>
    </row>
    <row r="262" ht="15.75" customHeight="1">
      <c r="A262" s="1"/>
      <c r="B262" s="69"/>
      <c r="D262" s="70"/>
      <c r="E262" s="71"/>
      <c r="F262" s="72"/>
      <c r="G262" s="75"/>
      <c r="H262" s="73"/>
      <c r="I262" s="51">
        <f t="shared" si="1"/>
        <v>0</v>
      </c>
      <c r="J262" s="74"/>
      <c r="K262" s="51">
        <f t="shared" si="2"/>
        <v>0</v>
      </c>
      <c r="L262" s="8">
        <f t="shared" si="3"/>
        <v>0</v>
      </c>
      <c r="M262" s="51">
        <f t="shared" si="4"/>
        <v>0</v>
      </c>
      <c r="N262" s="67"/>
    </row>
    <row r="263" ht="15.75" customHeight="1">
      <c r="A263" s="1"/>
      <c r="B263" s="69"/>
      <c r="D263" s="70"/>
      <c r="E263" s="71"/>
      <c r="F263" s="72"/>
      <c r="G263" s="75"/>
      <c r="H263" s="73"/>
      <c r="I263" s="51">
        <f t="shared" si="1"/>
        <v>0</v>
      </c>
      <c r="J263" s="74"/>
      <c r="K263" s="51">
        <f t="shared" si="2"/>
        <v>0</v>
      </c>
      <c r="L263" s="8">
        <f t="shared" si="3"/>
        <v>0</v>
      </c>
      <c r="M263" s="51">
        <f t="shared" si="4"/>
        <v>0</v>
      </c>
      <c r="N263" s="67"/>
    </row>
    <row r="264" ht="15.75" customHeight="1">
      <c r="A264" s="1"/>
      <c r="B264" s="69"/>
      <c r="D264" s="70"/>
      <c r="E264" s="71"/>
      <c r="F264" s="72"/>
      <c r="G264" s="75"/>
      <c r="H264" s="73"/>
      <c r="I264" s="51">
        <f t="shared" si="1"/>
        <v>0</v>
      </c>
      <c r="J264" s="74"/>
      <c r="K264" s="51">
        <f t="shared" si="2"/>
        <v>0</v>
      </c>
      <c r="L264" s="8">
        <f t="shared" si="3"/>
        <v>0</v>
      </c>
      <c r="M264" s="51">
        <f t="shared" si="4"/>
        <v>0</v>
      </c>
      <c r="N264" s="67"/>
    </row>
    <row r="265" ht="15.75" customHeight="1">
      <c r="A265" s="1"/>
      <c r="B265" s="69"/>
      <c r="D265" s="70"/>
      <c r="E265" s="71"/>
      <c r="F265" s="72"/>
      <c r="G265" s="75"/>
      <c r="H265" s="73"/>
      <c r="I265" s="51">
        <f t="shared" si="1"/>
        <v>0</v>
      </c>
      <c r="J265" s="74"/>
      <c r="K265" s="51">
        <f t="shared" si="2"/>
        <v>0</v>
      </c>
      <c r="L265" s="8">
        <f t="shared" si="3"/>
        <v>0</v>
      </c>
      <c r="M265" s="51">
        <f t="shared" si="4"/>
        <v>0</v>
      </c>
      <c r="N265" s="67"/>
    </row>
    <row r="266" ht="15.75" customHeight="1">
      <c r="A266" s="1"/>
      <c r="B266" s="69"/>
      <c r="D266" s="70"/>
      <c r="E266" s="71"/>
      <c r="F266" s="72"/>
      <c r="G266" s="75"/>
      <c r="H266" s="73"/>
      <c r="I266" s="51">
        <f t="shared" si="1"/>
        <v>0</v>
      </c>
      <c r="J266" s="74"/>
      <c r="K266" s="51">
        <f t="shared" si="2"/>
        <v>0</v>
      </c>
      <c r="L266" s="8">
        <f t="shared" si="3"/>
        <v>0</v>
      </c>
      <c r="M266" s="51">
        <f t="shared" si="4"/>
        <v>0</v>
      </c>
      <c r="N266" s="67"/>
    </row>
    <row r="267" ht="15.75" customHeight="1">
      <c r="A267" s="1"/>
      <c r="B267" s="69"/>
      <c r="D267" s="70"/>
      <c r="E267" s="71"/>
      <c r="F267" s="72"/>
      <c r="G267" s="75"/>
      <c r="H267" s="73"/>
      <c r="I267" s="51">
        <f t="shared" si="1"/>
        <v>0</v>
      </c>
      <c r="J267" s="74"/>
      <c r="K267" s="51">
        <f t="shared" si="2"/>
        <v>0</v>
      </c>
      <c r="L267" s="8">
        <f t="shared" si="3"/>
        <v>0</v>
      </c>
      <c r="M267" s="51">
        <f t="shared" si="4"/>
        <v>0</v>
      </c>
      <c r="N267" s="67"/>
    </row>
    <row r="268" ht="15.75" customHeight="1">
      <c r="A268" s="1"/>
      <c r="B268" s="69"/>
      <c r="D268" s="70"/>
      <c r="E268" s="71"/>
      <c r="F268" s="72"/>
      <c r="G268" s="75"/>
      <c r="H268" s="73"/>
      <c r="I268" s="51">
        <f t="shared" si="1"/>
        <v>0</v>
      </c>
      <c r="J268" s="74"/>
      <c r="K268" s="51">
        <f t="shared" si="2"/>
        <v>0</v>
      </c>
      <c r="L268" s="8">
        <f t="shared" si="3"/>
        <v>0</v>
      </c>
      <c r="M268" s="51">
        <f t="shared" si="4"/>
        <v>0</v>
      </c>
      <c r="N268" s="67"/>
    </row>
    <row r="269" ht="15.75" customHeight="1">
      <c r="A269" s="1"/>
      <c r="B269" s="69"/>
      <c r="D269" s="70"/>
      <c r="E269" s="71"/>
      <c r="F269" s="72"/>
      <c r="G269" s="75"/>
      <c r="H269" s="73"/>
      <c r="I269" s="51">
        <f t="shared" si="1"/>
        <v>0</v>
      </c>
      <c r="J269" s="74"/>
      <c r="K269" s="51">
        <f t="shared" si="2"/>
        <v>0</v>
      </c>
      <c r="L269" s="8">
        <f t="shared" si="3"/>
        <v>0</v>
      </c>
      <c r="M269" s="51">
        <f t="shared" si="4"/>
        <v>0</v>
      </c>
      <c r="N269" s="67"/>
    </row>
    <row r="270" ht="15.75" customHeight="1">
      <c r="A270" s="1"/>
      <c r="B270" s="69"/>
      <c r="D270" s="70"/>
      <c r="E270" s="71"/>
      <c r="F270" s="72"/>
      <c r="G270" s="75"/>
      <c r="H270" s="73"/>
      <c r="I270" s="51">
        <f t="shared" si="1"/>
        <v>0</v>
      </c>
      <c r="J270" s="74"/>
      <c r="K270" s="51">
        <f t="shared" si="2"/>
        <v>0</v>
      </c>
      <c r="L270" s="8">
        <f t="shared" si="3"/>
        <v>0</v>
      </c>
      <c r="M270" s="51">
        <f t="shared" si="4"/>
        <v>0</v>
      </c>
      <c r="N270" s="67"/>
    </row>
    <row r="271" ht="15.75" customHeight="1">
      <c r="A271" s="1"/>
      <c r="B271" s="69"/>
      <c r="D271" s="70"/>
      <c r="E271" s="71"/>
      <c r="F271" s="72"/>
      <c r="G271" s="75"/>
      <c r="H271" s="73"/>
      <c r="I271" s="51">
        <f t="shared" si="1"/>
        <v>0</v>
      </c>
      <c r="J271" s="74"/>
      <c r="K271" s="51">
        <f t="shared" si="2"/>
        <v>0</v>
      </c>
      <c r="L271" s="51">
        <f t="shared" ref="L271:L926" si="5">K271*6%</f>
        <v>0</v>
      </c>
      <c r="M271" s="51">
        <f t="shared" si="4"/>
        <v>0</v>
      </c>
      <c r="N271" s="67"/>
    </row>
    <row r="272" ht="15.75" customHeight="1">
      <c r="A272" s="1"/>
      <c r="B272" s="69"/>
      <c r="D272" s="70"/>
      <c r="E272" s="71"/>
      <c r="F272" s="72"/>
      <c r="G272" s="75"/>
      <c r="H272" s="73"/>
      <c r="I272" s="51">
        <f t="shared" si="1"/>
        <v>0</v>
      </c>
      <c r="J272" s="74"/>
      <c r="K272" s="51">
        <f t="shared" si="2"/>
        <v>0</v>
      </c>
      <c r="L272" s="51">
        <f t="shared" si="5"/>
        <v>0</v>
      </c>
      <c r="M272" s="51">
        <f t="shared" si="4"/>
        <v>0</v>
      </c>
      <c r="N272" s="67"/>
    </row>
    <row r="273" ht="15.75" customHeight="1">
      <c r="A273" s="1"/>
      <c r="B273" s="69"/>
      <c r="D273" s="70"/>
      <c r="E273" s="71"/>
      <c r="F273" s="72"/>
      <c r="G273" s="75"/>
      <c r="H273" s="73"/>
      <c r="I273" s="51">
        <f t="shared" si="1"/>
        <v>0</v>
      </c>
      <c r="J273" s="74"/>
      <c r="K273" s="51">
        <f t="shared" si="2"/>
        <v>0</v>
      </c>
      <c r="L273" s="51">
        <f t="shared" si="5"/>
        <v>0</v>
      </c>
      <c r="M273" s="51">
        <f t="shared" si="4"/>
        <v>0</v>
      </c>
      <c r="N273" s="67"/>
    </row>
    <row r="274" ht="15.75" customHeight="1">
      <c r="A274" s="1"/>
      <c r="B274" s="69"/>
      <c r="D274" s="70"/>
      <c r="E274" s="71"/>
      <c r="F274" s="72"/>
      <c r="G274" s="75"/>
      <c r="H274" s="73"/>
      <c r="I274" s="51">
        <f t="shared" si="1"/>
        <v>0</v>
      </c>
      <c r="J274" s="74"/>
      <c r="K274" s="51">
        <f t="shared" si="2"/>
        <v>0</v>
      </c>
      <c r="L274" s="51">
        <f t="shared" si="5"/>
        <v>0</v>
      </c>
      <c r="M274" s="51">
        <f t="shared" si="4"/>
        <v>0</v>
      </c>
      <c r="N274" s="67"/>
    </row>
    <row r="275" ht="15.75" customHeight="1">
      <c r="A275" s="1"/>
      <c r="B275" s="69"/>
      <c r="D275" s="70"/>
      <c r="E275" s="71"/>
      <c r="F275" s="72"/>
      <c r="G275" s="75"/>
      <c r="H275" s="73"/>
      <c r="I275" s="51">
        <f t="shared" si="1"/>
        <v>0</v>
      </c>
      <c r="J275" s="74"/>
      <c r="K275" s="51">
        <f t="shared" si="2"/>
        <v>0</v>
      </c>
      <c r="L275" s="51">
        <f t="shared" si="5"/>
        <v>0</v>
      </c>
      <c r="M275" s="51">
        <f t="shared" si="4"/>
        <v>0</v>
      </c>
      <c r="N275" s="67"/>
    </row>
    <row r="276" ht="15.75" customHeight="1">
      <c r="A276" s="1"/>
      <c r="B276" s="69"/>
      <c r="D276" s="70"/>
      <c r="E276" s="71"/>
      <c r="F276" s="72"/>
      <c r="G276" s="75"/>
      <c r="H276" s="73"/>
      <c r="I276" s="51">
        <f t="shared" si="1"/>
        <v>0</v>
      </c>
      <c r="J276" s="74"/>
      <c r="K276" s="51">
        <f t="shared" si="2"/>
        <v>0</v>
      </c>
      <c r="L276" s="51">
        <f t="shared" si="5"/>
        <v>0</v>
      </c>
      <c r="M276" s="51">
        <f t="shared" si="4"/>
        <v>0</v>
      </c>
      <c r="N276" s="67"/>
    </row>
    <row r="277" ht="15.75" customHeight="1">
      <c r="A277" s="1"/>
      <c r="B277" s="69"/>
      <c r="D277" s="70"/>
      <c r="E277" s="71"/>
      <c r="F277" s="72"/>
      <c r="G277" s="75"/>
      <c r="H277" s="73"/>
      <c r="I277" s="51">
        <f t="shared" si="1"/>
        <v>0</v>
      </c>
      <c r="J277" s="74"/>
      <c r="K277" s="51">
        <f t="shared" si="2"/>
        <v>0</v>
      </c>
      <c r="L277" s="51">
        <f t="shared" si="5"/>
        <v>0</v>
      </c>
      <c r="M277" s="51">
        <f t="shared" si="4"/>
        <v>0</v>
      </c>
      <c r="N277" s="67"/>
    </row>
    <row r="278" ht="15.75" customHeight="1">
      <c r="A278" s="1"/>
      <c r="B278" s="69"/>
      <c r="D278" s="70"/>
      <c r="E278" s="71"/>
      <c r="F278" s="72"/>
      <c r="G278" s="75"/>
      <c r="H278" s="73"/>
      <c r="I278" s="51">
        <f t="shared" si="1"/>
        <v>0</v>
      </c>
      <c r="J278" s="74"/>
      <c r="K278" s="51">
        <f t="shared" si="2"/>
        <v>0</v>
      </c>
      <c r="L278" s="51">
        <f t="shared" si="5"/>
        <v>0</v>
      </c>
      <c r="M278" s="51">
        <f t="shared" si="4"/>
        <v>0</v>
      </c>
      <c r="N278" s="67"/>
    </row>
    <row r="279" ht="15.75" customHeight="1">
      <c r="A279" s="1"/>
      <c r="B279" s="69"/>
      <c r="D279" s="70"/>
      <c r="E279" s="71"/>
      <c r="F279" s="72"/>
      <c r="G279" s="75"/>
      <c r="H279" s="73"/>
      <c r="I279" s="51">
        <f t="shared" si="1"/>
        <v>0</v>
      </c>
      <c r="J279" s="74"/>
      <c r="K279" s="51">
        <f t="shared" si="2"/>
        <v>0</v>
      </c>
      <c r="L279" s="51">
        <f t="shared" si="5"/>
        <v>0</v>
      </c>
      <c r="M279" s="51">
        <f t="shared" si="4"/>
        <v>0</v>
      </c>
      <c r="N279" s="67"/>
    </row>
    <row r="280" ht="15.75" customHeight="1">
      <c r="A280" s="1"/>
      <c r="B280" s="69"/>
      <c r="D280" s="70"/>
      <c r="E280" s="71"/>
      <c r="F280" s="72"/>
      <c r="G280" s="75"/>
      <c r="H280" s="73"/>
      <c r="I280" s="51">
        <f t="shared" si="1"/>
        <v>0</v>
      </c>
      <c r="J280" s="74"/>
      <c r="K280" s="51">
        <f t="shared" si="2"/>
        <v>0</v>
      </c>
      <c r="L280" s="51">
        <f t="shared" si="5"/>
        <v>0</v>
      </c>
      <c r="M280" s="51">
        <f t="shared" si="4"/>
        <v>0</v>
      </c>
      <c r="N280" s="67"/>
    </row>
    <row r="281" ht="15.75" customHeight="1">
      <c r="A281" s="1"/>
      <c r="B281" s="69"/>
      <c r="D281" s="70"/>
      <c r="E281" s="71"/>
      <c r="F281" s="72"/>
      <c r="G281" s="75"/>
      <c r="H281" s="73"/>
      <c r="I281" s="51">
        <f t="shared" si="1"/>
        <v>0</v>
      </c>
      <c r="J281" s="74"/>
      <c r="K281" s="51">
        <f t="shared" si="2"/>
        <v>0</v>
      </c>
      <c r="L281" s="51">
        <f t="shared" si="5"/>
        <v>0</v>
      </c>
      <c r="M281" s="51">
        <f t="shared" si="4"/>
        <v>0</v>
      </c>
      <c r="N281" s="67"/>
    </row>
    <row r="282" ht="15.75" customHeight="1">
      <c r="A282" s="1"/>
      <c r="B282" s="69"/>
      <c r="D282" s="70"/>
      <c r="E282" s="71"/>
      <c r="F282" s="72"/>
      <c r="G282" s="75"/>
      <c r="H282" s="73"/>
      <c r="I282" s="51">
        <f t="shared" si="1"/>
        <v>0</v>
      </c>
      <c r="J282" s="74"/>
      <c r="K282" s="51">
        <f t="shared" si="2"/>
        <v>0</v>
      </c>
      <c r="L282" s="51">
        <f t="shared" si="5"/>
        <v>0</v>
      </c>
      <c r="M282" s="51">
        <f t="shared" si="4"/>
        <v>0</v>
      </c>
      <c r="N282" s="67"/>
    </row>
    <row r="283" ht="15.75" customHeight="1">
      <c r="A283" s="1"/>
      <c r="B283" s="69"/>
      <c r="D283" s="70"/>
      <c r="E283" s="71"/>
      <c r="F283" s="72"/>
      <c r="G283" s="75"/>
      <c r="H283" s="73"/>
      <c r="I283" s="51">
        <f t="shared" si="1"/>
        <v>0</v>
      </c>
      <c r="J283" s="74"/>
      <c r="K283" s="51">
        <f t="shared" si="2"/>
        <v>0</v>
      </c>
      <c r="L283" s="51">
        <f t="shared" si="5"/>
        <v>0</v>
      </c>
      <c r="M283" s="51">
        <f t="shared" si="4"/>
        <v>0</v>
      </c>
      <c r="N283" s="67"/>
    </row>
    <row r="284" ht="15.75" customHeight="1">
      <c r="A284" s="1"/>
      <c r="B284" s="69"/>
      <c r="D284" s="70"/>
      <c r="E284" s="71"/>
      <c r="F284" s="72"/>
      <c r="G284" s="75"/>
      <c r="H284" s="73"/>
      <c r="I284" s="51">
        <f t="shared" si="1"/>
        <v>0</v>
      </c>
      <c r="J284" s="74"/>
      <c r="K284" s="51">
        <f t="shared" si="2"/>
        <v>0</v>
      </c>
      <c r="L284" s="51">
        <f t="shared" si="5"/>
        <v>0</v>
      </c>
      <c r="M284" s="51">
        <f t="shared" si="4"/>
        <v>0</v>
      </c>
      <c r="N284" s="67"/>
    </row>
    <row r="285" ht="15.75" customHeight="1">
      <c r="A285" s="1"/>
      <c r="B285" s="69"/>
      <c r="D285" s="70"/>
      <c r="E285" s="71"/>
      <c r="F285" s="72"/>
      <c r="G285" s="75"/>
      <c r="H285" s="73"/>
      <c r="I285" s="51">
        <f t="shared" si="1"/>
        <v>0</v>
      </c>
      <c r="J285" s="74"/>
      <c r="K285" s="51">
        <f t="shared" si="2"/>
        <v>0</v>
      </c>
      <c r="L285" s="51">
        <f t="shared" si="5"/>
        <v>0</v>
      </c>
      <c r="M285" s="51">
        <f t="shared" si="4"/>
        <v>0</v>
      </c>
      <c r="N285" s="67"/>
    </row>
    <row r="286" ht="15.75" customHeight="1">
      <c r="A286" s="1"/>
      <c r="B286" s="69"/>
      <c r="D286" s="70"/>
      <c r="E286" s="71"/>
      <c r="F286" s="72"/>
      <c r="G286" s="75"/>
      <c r="H286" s="73"/>
      <c r="I286" s="51">
        <f t="shared" si="1"/>
        <v>0</v>
      </c>
      <c r="J286" s="74"/>
      <c r="K286" s="51">
        <f t="shared" si="2"/>
        <v>0</v>
      </c>
      <c r="L286" s="51">
        <f t="shared" si="5"/>
        <v>0</v>
      </c>
      <c r="M286" s="51">
        <f t="shared" si="4"/>
        <v>0</v>
      </c>
      <c r="N286" s="67"/>
    </row>
    <row r="287" ht="15.75" customHeight="1">
      <c r="A287" s="1"/>
      <c r="B287" s="69"/>
      <c r="D287" s="70"/>
      <c r="E287" s="71"/>
      <c r="F287" s="72"/>
      <c r="G287" s="75"/>
      <c r="H287" s="73"/>
      <c r="I287" s="51">
        <f t="shared" si="1"/>
        <v>0</v>
      </c>
      <c r="J287" s="74"/>
      <c r="K287" s="51">
        <f t="shared" si="2"/>
        <v>0</v>
      </c>
      <c r="L287" s="51">
        <f t="shared" si="5"/>
        <v>0</v>
      </c>
      <c r="M287" s="51">
        <f t="shared" si="4"/>
        <v>0</v>
      </c>
      <c r="N287" s="67"/>
    </row>
    <row r="288" ht="15.75" customHeight="1">
      <c r="A288" s="1"/>
      <c r="B288" s="69"/>
      <c r="D288" s="70"/>
      <c r="E288" s="71"/>
      <c r="F288" s="72"/>
      <c r="G288" s="75"/>
      <c r="H288" s="73"/>
      <c r="I288" s="51">
        <f t="shared" si="1"/>
        <v>0</v>
      </c>
      <c r="J288" s="74"/>
      <c r="K288" s="51">
        <f t="shared" si="2"/>
        <v>0</v>
      </c>
      <c r="L288" s="51">
        <f t="shared" si="5"/>
        <v>0</v>
      </c>
      <c r="M288" s="51">
        <f t="shared" si="4"/>
        <v>0</v>
      </c>
      <c r="N288" s="67"/>
    </row>
    <row r="289" ht="15.75" customHeight="1">
      <c r="A289" s="1"/>
      <c r="B289" s="69"/>
      <c r="D289" s="70"/>
      <c r="E289" s="71"/>
      <c r="F289" s="72"/>
      <c r="G289" s="75"/>
      <c r="H289" s="73"/>
      <c r="I289" s="51">
        <f t="shared" si="1"/>
        <v>0</v>
      </c>
      <c r="J289" s="74"/>
      <c r="K289" s="51">
        <f t="shared" si="2"/>
        <v>0</v>
      </c>
      <c r="L289" s="51">
        <f t="shared" si="5"/>
        <v>0</v>
      </c>
      <c r="M289" s="51">
        <f t="shared" si="4"/>
        <v>0</v>
      </c>
      <c r="N289" s="67"/>
    </row>
    <row r="290" ht="15.75" customHeight="1">
      <c r="A290" s="1"/>
      <c r="B290" s="69"/>
      <c r="D290" s="70"/>
      <c r="E290" s="71"/>
      <c r="F290" s="72"/>
      <c r="G290" s="75"/>
      <c r="H290" s="73"/>
      <c r="I290" s="51">
        <f t="shared" si="1"/>
        <v>0</v>
      </c>
      <c r="J290" s="74"/>
      <c r="K290" s="51">
        <f t="shared" si="2"/>
        <v>0</v>
      </c>
      <c r="L290" s="51">
        <f t="shared" si="5"/>
        <v>0</v>
      </c>
      <c r="M290" s="51">
        <f t="shared" si="4"/>
        <v>0</v>
      </c>
      <c r="N290" s="67"/>
    </row>
    <row r="291" ht="15.75" customHeight="1">
      <c r="A291" s="1"/>
      <c r="B291" s="69"/>
      <c r="D291" s="70"/>
      <c r="E291" s="71"/>
      <c r="F291" s="72"/>
      <c r="G291" s="75"/>
      <c r="H291" s="73"/>
      <c r="I291" s="51">
        <f t="shared" si="1"/>
        <v>0</v>
      </c>
      <c r="J291" s="74"/>
      <c r="K291" s="51">
        <f t="shared" si="2"/>
        <v>0</v>
      </c>
      <c r="L291" s="51">
        <f t="shared" si="5"/>
        <v>0</v>
      </c>
      <c r="M291" s="51">
        <f t="shared" si="4"/>
        <v>0</v>
      </c>
      <c r="N291" s="67"/>
    </row>
    <row r="292" ht="15.75" customHeight="1">
      <c r="A292" s="1"/>
      <c r="B292" s="69"/>
      <c r="D292" s="70"/>
      <c r="E292" s="71"/>
      <c r="F292" s="72"/>
      <c r="G292" s="75"/>
      <c r="H292" s="73"/>
      <c r="I292" s="51">
        <f t="shared" si="1"/>
        <v>0</v>
      </c>
      <c r="J292" s="74"/>
      <c r="K292" s="51">
        <f t="shared" si="2"/>
        <v>0</v>
      </c>
      <c r="L292" s="51">
        <f t="shared" si="5"/>
        <v>0</v>
      </c>
      <c r="M292" s="51">
        <f t="shared" si="4"/>
        <v>0</v>
      </c>
      <c r="N292" s="67"/>
    </row>
    <row r="293" ht="15.75" customHeight="1">
      <c r="A293" s="1"/>
      <c r="B293" s="69"/>
      <c r="D293" s="70"/>
      <c r="E293" s="71"/>
      <c r="F293" s="72"/>
      <c r="G293" s="75"/>
      <c r="H293" s="73"/>
      <c r="I293" s="51">
        <f t="shared" si="1"/>
        <v>0</v>
      </c>
      <c r="J293" s="74"/>
      <c r="K293" s="51">
        <f t="shared" si="2"/>
        <v>0</v>
      </c>
      <c r="L293" s="51">
        <f t="shared" si="5"/>
        <v>0</v>
      </c>
      <c r="M293" s="51">
        <f t="shared" si="4"/>
        <v>0</v>
      </c>
      <c r="N293" s="67"/>
    </row>
    <row r="294" ht="15.75" customHeight="1">
      <c r="A294" s="1"/>
      <c r="B294" s="69"/>
      <c r="D294" s="70"/>
      <c r="E294" s="71"/>
      <c r="F294" s="72"/>
      <c r="G294" s="75"/>
      <c r="H294" s="73"/>
      <c r="I294" s="51">
        <f t="shared" si="1"/>
        <v>0</v>
      </c>
      <c r="J294" s="74"/>
      <c r="K294" s="51">
        <f t="shared" si="2"/>
        <v>0</v>
      </c>
      <c r="L294" s="51">
        <f t="shared" si="5"/>
        <v>0</v>
      </c>
      <c r="M294" s="51">
        <f t="shared" si="4"/>
        <v>0</v>
      </c>
      <c r="N294" s="67"/>
    </row>
    <row r="295" ht="15.75" customHeight="1">
      <c r="A295" s="1"/>
      <c r="B295" s="69"/>
      <c r="D295" s="70"/>
      <c r="E295" s="71"/>
      <c r="F295" s="72"/>
      <c r="G295" s="75"/>
      <c r="H295" s="73"/>
      <c r="I295" s="51">
        <f t="shared" si="1"/>
        <v>0</v>
      </c>
      <c r="J295" s="74"/>
      <c r="K295" s="51">
        <f t="shared" si="2"/>
        <v>0</v>
      </c>
      <c r="L295" s="51">
        <f t="shared" si="5"/>
        <v>0</v>
      </c>
      <c r="M295" s="51">
        <f t="shared" si="4"/>
        <v>0</v>
      </c>
      <c r="N295" s="67"/>
    </row>
    <row r="296" ht="15.75" customHeight="1">
      <c r="A296" s="1"/>
      <c r="B296" s="69"/>
      <c r="D296" s="70"/>
      <c r="E296" s="71"/>
      <c r="F296" s="72"/>
      <c r="G296" s="75"/>
      <c r="H296" s="73"/>
      <c r="I296" s="51">
        <f t="shared" si="1"/>
        <v>0</v>
      </c>
      <c r="J296" s="74"/>
      <c r="K296" s="51">
        <f t="shared" si="2"/>
        <v>0</v>
      </c>
      <c r="L296" s="51">
        <f t="shared" si="5"/>
        <v>0</v>
      </c>
      <c r="M296" s="51">
        <f t="shared" si="4"/>
        <v>0</v>
      </c>
      <c r="N296" s="67"/>
    </row>
    <row r="297" ht="15.75" customHeight="1">
      <c r="A297" s="1"/>
      <c r="B297" s="69"/>
      <c r="D297" s="70"/>
      <c r="E297" s="71"/>
      <c r="F297" s="72"/>
      <c r="G297" s="75"/>
      <c r="H297" s="73"/>
      <c r="I297" s="51">
        <f t="shared" si="1"/>
        <v>0</v>
      </c>
      <c r="J297" s="74"/>
      <c r="K297" s="51">
        <f t="shared" si="2"/>
        <v>0</v>
      </c>
      <c r="L297" s="51">
        <f t="shared" si="5"/>
        <v>0</v>
      </c>
      <c r="M297" s="51">
        <f t="shared" si="4"/>
        <v>0</v>
      </c>
      <c r="N297" s="67"/>
    </row>
    <row r="298" ht="15.75" customHeight="1">
      <c r="A298" s="1"/>
      <c r="B298" s="69"/>
      <c r="D298" s="70"/>
      <c r="E298" s="71"/>
      <c r="F298" s="72"/>
      <c r="G298" s="75"/>
      <c r="H298" s="73"/>
      <c r="I298" s="51">
        <f t="shared" si="1"/>
        <v>0</v>
      </c>
      <c r="J298" s="74"/>
      <c r="K298" s="51">
        <f t="shared" si="2"/>
        <v>0</v>
      </c>
      <c r="L298" s="51">
        <f t="shared" si="5"/>
        <v>0</v>
      </c>
      <c r="M298" s="51">
        <f t="shared" si="4"/>
        <v>0</v>
      </c>
      <c r="N298" s="67"/>
    </row>
    <row r="299" ht="15.75" customHeight="1">
      <c r="A299" s="1"/>
      <c r="B299" s="69"/>
      <c r="D299" s="70"/>
      <c r="E299" s="71"/>
      <c r="F299" s="72"/>
      <c r="G299" s="75"/>
      <c r="H299" s="73"/>
      <c r="I299" s="51">
        <f t="shared" si="1"/>
        <v>0</v>
      </c>
      <c r="J299" s="74"/>
      <c r="K299" s="51">
        <f t="shared" si="2"/>
        <v>0</v>
      </c>
      <c r="L299" s="51">
        <f t="shared" si="5"/>
        <v>0</v>
      </c>
      <c r="M299" s="51">
        <f t="shared" si="4"/>
        <v>0</v>
      </c>
      <c r="N299" s="67"/>
    </row>
    <row r="300" ht="15.75" customHeight="1">
      <c r="A300" s="1"/>
      <c r="B300" s="69"/>
      <c r="D300" s="70"/>
      <c r="E300" s="71"/>
      <c r="F300" s="72"/>
      <c r="G300" s="75"/>
      <c r="H300" s="73"/>
      <c r="I300" s="51">
        <f t="shared" si="1"/>
        <v>0</v>
      </c>
      <c r="J300" s="74"/>
      <c r="K300" s="51">
        <f t="shared" si="2"/>
        <v>0</v>
      </c>
      <c r="L300" s="51">
        <f t="shared" si="5"/>
        <v>0</v>
      </c>
      <c r="M300" s="51">
        <f t="shared" si="4"/>
        <v>0</v>
      </c>
      <c r="N300" s="67"/>
    </row>
    <row r="301" ht="15.75" customHeight="1">
      <c r="A301" s="1"/>
      <c r="B301" s="69"/>
      <c r="D301" s="70"/>
      <c r="E301" s="71"/>
      <c r="F301" s="72"/>
      <c r="G301" s="75"/>
      <c r="H301" s="73"/>
      <c r="I301" s="51">
        <f t="shared" si="1"/>
        <v>0</v>
      </c>
      <c r="J301" s="74"/>
      <c r="K301" s="51">
        <f t="shared" si="2"/>
        <v>0</v>
      </c>
      <c r="L301" s="51">
        <f t="shared" si="5"/>
        <v>0</v>
      </c>
      <c r="M301" s="51">
        <f t="shared" si="4"/>
        <v>0</v>
      </c>
      <c r="N301" s="67"/>
    </row>
    <row r="302" ht="15.75" customHeight="1">
      <c r="A302" s="1"/>
      <c r="B302" s="69"/>
      <c r="D302" s="70"/>
      <c r="E302" s="71"/>
      <c r="F302" s="72"/>
      <c r="G302" s="75"/>
      <c r="H302" s="73"/>
      <c r="I302" s="51">
        <f t="shared" si="1"/>
        <v>0</v>
      </c>
      <c r="J302" s="74"/>
      <c r="K302" s="51">
        <f t="shared" si="2"/>
        <v>0</v>
      </c>
      <c r="L302" s="51">
        <f t="shared" si="5"/>
        <v>0</v>
      </c>
      <c r="M302" s="51">
        <f t="shared" si="4"/>
        <v>0</v>
      </c>
      <c r="N302" s="67"/>
    </row>
    <row r="303" ht="15.75" customHeight="1">
      <c r="A303" s="1"/>
      <c r="B303" s="69"/>
      <c r="D303" s="70"/>
      <c r="E303" s="71"/>
      <c r="F303" s="72"/>
      <c r="G303" s="75"/>
      <c r="H303" s="73"/>
      <c r="I303" s="51">
        <f t="shared" si="1"/>
        <v>0</v>
      </c>
      <c r="J303" s="74"/>
      <c r="K303" s="51">
        <f t="shared" si="2"/>
        <v>0</v>
      </c>
      <c r="L303" s="51">
        <f t="shared" si="5"/>
        <v>0</v>
      </c>
      <c r="M303" s="51">
        <f t="shared" si="4"/>
        <v>0</v>
      </c>
      <c r="N303" s="67"/>
    </row>
    <row r="304" ht="15.75" customHeight="1">
      <c r="A304" s="1"/>
      <c r="B304" s="69"/>
      <c r="D304" s="70"/>
      <c r="E304" s="71"/>
      <c r="F304" s="72"/>
      <c r="G304" s="75"/>
      <c r="H304" s="73"/>
      <c r="I304" s="51">
        <f t="shared" si="1"/>
        <v>0</v>
      </c>
      <c r="J304" s="74"/>
      <c r="K304" s="51">
        <f t="shared" si="2"/>
        <v>0</v>
      </c>
      <c r="L304" s="51">
        <f t="shared" si="5"/>
        <v>0</v>
      </c>
      <c r="M304" s="51">
        <f t="shared" si="4"/>
        <v>0</v>
      </c>
      <c r="N304" s="67"/>
    </row>
    <row r="305" ht="15.75" customHeight="1">
      <c r="A305" s="1"/>
      <c r="B305" s="69"/>
      <c r="D305" s="70"/>
      <c r="E305" s="71"/>
      <c r="F305" s="72"/>
      <c r="G305" s="75"/>
      <c r="H305" s="73"/>
      <c r="I305" s="51">
        <f t="shared" si="1"/>
        <v>0</v>
      </c>
      <c r="J305" s="74"/>
      <c r="K305" s="51">
        <f t="shared" si="2"/>
        <v>0</v>
      </c>
      <c r="L305" s="51">
        <f t="shared" si="5"/>
        <v>0</v>
      </c>
      <c r="M305" s="51">
        <f t="shared" si="4"/>
        <v>0</v>
      </c>
      <c r="N305" s="67"/>
    </row>
    <row r="306" ht="15.75" customHeight="1">
      <c r="A306" s="1"/>
      <c r="B306" s="69"/>
      <c r="D306" s="70"/>
      <c r="E306" s="71"/>
      <c r="F306" s="72"/>
      <c r="G306" s="75"/>
      <c r="H306" s="73"/>
      <c r="I306" s="51">
        <f t="shared" si="1"/>
        <v>0</v>
      </c>
      <c r="J306" s="74"/>
      <c r="K306" s="51">
        <f t="shared" si="2"/>
        <v>0</v>
      </c>
      <c r="L306" s="51">
        <f t="shared" si="5"/>
        <v>0</v>
      </c>
      <c r="M306" s="51">
        <f t="shared" si="4"/>
        <v>0</v>
      </c>
      <c r="N306" s="67"/>
    </row>
    <row r="307" ht="15.75" customHeight="1">
      <c r="A307" s="1"/>
      <c r="B307" s="69"/>
      <c r="D307" s="70"/>
      <c r="E307" s="71"/>
      <c r="F307" s="72"/>
      <c r="G307" s="75"/>
      <c r="H307" s="73"/>
      <c r="I307" s="51">
        <f t="shared" si="1"/>
        <v>0</v>
      </c>
      <c r="J307" s="74"/>
      <c r="K307" s="51">
        <f t="shared" si="2"/>
        <v>0</v>
      </c>
      <c r="L307" s="51">
        <f t="shared" si="5"/>
        <v>0</v>
      </c>
      <c r="M307" s="51">
        <f t="shared" si="4"/>
        <v>0</v>
      </c>
      <c r="N307" s="67"/>
    </row>
    <row r="308" ht="15.75" customHeight="1">
      <c r="A308" s="1"/>
      <c r="B308" s="69"/>
      <c r="D308" s="70"/>
      <c r="E308" s="71"/>
      <c r="F308" s="72"/>
      <c r="G308" s="75"/>
      <c r="H308" s="73"/>
      <c r="I308" s="51">
        <f t="shared" si="1"/>
        <v>0</v>
      </c>
      <c r="J308" s="74"/>
      <c r="K308" s="51">
        <f t="shared" si="2"/>
        <v>0</v>
      </c>
      <c r="L308" s="51">
        <f t="shared" si="5"/>
        <v>0</v>
      </c>
      <c r="M308" s="51">
        <f t="shared" si="4"/>
        <v>0</v>
      </c>
      <c r="N308" s="67"/>
    </row>
    <row r="309" ht="15.75" customHeight="1">
      <c r="A309" s="1"/>
      <c r="B309" s="69"/>
      <c r="D309" s="70"/>
      <c r="E309" s="71"/>
      <c r="F309" s="72"/>
      <c r="G309" s="75"/>
      <c r="H309" s="73"/>
      <c r="I309" s="51">
        <f t="shared" si="1"/>
        <v>0</v>
      </c>
      <c r="J309" s="74"/>
      <c r="K309" s="51">
        <f t="shared" si="2"/>
        <v>0</v>
      </c>
      <c r="L309" s="51">
        <f t="shared" si="5"/>
        <v>0</v>
      </c>
      <c r="M309" s="51">
        <f t="shared" si="4"/>
        <v>0</v>
      </c>
      <c r="N309" s="67"/>
    </row>
    <row r="310" ht="15.75" customHeight="1">
      <c r="A310" s="1"/>
      <c r="B310" s="69"/>
      <c r="D310" s="70"/>
      <c r="E310" s="71"/>
      <c r="F310" s="72"/>
      <c r="G310" s="75"/>
      <c r="H310" s="73"/>
      <c r="I310" s="51">
        <f t="shared" si="1"/>
        <v>0</v>
      </c>
      <c r="J310" s="74"/>
      <c r="K310" s="51">
        <f t="shared" si="2"/>
        <v>0</v>
      </c>
      <c r="L310" s="51">
        <f t="shared" si="5"/>
        <v>0</v>
      </c>
      <c r="M310" s="51">
        <f t="shared" si="4"/>
        <v>0</v>
      </c>
      <c r="N310" s="67"/>
    </row>
    <row r="311" ht="15.75" customHeight="1">
      <c r="A311" s="1"/>
      <c r="B311" s="69"/>
      <c r="D311" s="70"/>
      <c r="E311" s="71"/>
      <c r="F311" s="72"/>
      <c r="G311" s="75"/>
      <c r="H311" s="73"/>
      <c r="I311" s="51">
        <f t="shared" si="1"/>
        <v>0</v>
      </c>
      <c r="J311" s="74"/>
      <c r="K311" s="51">
        <f t="shared" si="2"/>
        <v>0</v>
      </c>
      <c r="L311" s="51">
        <f t="shared" si="5"/>
        <v>0</v>
      </c>
      <c r="M311" s="51">
        <f t="shared" si="4"/>
        <v>0</v>
      </c>
      <c r="N311" s="67"/>
    </row>
    <row r="312" ht="15.75" customHeight="1">
      <c r="A312" s="1"/>
      <c r="B312" s="69"/>
      <c r="D312" s="70"/>
      <c r="E312" s="71"/>
      <c r="F312" s="72"/>
      <c r="G312" s="75"/>
      <c r="H312" s="73"/>
      <c r="I312" s="51">
        <f t="shared" si="1"/>
        <v>0</v>
      </c>
      <c r="J312" s="74"/>
      <c r="K312" s="51">
        <f t="shared" si="2"/>
        <v>0</v>
      </c>
      <c r="L312" s="51">
        <f t="shared" si="5"/>
        <v>0</v>
      </c>
      <c r="M312" s="51">
        <f t="shared" si="4"/>
        <v>0</v>
      </c>
      <c r="N312" s="67"/>
    </row>
    <row r="313" ht="15.75" customHeight="1">
      <c r="A313" s="1"/>
      <c r="B313" s="69"/>
      <c r="D313" s="70"/>
      <c r="E313" s="71"/>
      <c r="F313" s="72"/>
      <c r="G313" s="75"/>
      <c r="H313" s="73"/>
      <c r="I313" s="51">
        <f t="shared" si="1"/>
        <v>0</v>
      </c>
      <c r="J313" s="74"/>
      <c r="K313" s="51">
        <f t="shared" si="2"/>
        <v>0</v>
      </c>
      <c r="L313" s="51">
        <f t="shared" si="5"/>
        <v>0</v>
      </c>
      <c r="M313" s="51">
        <f t="shared" si="4"/>
        <v>0</v>
      </c>
      <c r="N313" s="67"/>
    </row>
    <row r="314" ht="15.75" customHeight="1">
      <c r="A314" s="1"/>
      <c r="B314" s="69"/>
      <c r="D314" s="70"/>
      <c r="E314" s="71"/>
      <c r="F314" s="72"/>
      <c r="G314" s="75"/>
      <c r="H314" s="73"/>
      <c r="I314" s="51">
        <f t="shared" si="1"/>
        <v>0</v>
      </c>
      <c r="J314" s="74"/>
      <c r="K314" s="51">
        <f t="shared" si="2"/>
        <v>0</v>
      </c>
      <c r="L314" s="51">
        <f t="shared" si="5"/>
        <v>0</v>
      </c>
      <c r="M314" s="51">
        <f t="shared" si="4"/>
        <v>0</v>
      </c>
      <c r="N314" s="67"/>
    </row>
    <row r="315" ht="15.75" customHeight="1">
      <c r="A315" s="1"/>
      <c r="B315" s="69"/>
      <c r="D315" s="70"/>
      <c r="E315" s="71"/>
      <c r="F315" s="72"/>
      <c r="G315" s="75"/>
      <c r="H315" s="73"/>
      <c r="I315" s="51">
        <f t="shared" si="1"/>
        <v>0</v>
      </c>
      <c r="J315" s="74"/>
      <c r="K315" s="51">
        <f t="shared" si="2"/>
        <v>0</v>
      </c>
      <c r="L315" s="51">
        <f t="shared" si="5"/>
        <v>0</v>
      </c>
      <c r="M315" s="51">
        <f t="shared" si="4"/>
        <v>0</v>
      </c>
      <c r="N315" s="67"/>
    </row>
    <row r="316" ht="15.75" customHeight="1">
      <c r="A316" s="1"/>
      <c r="B316" s="69"/>
      <c r="D316" s="70"/>
      <c r="E316" s="71"/>
      <c r="F316" s="72"/>
      <c r="G316" s="75"/>
      <c r="H316" s="73"/>
      <c r="I316" s="51">
        <f t="shared" si="1"/>
        <v>0</v>
      </c>
      <c r="J316" s="74"/>
      <c r="K316" s="51">
        <f t="shared" si="2"/>
        <v>0</v>
      </c>
      <c r="L316" s="51">
        <f t="shared" si="5"/>
        <v>0</v>
      </c>
      <c r="M316" s="51">
        <f t="shared" si="4"/>
        <v>0</v>
      </c>
      <c r="N316" s="67"/>
    </row>
    <row r="317" ht="15.75" customHeight="1">
      <c r="A317" s="1"/>
      <c r="B317" s="69"/>
      <c r="D317" s="70"/>
      <c r="E317" s="71"/>
      <c r="F317" s="72"/>
      <c r="G317" s="75"/>
      <c r="H317" s="73"/>
      <c r="I317" s="51">
        <f t="shared" si="1"/>
        <v>0</v>
      </c>
      <c r="J317" s="74"/>
      <c r="K317" s="51">
        <f t="shared" si="2"/>
        <v>0</v>
      </c>
      <c r="L317" s="51">
        <f t="shared" si="5"/>
        <v>0</v>
      </c>
      <c r="M317" s="51">
        <f t="shared" si="4"/>
        <v>0</v>
      </c>
      <c r="N317" s="67"/>
    </row>
    <row r="318" ht="15.75" customHeight="1">
      <c r="A318" s="1"/>
      <c r="B318" s="69"/>
      <c r="D318" s="70"/>
      <c r="E318" s="71"/>
      <c r="F318" s="72"/>
      <c r="G318" s="75"/>
      <c r="H318" s="73"/>
      <c r="I318" s="51">
        <f t="shared" si="1"/>
        <v>0</v>
      </c>
      <c r="J318" s="74"/>
      <c r="K318" s="51">
        <f t="shared" si="2"/>
        <v>0</v>
      </c>
      <c r="L318" s="51">
        <f t="shared" si="5"/>
        <v>0</v>
      </c>
      <c r="M318" s="51">
        <f t="shared" si="4"/>
        <v>0</v>
      </c>
      <c r="N318" s="67"/>
    </row>
    <row r="319" ht="15.75" customHeight="1">
      <c r="A319" s="1"/>
      <c r="B319" s="69"/>
      <c r="D319" s="70"/>
      <c r="E319" s="71"/>
      <c r="F319" s="72"/>
      <c r="G319" s="75"/>
      <c r="H319" s="73"/>
      <c r="I319" s="51">
        <f t="shared" si="1"/>
        <v>0</v>
      </c>
      <c r="J319" s="74"/>
      <c r="K319" s="51">
        <f t="shared" si="2"/>
        <v>0</v>
      </c>
      <c r="L319" s="51">
        <f t="shared" si="5"/>
        <v>0</v>
      </c>
      <c r="M319" s="51">
        <f t="shared" si="4"/>
        <v>0</v>
      </c>
      <c r="N319" s="67"/>
    </row>
    <row r="320" ht="15.75" customHeight="1">
      <c r="A320" s="1"/>
      <c r="B320" s="69"/>
      <c r="D320" s="70"/>
      <c r="E320" s="71"/>
      <c r="F320" s="72"/>
      <c r="G320" s="75"/>
      <c r="H320" s="73"/>
      <c r="I320" s="51">
        <f t="shared" si="1"/>
        <v>0</v>
      </c>
      <c r="J320" s="74"/>
      <c r="K320" s="51">
        <f t="shared" si="2"/>
        <v>0</v>
      </c>
      <c r="L320" s="51">
        <f t="shared" si="5"/>
        <v>0</v>
      </c>
      <c r="M320" s="51">
        <f t="shared" si="4"/>
        <v>0</v>
      </c>
      <c r="N320" s="67"/>
    </row>
    <row r="321" ht="15.75" customHeight="1">
      <c r="A321" s="1"/>
      <c r="B321" s="69"/>
      <c r="D321" s="70"/>
      <c r="E321" s="71"/>
      <c r="F321" s="72"/>
      <c r="G321" s="75"/>
      <c r="H321" s="73"/>
      <c r="I321" s="51">
        <f t="shared" si="1"/>
        <v>0</v>
      </c>
      <c r="J321" s="74"/>
      <c r="K321" s="51">
        <f t="shared" si="2"/>
        <v>0</v>
      </c>
      <c r="L321" s="51">
        <f t="shared" si="5"/>
        <v>0</v>
      </c>
      <c r="M321" s="51">
        <f t="shared" si="4"/>
        <v>0</v>
      </c>
      <c r="N321" s="67"/>
    </row>
    <row r="322" ht="15.75" customHeight="1">
      <c r="A322" s="1"/>
      <c r="B322" s="69"/>
      <c r="D322" s="70"/>
      <c r="E322" s="71"/>
      <c r="F322" s="72"/>
      <c r="G322" s="75"/>
      <c r="H322" s="73"/>
      <c r="I322" s="51">
        <f t="shared" si="1"/>
        <v>0</v>
      </c>
      <c r="J322" s="74"/>
      <c r="K322" s="51">
        <f t="shared" si="2"/>
        <v>0</v>
      </c>
      <c r="L322" s="51">
        <f t="shared" si="5"/>
        <v>0</v>
      </c>
      <c r="M322" s="51">
        <f t="shared" si="4"/>
        <v>0</v>
      </c>
      <c r="N322" s="67"/>
    </row>
    <row r="323" ht="15.75" customHeight="1">
      <c r="A323" s="1"/>
      <c r="B323" s="69"/>
      <c r="D323" s="70"/>
      <c r="E323" s="71"/>
      <c r="F323" s="72"/>
      <c r="G323" s="75"/>
      <c r="H323" s="73"/>
      <c r="I323" s="51">
        <f t="shared" si="1"/>
        <v>0</v>
      </c>
      <c r="J323" s="74"/>
      <c r="K323" s="51">
        <f t="shared" si="2"/>
        <v>0</v>
      </c>
      <c r="L323" s="51">
        <f t="shared" si="5"/>
        <v>0</v>
      </c>
      <c r="M323" s="51">
        <f t="shared" si="4"/>
        <v>0</v>
      </c>
      <c r="N323" s="67"/>
    </row>
    <row r="324" ht="15.75" customHeight="1">
      <c r="A324" s="1"/>
      <c r="B324" s="69"/>
      <c r="D324" s="70"/>
      <c r="E324" s="71"/>
      <c r="F324" s="72"/>
      <c r="G324" s="75"/>
      <c r="H324" s="73"/>
      <c r="I324" s="51">
        <f t="shared" si="1"/>
        <v>0</v>
      </c>
      <c r="J324" s="74"/>
      <c r="K324" s="51">
        <f t="shared" si="2"/>
        <v>0</v>
      </c>
      <c r="L324" s="51">
        <f t="shared" si="5"/>
        <v>0</v>
      </c>
      <c r="M324" s="51">
        <f t="shared" si="4"/>
        <v>0</v>
      </c>
      <c r="N324" s="67"/>
    </row>
    <row r="325" ht="15.75" customHeight="1">
      <c r="A325" s="1"/>
      <c r="B325" s="69"/>
      <c r="D325" s="70"/>
      <c r="E325" s="71"/>
      <c r="F325" s="72"/>
      <c r="G325" s="75"/>
      <c r="H325" s="73"/>
      <c r="I325" s="51">
        <f t="shared" si="1"/>
        <v>0</v>
      </c>
      <c r="J325" s="74"/>
      <c r="K325" s="51">
        <f t="shared" si="2"/>
        <v>0</v>
      </c>
      <c r="L325" s="51">
        <f t="shared" si="5"/>
        <v>0</v>
      </c>
      <c r="M325" s="51">
        <f t="shared" si="4"/>
        <v>0</v>
      </c>
      <c r="N325" s="67"/>
    </row>
    <row r="326" ht="15.75" customHeight="1">
      <c r="A326" s="1"/>
      <c r="B326" s="69"/>
      <c r="D326" s="70"/>
      <c r="E326" s="71"/>
      <c r="F326" s="72"/>
      <c r="G326" s="75"/>
      <c r="H326" s="73"/>
      <c r="I326" s="51">
        <f t="shared" si="1"/>
        <v>0</v>
      </c>
      <c r="J326" s="74"/>
      <c r="K326" s="51">
        <f t="shared" si="2"/>
        <v>0</v>
      </c>
      <c r="L326" s="51">
        <f t="shared" si="5"/>
        <v>0</v>
      </c>
      <c r="M326" s="51">
        <f t="shared" si="4"/>
        <v>0</v>
      </c>
      <c r="N326" s="67"/>
    </row>
    <row r="327" ht="15.75" customHeight="1">
      <c r="A327" s="1"/>
      <c r="B327" s="69"/>
      <c r="D327" s="70"/>
      <c r="E327" s="71"/>
      <c r="F327" s="72"/>
      <c r="G327" s="75"/>
      <c r="H327" s="73"/>
      <c r="I327" s="51">
        <f t="shared" si="1"/>
        <v>0</v>
      </c>
      <c r="J327" s="74"/>
      <c r="K327" s="51">
        <f t="shared" si="2"/>
        <v>0</v>
      </c>
      <c r="L327" s="51">
        <f t="shared" si="5"/>
        <v>0</v>
      </c>
      <c r="M327" s="51">
        <f t="shared" si="4"/>
        <v>0</v>
      </c>
      <c r="N327" s="67"/>
    </row>
    <row r="328" ht="15.75" customHeight="1">
      <c r="A328" s="1"/>
      <c r="B328" s="69"/>
      <c r="D328" s="70"/>
      <c r="E328" s="71"/>
      <c r="F328" s="72"/>
      <c r="G328" s="75"/>
      <c r="H328" s="73"/>
      <c r="I328" s="51">
        <f t="shared" si="1"/>
        <v>0</v>
      </c>
      <c r="J328" s="74"/>
      <c r="K328" s="51">
        <f t="shared" si="2"/>
        <v>0</v>
      </c>
      <c r="L328" s="51">
        <f t="shared" si="5"/>
        <v>0</v>
      </c>
      <c r="M328" s="51">
        <f t="shared" si="4"/>
        <v>0</v>
      </c>
      <c r="N328" s="67"/>
    </row>
    <row r="329" ht="15.75" customHeight="1">
      <c r="A329" s="1"/>
      <c r="B329" s="69"/>
      <c r="D329" s="70"/>
      <c r="E329" s="71"/>
      <c r="F329" s="72"/>
      <c r="G329" s="75"/>
      <c r="H329" s="73"/>
      <c r="I329" s="51">
        <f t="shared" si="1"/>
        <v>0</v>
      </c>
      <c r="J329" s="74"/>
      <c r="K329" s="51">
        <f t="shared" si="2"/>
        <v>0</v>
      </c>
      <c r="L329" s="51">
        <f t="shared" si="5"/>
        <v>0</v>
      </c>
      <c r="M329" s="51">
        <f t="shared" si="4"/>
        <v>0</v>
      </c>
      <c r="N329" s="67"/>
    </row>
    <row r="330" ht="15.75" customHeight="1">
      <c r="A330" s="1"/>
      <c r="B330" s="69"/>
      <c r="D330" s="70"/>
      <c r="E330" s="71"/>
      <c r="F330" s="72"/>
      <c r="G330" s="75"/>
      <c r="H330" s="73"/>
      <c r="I330" s="51">
        <f t="shared" si="1"/>
        <v>0</v>
      </c>
      <c r="J330" s="74"/>
      <c r="K330" s="51">
        <f t="shared" si="2"/>
        <v>0</v>
      </c>
      <c r="L330" s="51">
        <f t="shared" si="5"/>
        <v>0</v>
      </c>
      <c r="M330" s="51">
        <f t="shared" si="4"/>
        <v>0</v>
      </c>
      <c r="N330" s="67"/>
    </row>
    <row r="331" ht="15.75" customHeight="1">
      <c r="A331" s="1"/>
      <c r="B331" s="69"/>
      <c r="D331" s="70"/>
      <c r="E331" s="71"/>
      <c r="F331" s="72"/>
      <c r="G331" s="75"/>
      <c r="H331" s="73"/>
      <c r="I331" s="51">
        <f t="shared" si="1"/>
        <v>0</v>
      </c>
      <c r="J331" s="74"/>
      <c r="K331" s="51">
        <f t="shared" si="2"/>
        <v>0</v>
      </c>
      <c r="L331" s="51">
        <f t="shared" si="5"/>
        <v>0</v>
      </c>
      <c r="M331" s="51">
        <f t="shared" si="4"/>
        <v>0</v>
      </c>
      <c r="N331" s="67"/>
    </row>
    <row r="332" ht="15.75" customHeight="1">
      <c r="A332" s="1"/>
      <c r="B332" s="69"/>
      <c r="D332" s="70"/>
      <c r="E332" s="71"/>
      <c r="F332" s="72"/>
      <c r="G332" s="75"/>
      <c r="H332" s="73"/>
      <c r="I332" s="51">
        <f t="shared" si="1"/>
        <v>0</v>
      </c>
      <c r="J332" s="74"/>
      <c r="K332" s="51">
        <f t="shared" si="2"/>
        <v>0</v>
      </c>
      <c r="L332" s="51">
        <f t="shared" si="5"/>
        <v>0</v>
      </c>
      <c r="M332" s="51">
        <f t="shared" si="4"/>
        <v>0</v>
      </c>
      <c r="N332" s="67"/>
    </row>
    <row r="333" ht="15.75" customHeight="1">
      <c r="A333" s="1"/>
      <c r="B333" s="69"/>
      <c r="D333" s="70"/>
      <c r="E333" s="71"/>
      <c r="F333" s="72"/>
      <c r="G333" s="75"/>
      <c r="H333" s="73"/>
      <c r="I333" s="51">
        <f t="shared" si="1"/>
        <v>0</v>
      </c>
      <c r="J333" s="74"/>
      <c r="K333" s="51">
        <f t="shared" si="2"/>
        <v>0</v>
      </c>
      <c r="L333" s="51">
        <f t="shared" si="5"/>
        <v>0</v>
      </c>
      <c r="M333" s="51">
        <f t="shared" si="4"/>
        <v>0</v>
      </c>
      <c r="N333" s="67"/>
    </row>
    <row r="334" ht="15.75" customHeight="1">
      <c r="A334" s="1"/>
      <c r="B334" s="69"/>
      <c r="D334" s="70"/>
      <c r="E334" s="71"/>
      <c r="F334" s="72"/>
      <c r="G334" s="75"/>
      <c r="H334" s="73"/>
      <c r="I334" s="51">
        <f t="shared" si="1"/>
        <v>0</v>
      </c>
      <c r="J334" s="74"/>
      <c r="K334" s="51">
        <f t="shared" si="2"/>
        <v>0</v>
      </c>
      <c r="L334" s="51">
        <f t="shared" si="5"/>
        <v>0</v>
      </c>
      <c r="M334" s="51">
        <f t="shared" si="4"/>
        <v>0</v>
      </c>
      <c r="N334" s="67"/>
    </row>
    <row r="335" ht="15.75" customHeight="1">
      <c r="A335" s="1"/>
      <c r="B335" s="69"/>
      <c r="D335" s="70"/>
      <c r="E335" s="71"/>
      <c r="F335" s="72"/>
      <c r="G335" s="75"/>
      <c r="H335" s="73"/>
      <c r="I335" s="51">
        <f t="shared" si="1"/>
        <v>0</v>
      </c>
      <c r="J335" s="74"/>
      <c r="K335" s="51">
        <f t="shared" si="2"/>
        <v>0</v>
      </c>
      <c r="L335" s="51">
        <f t="shared" si="5"/>
        <v>0</v>
      </c>
      <c r="M335" s="51">
        <f t="shared" si="4"/>
        <v>0</v>
      </c>
      <c r="N335" s="67"/>
    </row>
    <row r="336" ht="15.75" customHeight="1">
      <c r="A336" s="1"/>
      <c r="B336" s="69"/>
      <c r="D336" s="70"/>
      <c r="E336" s="71"/>
      <c r="F336" s="72"/>
      <c r="G336" s="75"/>
      <c r="H336" s="73"/>
      <c r="I336" s="51">
        <f t="shared" si="1"/>
        <v>0</v>
      </c>
      <c r="J336" s="74"/>
      <c r="K336" s="51">
        <f t="shared" si="2"/>
        <v>0</v>
      </c>
      <c r="L336" s="51">
        <f t="shared" si="5"/>
        <v>0</v>
      </c>
      <c r="M336" s="51">
        <f t="shared" si="4"/>
        <v>0</v>
      </c>
      <c r="N336" s="67"/>
    </row>
    <row r="337" ht="15.75" customHeight="1">
      <c r="A337" s="1"/>
      <c r="B337" s="69"/>
      <c r="D337" s="70"/>
      <c r="E337" s="71"/>
      <c r="F337" s="72"/>
      <c r="G337" s="75"/>
      <c r="H337" s="73"/>
      <c r="I337" s="51">
        <f t="shared" si="1"/>
        <v>0</v>
      </c>
      <c r="J337" s="74"/>
      <c r="K337" s="51">
        <f t="shared" si="2"/>
        <v>0</v>
      </c>
      <c r="L337" s="51">
        <f t="shared" si="5"/>
        <v>0</v>
      </c>
      <c r="M337" s="51">
        <f t="shared" si="4"/>
        <v>0</v>
      </c>
      <c r="N337" s="67"/>
    </row>
    <row r="338" ht="15.75" customHeight="1">
      <c r="A338" s="1"/>
      <c r="B338" s="69"/>
      <c r="D338" s="70"/>
      <c r="E338" s="71"/>
      <c r="F338" s="72"/>
      <c r="G338" s="75"/>
      <c r="H338" s="73"/>
      <c r="I338" s="51">
        <f t="shared" si="1"/>
        <v>0</v>
      </c>
      <c r="J338" s="74"/>
      <c r="K338" s="51">
        <f t="shared" si="2"/>
        <v>0</v>
      </c>
      <c r="L338" s="51">
        <f t="shared" si="5"/>
        <v>0</v>
      </c>
      <c r="M338" s="51">
        <f t="shared" si="4"/>
        <v>0</v>
      </c>
      <c r="N338" s="67"/>
    </row>
    <row r="339" ht="15.75" customHeight="1">
      <c r="A339" s="1"/>
      <c r="B339" s="69"/>
      <c r="D339" s="70"/>
      <c r="E339" s="71"/>
      <c r="F339" s="72"/>
      <c r="G339" s="75"/>
      <c r="H339" s="73"/>
      <c r="I339" s="51">
        <f t="shared" si="1"/>
        <v>0</v>
      </c>
      <c r="J339" s="74"/>
      <c r="K339" s="51">
        <f t="shared" si="2"/>
        <v>0</v>
      </c>
      <c r="L339" s="51">
        <f t="shared" si="5"/>
        <v>0</v>
      </c>
      <c r="M339" s="51">
        <f t="shared" si="4"/>
        <v>0</v>
      </c>
      <c r="N339" s="67"/>
    </row>
    <row r="340" ht="15.75" customHeight="1">
      <c r="A340" s="1"/>
      <c r="B340" s="69"/>
      <c r="D340" s="70"/>
      <c r="E340" s="71"/>
      <c r="F340" s="72"/>
      <c r="G340" s="75"/>
      <c r="H340" s="73"/>
      <c r="I340" s="51">
        <f t="shared" si="1"/>
        <v>0</v>
      </c>
      <c r="J340" s="74"/>
      <c r="K340" s="51">
        <f t="shared" si="2"/>
        <v>0</v>
      </c>
      <c r="L340" s="51">
        <f t="shared" si="5"/>
        <v>0</v>
      </c>
      <c r="M340" s="51">
        <f t="shared" si="4"/>
        <v>0</v>
      </c>
      <c r="N340" s="67"/>
    </row>
    <row r="341" ht="15.75" customHeight="1">
      <c r="A341" s="1"/>
      <c r="B341" s="69"/>
      <c r="D341" s="70"/>
      <c r="E341" s="71"/>
      <c r="F341" s="72"/>
      <c r="G341" s="75"/>
      <c r="H341" s="73"/>
      <c r="I341" s="51">
        <f t="shared" si="1"/>
        <v>0</v>
      </c>
      <c r="J341" s="74"/>
      <c r="K341" s="51">
        <f t="shared" si="2"/>
        <v>0</v>
      </c>
      <c r="L341" s="51">
        <f t="shared" si="5"/>
        <v>0</v>
      </c>
      <c r="M341" s="51">
        <f t="shared" si="4"/>
        <v>0</v>
      </c>
      <c r="N341" s="67"/>
    </row>
    <row r="342" ht="15.75" customHeight="1">
      <c r="A342" s="1"/>
      <c r="B342" s="69"/>
      <c r="D342" s="70"/>
      <c r="E342" s="71"/>
      <c r="F342" s="72"/>
      <c r="G342" s="75"/>
      <c r="H342" s="73"/>
      <c r="I342" s="51">
        <f t="shared" si="1"/>
        <v>0</v>
      </c>
      <c r="J342" s="74"/>
      <c r="K342" s="51">
        <f t="shared" si="2"/>
        <v>0</v>
      </c>
      <c r="L342" s="51">
        <f t="shared" si="5"/>
        <v>0</v>
      </c>
      <c r="M342" s="51">
        <f t="shared" si="4"/>
        <v>0</v>
      </c>
      <c r="N342" s="67"/>
    </row>
    <row r="343" ht="15.75" customHeight="1">
      <c r="A343" s="1"/>
      <c r="B343" s="69"/>
      <c r="D343" s="70"/>
      <c r="E343" s="71"/>
      <c r="F343" s="72"/>
      <c r="G343" s="75"/>
      <c r="H343" s="73"/>
      <c r="I343" s="51">
        <f t="shared" si="1"/>
        <v>0</v>
      </c>
      <c r="J343" s="74"/>
      <c r="K343" s="51">
        <f t="shared" si="2"/>
        <v>0</v>
      </c>
      <c r="L343" s="51">
        <f t="shared" si="5"/>
        <v>0</v>
      </c>
      <c r="M343" s="51">
        <f t="shared" si="4"/>
        <v>0</v>
      </c>
      <c r="N343" s="67"/>
    </row>
    <row r="344" ht="15.75" customHeight="1">
      <c r="A344" s="1"/>
      <c r="B344" s="69"/>
      <c r="D344" s="70"/>
      <c r="E344" s="71"/>
      <c r="F344" s="72"/>
      <c r="G344" s="75"/>
      <c r="H344" s="73"/>
      <c r="I344" s="51">
        <f t="shared" si="1"/>
        <v>0</v>
      </c>
      <c r="J344" s="74"/>
      <c r="K344" s="51">
        <f t="shared" si="2"/>
        <v>0</v>
      </c>
      <c r="L344" s="51">
        <f t="shared" si="5"/>
        <v>0</v>
      </c>
      <c r="M344" s="51">
        <f t="shared" si="4"/>
        <v>0</v>
      </c>
      <c r="N344" s="67"/>
    </row>
    <row r="345" ht="15.75" customHeight="1">
      <c r="A345" s="1"/>
      <c r="B345" s="69"/>
      <c r="D345" s="70"/>
      <c r="E345" s="71"/>
      <c r="F345" s="72"/>
      <c r="G345" s="75"/>
      <c r="H345" s="73"/>
      <c r="I345" s="51">
        <f t="shared" si="1"/>
        <v>0</v>
      </c>
      <c r="J345" s="74"/>
      <c r="K345" s="51">
        <f t="shared" si="2"/>
        <v>0</v>
      </c>
      <c r="L345" s="51">
        <f t="shared" si="5"/>
        <v>0</v>
      </c>
      <c r="M345" s="51">
        <f t="shared" si="4"/>
        <v>0</v>
      </c>
      <c r="N345" s="67"/>
    </row>
    <row r="346" ht="15.75" customHeight="1">
      <c r="A346" s="1"/>
      <c r="B346" s="69"/>
      <c r="D346" s="70"/>
      <c r="E346" s="71"/>
      <c r="F346" s="72"/>
      <c r="G346" s="75"/>
      <c r="H346" s="73"/>
      <c r="I346" s="51">
        <f t="shared" si="1"/>
        <v>0</v>
      </c>
      <c r="J346" s="74"/>
      <c r="K346" s="51">
        <f t="shared" si="2"/>
        <v>0</v>
      </c>
      <c r="L346" s="51">
        <f t="shared" si="5"/>
        <v>0</v>
      </c>
      <c r="M346" s="51">
        <f t="shared" si="4"/>
        <v>0</v>
      </c>
      <c r="N346" s="67"/>
    </row>
    <row r="347" ht="15.75" customHeight="1">
      <c r="A347" s="1"/>
      <c r="B347" s="69"/>
      <c r="D347" s="70"/>
      <c r="E347" s="71"/>
      <c r="F347" s="72"/>
      <c r="G347" s="75"/>
      <c r="H347" s="73"/>
      <c r="I347" s="51">
        <f t="shared" si="1"/>
        <v>0</v>
      </c>
      <c r="J347" s="74"/>
      <c r="K347" s="51">
        <f t="shared" si="2"/>
        <v>0</v>
      </c>
      <c r="L347" s="51">
        <f t="shared" si="5"/>
        <v>0</v>
      </c>
      <c r="M347" s="51">
        <f t="shared" si="4"/>
        <v>0</v>
      </c>
      <c r="N347" s="67"/>
    </row>
    <row r="348" ht="15.75" customHeight="1">
      <c r="A348" s="1"/>
      <c r="B348" s="69"/>
      <c r="D348" s="70"/>
      <c r="E348" s="71"/>
      <c r="F348" s="72"/>
      <c r="G348" s="75"/>
      <c r="H348" s="73"/>
      <c r="I348" s="51">
        <f t="shared" si="1"/>
        <v>0</v>
      </c>
      <c r="J348" s="74"/>
      <c r="K348" s="51">
        <f t="shared" si="2"/>
        <v>0</v>
      </c>
      <c r="L348" s="51">
        <f t="shared" si="5"/>
        <v>0</v>
      </c>
      <c r="M348" s="51">
        <f t="shared" si="4"/>
        <v>0</v>
      </c>
      <c r="N348" s="67"/>
    </row>
    <row r="349" ht="15.75" customHeight="1">
      <c r="A349" s="1"/>
      <c r="B349" s="69"/>
      <c r="D349" s="70"/>
      <c r="E349" s="71"/>
      <c r="F349" s="72"/>
      <c r="G349" s="75"/>
      <c r="H349" s="73"/>
      <c r="I349" s="51">
        <f t="shared" si="1"/>
        <v>0</v>
      </c>
      <c r="J349" s="74"/>
      <c r="K349" s="51">
        <f t="shared" si="2"/>
        <v>0</v>
      </c>
      <c r="L349" s="51">
        <f t="shared" si="5"/>
        <v>0</v>
      </c>
      <c r="M349" s="51">
        <f t="shared" si="4"/>
        <v>0</v>
      </c>
      <c r="N349" s="67"/>
    </row>
    <row r="350" ht="15.75" customHeight="1">
      <c r="A350" s="1"/>
      <c r="B350" s="69"/>
      <c r="D350" s="70"/>
      <c r="E350" s="71"/>
      <c r="F350" s="72"/>
      <c r="G350" s="75"/>
      <c r="H350" s="73"/>
      <c r="I350" s="51">
        <f t="shared" si="1"/>
        <v>0</v>
      </c>
      <c r="J350" s="74"/>
      <c r="K350" s="51">
        <f t="shared" si="2"/>
        <v>0</v>
      </c>
      <c r="L350" s="51">
        <f t="shared" si="5"/>
        <v>0</v>
      </c>
      <c r="M350" s="51">
        <f t="shared" si="4"/>
        <v>0</v>
      </c>
      <c r="N350" s="67"/>
    </row>
    <row r="351" ht="15.75" customHeight="1">
      <c r="A351" s="1"/>
      <c r="B351" s="69"/>
      <c r="D351" s="70"/>
      <c r="E351" s="71"/>
      <c r="F351" s="72"/>
      <c r="G351" s="75"/>
      <c r="H351" s="73"/>
      <c r="I351" s="51">
        <f t="shared" si="1"/>
        <v>0</v>
      </c>
      <c r="J351" s="74"/>
      <c r="K351" s="51">
        <f t="shared" si="2"/>
        <v>0</v>
      </c>
      <c r="L351" s="51">
        <f t="shared" si="5"/>
        <v>0</v>
      </c>
      <c r="M351" s="51">
        <f t="shared" si="4"/>
        <v>0</v>
      </c>
      <c r="N351" s="67"/>
    </row>
    <row r="352" ht="15.75" customHeight="1">
      <c r="A352" s="1"/>
      <c r="B352" s="69"/>
      <c r="D352" s="70"/>
      <c r="E352" s="71"/>
      <c r="F352" s="72"/>
      <c r="G352" s="75"/>
      <c r="H352" s="73"/>
      <c r="I352" s="51">
        <f t="shared" si="1"/>
        <v>0</v>
      </c>
      <c r="J352" s="74"/>
      <c r="K352" s="51">
        <f t="shared" si="2"/>
        <v>0</v>
      </c>
      <c r="L352" s="51">
        <f t="shared" si="5"/>
        <v>0</v>
      </c>
      <c r="M352" s="51">
        <f t="shared" si="4"/>
        <v>0</v>
      </c>
      <c r="N352" s="67"/>
    </row>
    <row r="353" ht="15.75" customHeight="1">
      <c r="A353" s="1"/>
      <c r="B353" s="69"/>
      <c r="D353" s="70"/>
      <c r="E353" s="71"/>
      <c r="F353" s="72"/>
      <c r="G353" s="75"/>
      <c r="H353" s="73"/>
      <c r="I353" s="51">
        <f t="shared" si="1"/>
        <v>0</v>
      </c>
      <c r="J353" s="74"/>
      <c r="K353" s="51">
        <f t="shared" si="2"/>
        <v>0</v>
      </c>
      <c r="L353" s="51">
        <f t="shared" si="5"/>
        <v>0</v>
      </c>
      <c r="M353" s="51">
        <f t="shared" si="4"/>
        <v>0</v>
      </c>
      <c r="N353" s="67"/>
    </row>
    <row r="354" ht="15.75" customHeight="1">
      <c r="A354" s="1"/>
      <c r="B354" s="69"/>
      <c r="D354" s="70"/>
      <c r="E354" s="71"/>
      <c r="F354" s="72"/>
      <c r="G354" s="75"/>
      <c r="H354" s="73"/>
      <c r="I354" s="51">
        <f t="shared" si="1"/>
        <v>0</v>
      </c>
      <c r="J354" s="74"/>
      <c r="K354" s="51">
        <f t="shared" si="2"/>
        <v>0</v>
      </c>
      <c r="L354" s="51">
        <f t="shared" si="5"/>
        <v>0</v>
      </c>
      <c r="M354" s="51">
        <f t="shared" si="4"/>
        <v>0</v>
      </c>
      <c r="N354" s="67"/>
    </row>
    <row r="355" ht="15.75" customHeight="1">
      <c r="A355" s="1"/>
      <c r="B355" s="69"/>
      <c r="D355" s="70"/>
      <c r="E355" s="71"/>
      <c r="F355" s="72"/>
      <c r="G355" s="75"/>
      <c r="H355" s="73"/>
      <c r="I355" s="51">
        <f t="shared" si="1"/>
        <v>0</v>
      </c>
      <c r="J355" s="74"/>
      <c r="K355" s="51">
        <f t="shared" si="2"/>
        <v>0</v>
      </c>
      <c r="L355" s="51">
        <f t="shared" si="5"/>
        <v>0</v>
      </c>
      <c r="M355" s="51">
        <f t="shared" si="4"/>
        <v>0</v>
      </c>
      <c r="N355" s="67"/>
    </row>
    <row r="356" ht="15.75" customHeight="1">
      <c r="A356" s="1"/>
      <c r="B356" s="69"/>
      <c r="D356" s="70"/>
      <c r="E356" s="71"/>
      <c r="F356" s="72"/>
      <c r="G356" s="75"/>
      <c r="H356" s="73"/>
      <c r="I356" s="51">
        <f t="shared" si="1"/>
        <v>0</v>
      </c>
      <c r="J356" s="74"/>
      <c r="K356" s="51">
        <f t="shared" si="2"/>
        <v>0</v>
      </c>
      <c r="L356" s="51">
        <f t="shared" si="5"/>
        <v>0</v>
      </c>
      <c r="M356" s="51">
        <f t="shared" si="4"/>
        <v>0</v>
      </c>
      <c r="N356" s="67"/>
    </row>
    <row r="357" ht="15.75" customHeight="1">
      <c r="A357" s="1"/>
      <c r="B357" s="69"/>
      <c r="D357" s="70"/>
      <c r="E357" s="71"/>
      <c r="F357" s="72"/>
      <c r="G357" s="75"/>
      <c r="H357" s="73"/>
      <c r="I357" s="51">
        <f t="shared" si="1"/>
        <v>0</v>
      </c>
      <c r="J357" s="74"/>
      <c r="K357" s="51">
        <f t="shared" si="2"/>
        <v>0</v>
      </c>
      <c r="L357" s="51">
        <f t="shared" si="5"/>
        <v>0</v>
      </c>
      <c r="M357" s="51">
        <f t="shared" si="4"/>
        <v>0</v>
      </c>
      <c r="N357" s="67"/>
    </row>
    <row r="358" ht="15.75" customHeight="1">
      <c r="A358" s="1"/>
      <c r="B358" s="69"/>
      <c r="D358" s="70"/>
      <c r="E358" s="71"/>
      <c r="F358" s="72"/>
      <c r="G358" s="75"/>
      <c r="H358" s="73"/>
      <c r="I358" s="51">
        <f t="shared" si="1"/>
        <v>0</v>
      </c>
      <c r="J358" s="74"/>
      <c r="K358" s="51">
        <f t="shared" si="2"/>
        <v>0</v>
      </c>
      <c r="L358" s="51">
        <f t="shared" si="5"/>
        <v>0</v>
      </c>
      <c r="M358" s="51">
        <f t="shared" si="4"/>
        <v>0</v>
      </c>
      <c r="N358" s="67"/>
    </row>
    <row r="359" ht="15.75" customHeight="1">
      <c r="A359" s="1"/>
      <c r="B359" s="69"/>
      <c r="D359" s="70"/>
      <c r="E359" s="71"/>
      <c r="F359" s="72"/>
      <c r="G359" s="75"/>
      <c r="H359" s="73"/>
      <c r="I359" s="51">
        <f t="shared" si="1"/>
        <v>0</v>
      </c>
      <c r="J359" s="74"/>
      <c r="K359" s="51">
        <f t="shared" si="2"/>
        <v>0</v>
      </c>
      <c r="L359" s="51">
        <f t="shared" si="5"/>
        <v>0</v>
      </c>
      <c r="M359" s="51">
        <f t="shared" si="4"/>
        <v>0</v>
      </c>
      <c r="N359" s="67"/>
    </row>
    <row r="360" ht="15.75" customHeight="1">
      <c r="A360" s="1"/>
      <c r="B360" s="69"/>
      <c r="D360" s="70"/>
      <c r="E360" s="71"/>
      <c r="F360" s="72"/>
      <c r="G360" s="75"/>
      <c r="H360" s="73"/>
      <c r="I360" s="51">
        <f t="shared" si="1"/>
        <v>0</v>
      </c>
      <c r="J360" s="74"/>
      <c r="K360" s="51">
        <f t="shared" si="2"/>
        <v>0</v>
      </c>
      <c r="L360" s="51">
        <f t="shared" si="5"/>
        <v>0</v>
      </c>
      <c r="M360" s="51">
        <f t="shared" si="4"/>
        <v>0</v>
      </c>
      <c r="N360" s="67"/>
    </row>
    <row r="361" ht="15.75" customHeight="1">
      <c r="A361" s="1"/>
      <c r="B361" s="69"/>
      <c r="D361" s="70"/>
      <c r="E361" s="71"/>
      <c r="F361" s="72"/>
      <c r="G361" s="75"/>
      <c r="H361" s="73"/>
      <c r="I361" s="51">
        <f t="shared" si="1"/>
        <v>0</v>
      </c>
      <c r="J361" s="74"/>
      <c r="K361" s="51">
        <f t="shared" si="2"/>
        <v>0</v>
      </c>
      <c r="L361" s="51">
        <f t="shared" si="5"/>
        <v>0</v>
      </c>
      <c r="M361" s="51">
        <f t="shared" si="4"/>
        <v>0</v>
      </c>
      <c r="N361" s="67"/>
    </row>
    <row r="362" ht="15.75" customHeight="1">
      <c r="A362" s="1"/>
      <c r="B362" s="69"/>
      <c r="D362" s="70"/>
      <c r="E362" s="71"/>
      <c r="F362" s="72"/>
      <c r="G362" s="75"/>
      <c r="H362" s="73"/>
      <c r="I362" s="51">
        <f t="shared" si="1"/>
        <v>0</v>
      </c>
      <c r="J362" s="74"/>
      <c r="K362" s="51">
        <f t="shared" si="2"/>
        <v>0</v>
      </c>
      <c r="L362" s="51">
        <f t="shared" si="5"/>
        <v>0</v>
      </c>
      <c r="M362" s="51">
        <f t="shared" si="4"/>
        <v>0</v>
      </c>
      <c r="N362" s="67"/>
    </row>
    <row r="363" ht="15.75" customHeight="1">
      <c r="A363" s="1"/>
      <c r="B363" s="69"/>
      <c r="D363" s="70"/>
      <c r="E363" s="71"/>
      <c r="F363" s="72"/>
      <c r="G363" s="75"/>
      <c r="H363" s="73"/>
      <c r="I363" s="51">
        <f t="shared" si="1"/>
        <v>0</v>
      </c>
      <c r="J363" s="74"/>
      <c r="K363" s="51">
        <f t="shared" si="2"/>
        <v>0</v>
      </c>
      <c r="L363" s="51">
        <f t="shared" si="5"/>
        <v>0</v>
      </c>
      <c r="M363" s="51">
        <f t="shared" si="4"/>
        <v>0</v>
      </c>
      <c r="N363" s="67"/>
    </row>
    <row r="364" ht="15.75" customHeight="1">
      <c r="A364" s="1"/>
      <c r="B364" s="69"/>
      <c r="D364" s="70"/>
      <c r="E364" s="71"/>
      <c r="F364" s="72"/>
      <c r="G364" s="75"/>
      <c r="H364" s="73"/>
      <c r="I364" s="51">
        <f t="shared" si="1"/>
        <v>0</v>
      </c>
      <c r="J364" s="74"/>
      <c r="K364" s="51">
        <f t="shared" si="2"/>
        <v>0</v>
      </c>
      <c r="L364" s="51">
        <f t="shared" si="5"/>
        <v>0</v>
      </c>
      <c r="M364" s="51">
        <f t="shared" si="4"/>
        <v>0</v>
      </c>
      <c r="N364" s="67"/>
    </row>
    <row r="365" ht="15.75" customHeight="1">
      <c r="A365" s="1"/>
      <c r="B365" s="69"/>
      <c r="D365" s="70"/>
      <c r="E365" s="71"/>
      <c r="F365" s="72"/>
      <c r="G365" s="75"/>
      <c r="H365" s="73"/>
      <c r="I365" s="51">
        <f t="shared" si="1"/>
        <v>0</v>
      </c>
      <c r="J365" s="74"/>
      <c r="K365" s="51">
        <f t="shared" si="2"/>
        <v>0</v>
      </c>
      <c r="L365" s="51">
        <f t="shared" si="5"/>
        <v>0</v>
      </c>
      <c r="M365" s="51">
        <f t="shared" si="4"/>
        <v>0</v>
      </c>
      <c r="N365" s="67"/>
    </row>
    <row r="366" ht="15.75" customHeight="1">
      <c r="A366" s="1"/>
      <c r="B366" s="69"/>
      <c r="D366" s="70"/>
      <c r="E366" s="71"/>
      <c r="F366" s="72"/>
      <c r="G366" s="75"/>
      <c r="H366" s="73"/>
      <c r="I366" s="51">
        <f t="shared" si="1"/>
        <v>0</v>
      </c>
      <c r="J366" s="74"/>
      <c r="K366" s="51">
        <f t="shared" si="2"/>
        <v>0</v>
      </c>
      <c r="L366" s="51">
        <f t="shared" si="5"/>
        <v>0</v>
      </c>
      <c r="M366" s="51">
        <f t="shared" si="4"/>
        <v>0</v>
      </c>
      <c r="N366" s="67"/>
    </row>
    <row r="367" ht="15.75" customHeight="1">
      <c r="A367" s="1"/>
      <c r="B367" s="69"/>
      <c r="D367" s="70"/>
      <c r="E367" s="71"/>
      <c r="F367" s="72"/>
      <c r="G367" s="75"/>
      <c r="H367" s="73"/>
      <c r="I367" s="51">
        <f t="shared" si="1"/>
        <v>0</v>
      </c>
      <c r="J367" s="74"/>
      <c r="K367" s="51">
        <f t="shared" si="2"/>
        <v>0</v>
      </c>
      <c r="L367" s="51">
        <f t="shared" si="5"/>
        <v>0</v>
      </c>
      <c r="M367" s="51">
        <f t="shared" si="4"/>
        <v>0</v>
      </c>
      <c r="N367" s="67"/>
    </row>
    <row r="368" ht="15.75" customHeight="1">
      <c r="A368" s="1"/>
      <c r="B368" s="69"/>
      <c r="D368" s="70"/>
      <c r="E368" s="71"/>
      <c r="F368" s="72"/>
      <c r="G368" s="75"/>
      <c r="H368" s="73"/>
      <c r="I368" s="51">
        <f t="shared" si="1"/>
        <v>0</v>
      </c>
      <c r="J368" s="74"/>
      <c r="K368" s="51">
        <f t="shared" si="2"/>
        <v>0</v>
      </c>
      <c r="L368" s="51">
        <f t="shared" si="5"/>
        <v>0</v>
      </c>
      <c r="M368" s="51">
        <f t="shared" si="4"/>
        <v>0</v>
      </c>
      <c r="N368" s="67"/>
    </row>
    <row r="369" ht="15.75" customHeight="1">
      <c r="A369" s="1"/>
      <c r="B369" s="69"/>
      <c r="D369" s="70"/>
      <c r="E369" s="71"/>
      <c r="F369" s="72"/>
      <c r="G369" s="75"/>
      <c r="H369" s="73"/>
      <c r="I369" s="51">
        <f t="shared" si="1"/>
        <v>0</v>
      </c>
      <c r="J369" s="74"/>
      <c r="K369" s="51">
        <f t="shared" si="2"/>
        <v>0</v>
      </c>
      <c r="L369" s="51">
        <f t="shared" si="5"/>
        <v>0</v>
      </c>
      <c r="M369" s="51">
        <f t="shared" si="4"/>
        <v>0</v>
      </c>
      <c r="N369" s="67"/>
    </row>
    <row r="370" ht="15.75" customHeight="1">
      <c r="A370" s="1"/>
      <c r="B370" s="69"/>
      <c r="D370" s="70"/>
      <c r="E370" s="71"/>
      <c r="F370" s="72"/>
      <c r="G370" s="75"/>
      <c r="H370" s="73"/>
      <c r="I370" s="51">
        <f t="shared" si="1"/>
        <v>0</v>
      </c>
      <c r="J370" s="74"/>
      <c r="K370" s="51">
        <f t="shared" si="2"/>
        <v>0</v>
      </c>
      <c r="L370" s="51">
        <f t="shared" si="5"/>
        <v>0</v>
      </c>
      <c r="M370" s="51">
        <f t="shared" si="4"/>
        <v>0</v>
      </c>
      <c r="N370" s="67"/>
    </row>
    <row r="371" ht="15.75" customHeight="1">
      <c r="A371" s="1"/>
      <c r="B371" s="69"/>
      <c r="D371" s="70"/>
      <c r="E371" s="71"/>
      <c r="F371" s="72"/>
      <c r="G371" s="75"/>
      <c r="H371" s="73"/>
      <c r="I371" s="51">
        <f t="shared" si="1"/>
        <v>0</v>
      </c>
      <c r="J371" s="74"/>
      <c r="K371" s="51">
        <f t="shared" si="2"/>
        <v>0</v>
      </c>
      <c r="L371" s="51">
        <f t="shared" si="5"/>
        <v>0</v>
      </c>
      <c r="M371" s="51">
        <f t="shared" si="4"/>
        <v>0</v>
      </c>
      <c r="N371" s="67"/>
    </row>
    <row r="372" ht="15.75" customHeight="1">
      <c r="A372" s="1"/>
      <c r="B372" s="69"/>
      <c r="D372" s="70"/>
      <c r="E372" s="71"/>
      <c r="F372" s="72"/>
      <c r="G372" s="75"/>
      <c r="H372" s="73"/>
      <c r="I372" s="51">
        <f t="shared" si="1"/>
        <v>0</v>
      </c>
      <c r="J372" s="74"/>
      <c r="K372" s="51">
        <f t="shared" si="2"/>
        <v>0</v>
      </c>
      <c r="L372" s="51">
        <f t="shared" si="5"/>
        <v>0</v>
      </c>
      <c r="M372" s="51">
        <f t="shared" si="4"/>
        <v>0</v>
      </c>
      <c r="N372" s="67"/>
    </row>
    <row r="373" ht="15.75" customHeight="1">
      <c r="A373" s="1"/>
      <c r="B373" s="69"/>
      <c r="D373" s="70"/>
      <c r="E373" s="71"/>
      <c r="F373" s="72"/>
      <c r="G373" s="75"/>
      <c r="H373" s="73"/>
      <c r="I373" s="51">
        <f t="shared" si="1"/>
        <v>0</v>
      </c>
      <c r="J373" s="74"/>
      <c r="K373" s="51">
        <f t="shared" si="2"/>
        <v>0</v>
      </c>
      <c r="L373" s="51">
        <f t="shared" si="5"/>
        <v>0</v>
      </c>
      <c r="M373" s="51">
        <f t="shared" si="4"/>
        <v>0</v>
      </c>
      <c r="N373" s="67"/>
    </row>
    <row r="374" ht="15.75" customHeight="1">
      <c r="A374" s="1"/>
      <c r="B374" s="69"/>
      <c r="D374" s="70"/>
      <c r="E374" s="71"/>
      <c r="F374" s="72"/>
      <c r="G374" s="75"/>
      <c r="H374" s="73"/>
      <c r="I374" s="51">
        <f t="shared" si="1"/>
        <v>0</v>
      </c>
      <c r="J374" s="74"/>
      <c r="K374" s="51">
        <f t="shared" si="2"/>
        <v>0</v>
      </c>
      <c r="L374" s="51">
        <f t="shared" si="5"/>
        <v>0</v>
      </c>
      <c r="M374" s="51">
        <f t="shared" si="4"/>
        <v>0</v>
      </c>
      <c r="N374" s="67"/>
    </row>
    <row r="375" ht="15.75" customHeight="1">
      <c r="A375" s="1"/>
      <c r="B375" s="69"/>
      <c r="D375" s="70"/>
      <c r="E375" s="71"/>
      <c r="F375" s="72"/>
      <c r="G375" s="75"/>
      <c r="H375" s="73"/>
      <c r="I375" s="51">
        <f t="shared" si="1"/>
        <v>0</v>
      </c>
      <c r="J375" s="74"/>
      <c r="K375" s="51">
        <f t="shared" si="2"/>
        <v>0</v>
      </c>
      <c r="L375" s="51">
        <f t="shared" si="5"/>
        <v>0</v>
      </c>
      <c r="M375" s="51">
        <f t="shared" si="4"/>
        <v>0</v>
      </c>
      <c r="N375" s="67"/>
    </row>
    <row r="376" ht="15.75" customHeight="1">
      <c r="A376" s="1"/>
      <c r="B376" s="69"/>
      <c r="D376" s="70"/>
      <c r="E376" s="71"/>
      <c r="F376" s="72"/>
      <c r="G376" s="75"/>
      <c r="H376" s="73"/>
      <c r="I376" s="51">
        <f t="shared" si="1"/>
        <v>0</v>
      </c>
      <c r="J376" s="74"/>
      <c r="K376" s="51">
        <f t="shared" si="2"/>
        <v>0</v>
      </c>
      <c r="L376" s="51">
        <f t="shared" si="5"/>
        <v>0</v>
      </c>
      <c r="M376" s="51">
        <f t="shared" si="4"/>
        <v>0</v>
      </c>
      <c r="N376" s="67"/>
    </row>
    <row r="377" ht="15.75" customHeight="1">
      <c r="A377" s="1"/>
      <c r="B377" s="69"/>
      <c r="D377" s="70"/>
      <c r="E377" s="71"/>
      <c r="F377" s="72"/>
      <c r="G377" s="75"/>
      <c r="H377" s="73"/>
      <c r="I377" s="51">
        <f t="shared" si="1"/>
        <v>0</v>
      </c>
      <c r="J377" s="74"/>
      <c r="K377" s="51">
        <f t="shared" si="2"/>
        <v>0</v>
      </c>
      <c r="L377" s="51">
        <f t="shared" si="5"/>
        <v>0</v>
      </c>
      <c r="M377" s="51">
        <f t="shared" si="4"/>
        <v>0</v>
      </c>
      <c r="N377" s="67"/>
    </row>
    <row r="378" ht="15.75" customHeight="1">
      <c r="A378" s="1"/>
      <c r="B378" s="69"/>
      <c r="D378" s="70"/>
      <c r="E378" s="71"/>
      <c r="F378" s="72"/>
      <c r="G378" s="75"/>
      <c r="H378" s="73"/>
      <c r="I378" s="51">
        <f t="shared" si="1"/>
        <v>0</v>
      </c>
      <c r="J378" s="74"/>
      <c r="K378" s="51">
        <f t="shared" si="2"/>
        <v>0</v>
      </c>
      <c r="L378" s="51">
        <f t="shared" si="5"/>
        <v>0</v>
      </c>
      <c r="M378" s="51">
        <f t="shared" si="4"/>
        <v>0</v>
      </c>
      <c r="N378" s="67"/>
    </row>
    <row r="379" ht="15.75" customHeight="1">
      <c r="A379" s="1"/>
      <c r="B379" s="69"/>
      <c r="D379" s="70"/>
      <c r="E379" s="71"/>
      <c r="F379" s="72"/>
      <c r="G379" s="75"/>
      <c r="H379" s="73"/>
      <c r="I379" s="51">
        <f t="shared" si="1"/>
        <v>0</v>
      </c>
      <c r="J379" s="74"/>
      <c r="K379" s="51">
        <f t="shared" si="2"/>
        <v>0</v>
      </c>
      <c r="L379" s="51">
        <f t="shared" si="5"/>
        <v>0</v>
      </c>
      <c r="M379" s="51">
        <f t="shared" si="4"/>
        <v>0</v>
      </c>
      <c r="N379" s="67"/>
    </row>
    <row r="380" ht="15.75" customHeight="1">
      <c r="A380" s="1"/>
      <c r="B380" s="69"/>
      <c r="D380" s="70"/>
      <c r="E380" s="71"/>
      <c r="F380" s="72"/>
      <c r="G380" s="75"/>
      <c r="H380" s="73"/>
      <c r="I380" s="51">
        <f t="shared" si="1"/>
        <v>0</v>
      </c>
      <c r="J380" s="74"/>
      <c r="K380" s="51">
        <f t="shared" si="2"/>
        <v>0</v>
      </c>
      <c r="L380" s="51">
        <f t="shared" si="5"/>
        <v>0</v>
      </c>
      <c r="M380" s="51">
        <f t="shared" si="4"/>
        <v>0</v>
      </c>
      <c r="N380" s="67"/>
    </row>
    <row r="381" ht="15.75" customHeight="1">
      <c r="A381" s="1"/>
      <c r="B381" s="69"/>
      <c r="D381" s="70"/>
      <c r="E381" s="71"/>
      <c r="F381" s="72"/>
      <c r="G381" s="75"/>
      <c r="H381" s="73"/>
      <c r="I381" s="51">
        <f t="shared" si="1"/>
        <v>0</v>
      </c>
      <c r="J381" s="74"/>
      <c r="K381" s="51">
        <f t="shared" si="2"/>
        <v>0</v>
      </c>
      <c r="L381" s="51">
        <f t="shared" si="5"/>
        <v>0</v>
      </c>
      <c r="M381" s="51">
        <f t="shared" si="4"/>
        <v>0</v>
      </c>
      <c r="N381" s="67"/>
    </row>
    <row r="382" ht="15.75" customHeight="1">
      <c r="A382" s="1"/>
      <c r="B382" s="69"/>
      <c r="D382" s="70"/>
      <c r="E382" s="71"/>
      <c r="F382" s="72"/>
      <c r="G382" s="75"/>
      <c r="H382" s="73"/>
      <c r="I382" s="51">
        <f t="shared" si="1"/>
        <v>0</v>
      </c>
      <c r="J382" s="74"/>
      <c r="K382" s="51">
        <f t="shared" si="2"/>
        <v>0</v>
      </c>
      <c r="L382" s="51">
        <f t="shared" si="5"/>
        <v>0</v>
      </c>
      <c r="M382" s="51">
        <f t="shared" si="4"/>
        <v>0</v>
      </c>
      <c r="N382" s="67"/>
    </row>
    <row r="383" ht="15.75" customHeight="1">
      <c r="A383" s="1"/>
      <c r="B383" s="69"/>
      <c r="D383" s="70"/>
      <c r="E383" s="71"/>
      <c r="F383" s="72"/>
      <c r="G383" s="75"/>
      <c r="H383" s="73"/>
      <c r="I383" s="51">
        <f t="shared" si="1"/>
        <v>0</v>
      </c>
      <c r="J383" s="74"/>
      <c r="K383" s="51">
        <f t="shared" si="2"/>
        <v>0</v>
      </c>
      <c r="L383" s="51">
        <f t="shared" si="5"/>
        <v>0</v>
      </c>
      <c r="M383" s="51">
        <f t="shared" si="4"/>
        <v>0</v>
      </c>
      <c r="N383" s="67"/>
    </row>
    <row r="384" ht="15.75" customHeight="1">
      <c r="A384" s="1"/>
      <c r="B384" s="69"/>
      <c r="D384" s="70"/>
      <c r="E384" s="71"/>
      <c r="F384" s="72"/>
      <c r="G384" s="75"/>
      <c r="H384" s="73"/>
      <c r="I384" s="51">
        <f t="shared" si="1"/>
        <v>0</v>
      </c>
      <c r="J384" s="74"/>
      <c r="K384" s="51">
        <f t="shared" si="2"/>
        <v>0</v>
      </c>
      <c r="L384" s="51">
        <f t="shared" si="5"/>
        <v>0</v>
      </c>
      <c r="M384" s="51">
        <f t="shared" si="4"/>
        <v>0</v>
      </c>
      <c r="N384" s="67"/>
    </row>
    <row r="385" ht="15.75" customHeight="1">
      <c r="A385" s="1"/>
      <c r="B385" s="69"/>
      <c r="D385" s="70"/>
      <c r="E385" s="71"/>
      <c r="F385" s="72"/>
      <c r="G385" s="75"/>
      <c r="H385" s="73"/>
      <c r="I385" s="51">
        <f t="shared" si="1"/>
        <v>0</v>
      </c>
      <c r="J385" s="74"/>
      <c r="K385" s="51">
        <f t="shared" si="2"/>
        <v>0</v>
      </c>
      <c r="L385" s="51">
        <f t="shared" si="5"/>
        <v>0</v>
      </c>
      <c r="M385" s="51">
        <f t="shared" si="4"/>
        <v>0</v>
      </c>
      <c r="N385" s="67"/>
    </row>
    <row r="386" ht="15.75" customHeight="1">
      <c r="A386" s="1"/>
      <c r="B386" s="69"/>
      <c r="D386" s="70"/>
      <c r="E386" s="71"/>
      <c r="F386" s="72"/>
      <c r="G386" s="75"/>
      <c r="H386" s="73"/>
      <c r="I386" s="51">
        <f t="shared" si="1"/>
        <v>0</v>
      </c>
      <c r="J386" s="74"/>
      <c r="K386" s="51">
        <f t="shared" si="2"/>
        <v>0</v>
      </c>
      <c r="L386" s="51">
        <f t="shared" si="5"/>
        <v>0</v>
      </c>
      <c r="M386" s="51">
        <f t="shared" si="4"/>
        <v>0</v>
      </c>
      <c r="N386" s="67"/>
    </row>
    <row r="387" ht="15.75" customHeight="1">
      <c r="A387" s="1"/>
      <c r="B387" s="69"/>
      <c r="D387" s="70"/>
      <c r="E387" s="71"/>
      <c r="F387" s="72"/>
      <c r="G387" s="75"/>
      <c r="H387" s="73"/>
      <c r="I387" s="51">
        <f t="shared" si="1"/>
        <v>0</v>
      </c>
      <c r="J387" s="74"/>
      <c r="K387" s="51">
        <f t="shared" si="2"/>
        <v>0</v>
      </c>
      <c r="L387" s="51">
        <f t="shared" si="5"/>
        <v>0</v>
      </c>
      <c r="M387" s="51">
        <f t="shared" si="4"/>
        <v>0</v>
      </c>
      <c r="N387" s="67"/>
    </row>
    <row r="388" ht="15.75" customHeight="1">
      <c r="A388" s="1"/>
      <c r="B388" s="69"/>
      <c r="D388" s="70"/>
      <c r="E388" s="71"/>
      <c r="F388" s="72"/>
      <c r="G388" s="75"/>
      <c r="H388" s="73"/>
      <c r="I388" s="51">
        <f t="shared" si="1"/>
        <v>0</v>
      </c>
      <c r="J388" s="74"/>
      <c r="K388" s="51">
        <f t="shared" si="2"/>
        <v>0</v>
      </c>
      <c r="L388" s="51">
        <f t="shared" si="5"/>
        <v>0</v>
      </c>
      <c r="M388" s="51">
        <f t="shared" si="4"/>
        <v>0</v>
      </c>
      <c r="N388" s="67"/>
    </row>
    <row r="389" ht="15.75" customHeight="1">
      <c r="A389" s="1"/>
      <c r="B389" s="69"/>
      <c r="D389" s="70"/>
      <c r="E389" s="71"/>
      <c r="F389" s="72"/>
      <c r="G389" s="75"/>
      <c r="H389" s="73"/>
      <c r="I389" s="51">
        <f t="shared" si="1"/>
        <v>0</v>
      </c>
      <c r="J389" s="74"/>
      <c r="K389" s="51">
        <f t="shared" si="2"/>
        <v>0</v>
      </c>
      <c r="L389" s="51">
        <f t="shared" si="5"/>
        <v>0</v>
      </c>
      <c r="M389" s="51">
        <f t="shared" si="4"/>
        <v>0</v>
      </c>
      <c r="N389" s="67"/>
    </row>
    <row r="390" ht="15.75" customHeight="1">
      <c r="A390" s="1"/>
      <c r="B390" s="69"/>
      <c r="D390" s="70"/>
      <c r="E390" s="71"/>
      <c r="F390" s="72"/>
      <c r="G390" s="75"/>
      <c r="H390" s="73"/>
      <c r="I390" s="51">
        <f t="shared" si="1"/>
        <v>0</v>
      </c>
      <c r="J390" s="74"/>
      <c r="K390" s="51">
        <f t="shared" si="2"/>
        <v>0</v>
      </c>
      <c r="L390" s="51">
        <f t="shared" si="5"/>
        <v>0</v>
      </c>
      <c r="M390" s="51">
        <f t="shared" si="4"/>
        <v>0</v>
      </c>
      <c r="N390" s="67"/>
    </row>
    <row r="391" ht="15.75" customHeight="1">
      <c r="A391" s="1"/>
      <c r="B391" s="69"/>
      <c r="D391" s="70"/>
      <c r="E391" s="71"/>
      <c r="F391" s="72"/>
      <c r="G391" s="75"/>
      <c r="H391" s="73"/>
      <c r="I391" s="51">
        <f t="shared" si="1"/>
        <v>0</v>
      </c>
      <c r="J391" s="74"/>
      <c r="K391" s="51">
        <f t="shared" si="2"/>
        <v>0</v>
      </c>
      <c r="L391" s="51">
        <f t="shared" si="5"/>
        <v>0</v>
      </c>
      <c r="M391" s="51">
        <f t="shared" si="4"/>
        <v>0</v>
      </c>
      <c r="N391" s="67"/>
    </row>
    <row r="392" ht="15.75" customHeight="1">
      <c r="A392" s="1"/>
      <c r="B392" s="69"/>
      <c r="D392" s="70"/>
      <c r="E392" s="71"/>
      <c r="F392" s="72"/>
      <c r="G392" s="75"/>
      <c r="H392" s="73"/>
      <c r="I392" s="51">
        <f t="shared" si="1"/>
        <v>0</v>
      </c>
      <c r="J392" s="74"/>
      <c r="K392" s="51">
        <f t="shared" si="2"/>
        <v>0</v>
      </c>
      <c r="L392" s="51">
        <f t="shared" si="5"/>
        <v>0</v>
      </c>
      <c r="M392" s="51">
        <f t="shared" si="4"/>
        <v>0</v>
      </c>
      <c r="N392" s="67"/>
    </row>
    <row r="393" ht="15.75" customHeight="1">
      <c r="A393" s="1"/>
      <c r="B393" s="69"/>
      <c r="D393" s="70"/>
      <c r="E393" s="71"/>
      <c r="F393" s="72"/>
      <c r="G393" s="75"/>
      <c r="H393" s="73"/>
      <c r="I393" s="51">
        <f t="shared" si="1"/>
        <v>0</v>
      </c>
      <c r="J393" s="74"/>
      <c r="K393" s="51">
        <f t="shared" si="2"/>
        <v>0</v>
      </c>
      <c r="L393" s="51">
        <f t="shared" si="5"/>
        <v>0</v>
      </c>
      <c r="M393" s="51">
        <f t="shared" si="4"/>
        <v>0</v>
      </c>
      <c r="N393" s="67"/>
    </row>
    <row r="394" ht="15.75" customHeight="1">
      <c r="A394" s="1"/>
      <c r="B394" s="69"/>
      <c r="D394" s="70"/>
      <c r="E394" s="71"/>
      <c r="F394" s="72"/>
      <c r="G394" s="75"/>
      <c r="H394" s="73"/>
      <c r="I394" s="51">
        <f t="shared" si="1"/>
        <v>0</v>
      </c>
      <c r="J394" s="74"/>
      <c r="K394" s="51">
        <f t="shared" si="2"/>
        <v>0</v>
      </c>
      <c r="L394" s="51">
        <f t="shared" si="5"/>
        <v>0</v>
      </c>
      <c r="M394" s="51">
        <f t="shared" si="4"/>
        <v>0</v>
      </c>
      <c r="N394" s="67"/>
    </row>
    <row r="395" ht="15.75" customHeight="1">
      <c r="A395" s="1"/>
      <c r="B395" s="69"/>
      <c r="D395" s="70"/>
      <c r="E395" s="71"/>
      <c r="F395" s="72"/>
      <c r="G395" s="75"/>
      <c r="H395" s="73"/>
      <c r="I395" s="51">
        <f t="shared" si="1"/>
        <v>0</v>
      </c>
      <c r="J395" s="74"/>
      <c r="K395" s="51">
        <f t="shared" si="2"/>
        <v>0</v>
      </c>
      <c r="L395" s="51">
        <f t="shared" si="5"/>
        <v>0</v>
      </c>
      <c r="M395" s="51">
        <f t="shared" si="4"/>
        <v>0</v>
      </c>
      <c r="N395" s="67"/>
    </row>
    <row r="396" ht="15.75" customHeight="1">
      <c r="A396" s="1"/>
      <c r="B396" s="69"/>
      <c r="D396" s="70"/>
      <c r="E396" s="71"/>
      <c r="F396" s="72"/>
      <c r="G396" s="75"/>
      <c r="H396" s="73"/>
      <c r="I396" s="51">
        <f t="shared" si="1"/>
        <v>0</v>
      </c>
      <c r="J396" s="74"/>
      <c r="K396" s="51">
        <f t="shared" si="2"/>
        <v>0</v>
      </c>
      <c r="L396" s="51">
        <f t="shared" si="5"/>
        <v>0</v>
      </c>
      <c r="M396" s="51">
        <f t="shared" si="4"/>
        <v>0</v>
      </c>
      <c r="N396" s="67"/>
    </row>
    <row r="397" ht="15.75" customHeight="1">
      <c r="A397" s="1"/>
      <c r="B397" s="69"/>
      <c r="D397" s="70"/>
      <c r="E397" s="71"/>
      <c r="F397" s="72"/>
      <c r="G397" s="75"/>
      <c r="H397" s="73"/>
      <c r="I397" s="51">
        <f t="shared" si="1"/>
        <v>0</v>
      </c>
      <c r="J397" s="74"/>
      <c r="K397" s="51">
        <f t="shared" si="2"/>
        <v>0</v>
      </c>
      <c r="L397" s="51">
        <f t="shared" si="5"/>
        <v>0</v>
      </c>
      <c r="M397" s="51">
        <f t="shared" si="4"/>
        <v>0</v>
      </c>
      <c r="N397" s="67"/>
    </row>
    <row r="398" ht="15.75" customHeight="1">
      <c r="A398" s="1"/>
      <c r="B398" s="69"/>
      <c r="D398" s="70"/>
      <c r="E398" s="71"/>
      <c r="F398" s="72"/>
      <c r="G398" s="75"/>
      <c r="H398" s="73"/>
      <c r="I398" s="51">
        <f t="shared" si="1"/>
        <v>0</v>
      </c>
      <c r="J398" s="74"/>
      <c r="K398" s="51">
        <f t="shared" si="2"/>
        <v>0</v>
      </c>
      <c r="L398" s="51">
        <f t="shared" si="5"/>
        <v>0</v>
      </c>
      <c r="M398" s="51">
        <f t="shared" si="4"/>
        <v>0</v>
      </c>
      <c r="N398" s="67"/>
    </row>
    <row r="399" ht="15.75" customHeight="1">
      <c r="A399" s="1"/>
      <c r="B399" s="69"/>
      <c r="D399" s="70"/>
      <c r="E399" s="71"/>
      <c r="F399" s="72"/>
      <c r="G399" s="75"/>
      <c r="H399" s="73"/>
      <c r="I399" s="51">
        <f t="shared" si="1"/>
        <v>0</v>
      </c>
      <c r="J399" s="74"/>
      <c r="K399" s="51">
        <f t="shared" si="2"/>
        <v>0</v>
      </c>
      <c r="L399" s="51">
        <f t="shared" si="5"/>
        <v>0</v>
      </c>
      <c r="M399" s="51">
        <f t="shared" si="4"/>
        <v>0</v>
      </c>
      <c r="N399" s="67"/>
    </row>
    <row r="400" ht="15.75" customHeight="1">
      <c r="A400" s="1"/>
      <c r="B400" s="69"/>
      <c r="D400" s="70"/>
      <c r="E400" s="71"/>
      <c r="F400" s="72"/>
      <c r="G400" s="75"/>
      <c r="H400" s="73"/>
      <c r="I400" s="51">
        <f t="shared" si="1"/>
        <v>0</v>
      </c>
      <c r="J400" s="74"/>
      <c r="K400" s="51">
        <f t="shared" si="2"/>
        <v>0</v>
      </c>
      <c r="L400" s="51">
        <f t="shared" si="5"/>
        <v>0</v>
      </c>
      <c r="M400" s="51">
        <f t="shared" si="4"/>
        <v>0</v>
      </c>
      <c r="N400" s="67"/>
    </row>
    <row r="401" ht="15.75" customHeight="1">
      <c r="A401" s="1"/>
      <c r="B401" s="69"/>
      <c r="D401" s="70"/>
      <c r="E401" s="71"/>
      <c r="F401" s="72"/>
      <c r="G401" s="75"/>
      <c r="H401" s="73"/>
      <c r="I401" s="51">
        <f t="shared" si="1"/>
        <v>0</v>
      </c>
      <c r="J401" s="74"/>
      <c r="K401" s="51">
        <f t="shared" si="2"/>
        <v>0</v>
      </c>
      <c r="L401" s="51">
        <f t="shared" si="5"/>
        <v>0</v>
      </c>
      <c r="M401" s="51">
        <f t="shared" si="4"/>
        <v>0</v>
      </c>
      <c r="N401" s="67"/>
    </row>
    <row r="402" ht="15.75" customHeight="1">
      <c r="A402" s="1"/>
      <c r="B402" s="69"/>
      <c r="D402" s="70"/>
      <c r="E402" s="71"/>
      <c r="F402" s="72"/>
      <c r="G402" s="75"/>
      <c r="H402" s="73"/>
      <c r="I402" s="51">
        <f t="shared" si="1"/>
        <v>0</v>
      </c>
      <c r="J402" s="74"/>
      <c r="K402" s="51">
        <f t="shared" si="2"/>
        <v>0</v>
      </c>
      <c r="L402" s="51">
        <f t="shared" si="5"/>
        <v>0</v>
      </c>
      <c r="M402" s="51">
        <f t="shared" si="4"/>
        <v>0</v>
      </c>
      <c r="N402" s="67"/>
    </row>
    <row r="403" ht="15.75" customHeight="1">
      <c r="A403" s="1"/>
      <c r="B403" s="69"/>
      <c r="D403" s="70"/>
      <c r="E403" s="71"/>
      <c r="F403" s="72"/>
      <c r="G403" s="75"/>
      <c r="H403" s="73"/>
      <c r="I403" s="51">
        <f t="shared" si="1"/>
        <v>0</v>
      </c>
      <c r="J403" s="74"/>
      <c r="K403" s="51">
        <f t="shared" si="2"/>
        <v>0</v>
      </c>
      <c r="L403" s="51">
        <f t="shared" si="5"/>
        <v>0</v>
      </c>
      <c r="M403" s="51">
        <f t="shared" si="4"/>
        <v>0</v>
      </c>
      <c r="N403" s="67"/>
    </row>
    <row r="404" ht="15.75" customHeight="1">
      <c r="A404" s="1"/>
      <c r="B404" s="69"/>
      <c r="D404" s="70"/>
      <c r="E404" s="71"/>
      <c r="F404" s="72"/>
      <c r="G404" s="75"/>
      <c r="H404" s="73"/>
      <c r="I404" s="51">
        <f t="shared" si="1"/>
        <v>0</v>
      </c>
      <c r="J404" s="74"/>
      <c r="K404" s="51">
        <f t="shared" si="2"/>
        <v>0</v>
      </c>
      <c r="L404" s="51">
        <f t="shared" si="5"/>
        <v>0</v>
      </c>
      <c r="M404" s="51">
        <f t="shared" si="4"/>
        <v>0</v>
      </c>
      <c r="N404" s="67"/>
    </row>
    <row r="405" ht="15.75" customHeight="1">
      <c r="A405" s="1"/>
      <c r="B405" s="69"/>
      <c r="D405" s="70"/>
      <c r="E405" s="71"/>
      <c r="F405" s="72"/>
      <c r="G405" s="75"/>
      <c r="H405" s="73"/>
      <c r="I405" s="51">
        <f t="shared" si="1"/>
        <v>0</v>
      </c>
      <c r="J405" s="74"/>
      <c r="K405" s="51">
        <f t="shared" si="2"/>
        <v>0</v>
      </c>
      <c r="L405" s="51">
        <f t="shared" si="5"/>
        <v>0</v>
      </c>
      <c r="M405" s="51">
        <f t="shared" si="4"/>
        <v>0</v>
      </c>
      <c r="N405" s="67"/>
    </row>
    <row r="406" ht="15.75" customHeight="1">
      <c r="A406" s="1"/>
      <c r="B406" s="69"/>
      <c r="D406" s="70"/>
      <c r="E406" s="71"/>
      <c r="F406" s="72"/>
      <c r="G406" s="75"/>
      <c r="H406" s="73"/>
      <c r="I406" s="51">
        <f t="shared" si="1"/>
        <v>0</v>
      </c>
      <c r="J406" s="74"/>
      <c r="K406" s="51">
        <f t="shared" si="2"/>
        <v>0</v>
      </c>
      <c r="L406" s="51">
        <f t="shared" si="5"/>
        <v>0</v>
      </c>
      <c r="M406" s="51">
        <f t="shared" si="4"/>
        <v>0</v>
      </c>
      <c r="N406" s="67"/>
    </row>
    <row r="407" ht="15.75" customHeight="1">
      <c r="A407" s="1"/>
      <c r="B407" s="69"/>
      <c r="D407" s="70"/>
      <c r="E407" s="71"/>
      <c r="F407" s="72"/>
      <c r="G407" s="75"/>
      <c r="H407" s="73"/>
      <c r="I407" s="51">
        <f t="shared" si="1"/>
        <v>0</v>
      </c>
      <c r="J407" s="74"/>
      <c r="K407" s="51">
        <f t="shared" si="2"/>
        <v>0</v>
      </c>
      <c r="L407" s="51">
        <f t="shared" si="5"/>
        <v>0</v>
      </c>
      <c r="M407" s="51">
        <f t="shared" si="4"/>
        <v>0</v>
      </c>
      <c r="N407" s="67"/>
    </row>
    <row r="408" ht="15.75" customHeight="1">
      <c r="A408" s="1"/>
      <c r="B408" s="69"/>
      <c r="D408" s="70"/>
      <c r="E408" s="71"/>
      <c r="F408" s="72"/>
      <c r="G408" s="75"/>
      <c r="H408" s="73"/>
      <c r="I408" s="51">
        <f t="shared" si="1"/>
        <v>0</v>
      </c>
      <c r="J408" s="74"/>
      <c r="K408" s="51">
        <f t="shared" si="2"/>
        <v>0</v>
      </c>
      <c r="L408" s="51">
        <f t="shared" si="5"/>
        <v>0</v>
      </c>
      <c r="M408" s="51">
        <f t="shared" si="4"/>
        <v>0</v>
      </c>
      <c r="N408" s="67"/>
    </row>
    <row r="409" ht="15.75" customHeight="1">
      <c r="A409" s="1"/>
      <c r="B409" s="69"/>
      <c r="D409" s="70"/>
      <c r="E409" s="71"/>
      <c r="F409" s="72"/>
      <c r="G409" s="75"/>
      <c r="H409" s="73"/>
      <c r="I409" s="51">
        <f t="shared" si="1"/>
        <v>0</v>
      </c>
      <c r="J409" s="74"/>
      <c r="K409" s="51">
        <f t="shared" si="2"/>
        <v>0</v>
      </c>
      <c r="L409" s="51">
        <f t="shared" si="5"/>
        <v>0</v>
      </c>
      <c r="M409" s="51">
        <f t="shared" si="4"/>
        <v>0</v>
      </c>
      <c r="N409" s="67"/>
    </row>
    <row r="410" ht="15.75" customHeight="1">
      <c r="A410" s="1"/>
      <c r="B410" s="69"/>
      <c r="D410" s="70"/>
      <c r="E410" s="71"/>
      <c r="F410" s="72"/>
      <c r="G410" s="75"/>
      <c r="H410" s="73"/>
      <c r="I410" s="51">
        <f t="shared" si="1"/>
        <v>0</v>
      </c>
      <c r="J410" s="74"/>
      <c r="K410" s="51">
        <f t="shared" si="2"/>
        <v>0</v>
      </c>
      <c r="L410" s="51">
        <f t="shared" si="5"/>
        <v>0</v>
      </c>
      <c r="M410" s="51">
        <f t="shared" si="4"/>
        <v>0</v>
      </c>
      <c r="N410" s="67"/>
    </row>
    <row r="411" ht="15.75" customHeight="1">
      <c r="A411" s="1"/>
      <c r="B411" s="69"/>
      <c r="D411" s="70"/>
      <c r="E411" s="71"/>
      <c r="F411" s="72"/>
      <c r="G411" s="75"/>
      <c r="H411" s="73"/>
      <c r="I411" s="51">
        <f t="shared" si="1"/>
        <v>0</v>
      </c>
      <c r="J411" s="74"/>
      <c r="K411" s="51">
        <f t="shared" si="2"/>
        <v>0</v>
      </c>
      <c r="L411" s="51">
        <f t="shared" si="5"/>
        <v>0</v>
      </c>
      <c r="M411" s="51">
        <f t="shared" si="4"/>
        <v>0</v>
      </c>
      <c r="N411" s="67"/>
    </row>
    <row r="412" ht="15.75" customHeight="1">
      <c r="A412" s="1"/>
      <c r="B412" s="69"/>
      <c r="D412" s="70"/>
      <c r="E412" s="71"/>
      <c r="F412" s="72"/>
      <c r="G412" s="75"/>
      <c r="H412" s="73"/>
      <c r="I412" s="51">
        <f t="shared" si="1"/>
        <v>0</v>
      </c>
      <c r="J412" s="74"/>
      <c r="K412" s="51">
        <f t="shared" si="2"/>
        <v>0</v>
      </c>
      <c r="L412" s="51">
        <f t="shared" si="5"/>
        <v>0</v>
      </c>
      <c r="M412" s="51">
        <f t="shared" si="4"/>
        <v>0</v>
      </c>
      <c r="N412" s="67"/>
    </row>
    <row r="413" ht="15.75" customHeight="1">
      <c r="A413" s="1"/>
      <c r="B413" s="69"/>
      <c r="D413" s="70"/>
      <c r="E413" s="71"/>
      <c r="F413" s="72"/>
      <c r="G413" s="75"/>
      <c r="H413" s="73"/>
      <c r="I413" s="51">
        <f t="shared" si="1"/>
        <v>0</v>
      </c>
      <c r="J413" s="74"/>
      <c r="K413" s="51">
        <f t="shared" si="2"/>
        <v>0</v>
      </c>
      <c r="L413" s="51">
        <f t="shared" si="5"/>
        <v>0</v>
      </c>
      <c r="M413" s="51">
        <f t="shared" si="4"/>
        <v>0</v>
      </c>
      <c r="N413" s="67"/>
    </row>
    <row r="414" ht="15.75" customHeight="1">
      <c r="A414" s="1"/>
      <c r="B414" s="69"/>
      <c r="D414" s="70"/>
      <c r="E414" s="71"/>
      <c r="F414" s="72"/>
      <c r="G414" s="75"/>
      <c r="H414" s="73"/>
      <c r="I414" s="51">
        <f t="shared" si="1"/>
        <v>0</v>
      </c>
      <c r="J414" s="74"/>
      <c r="K414" s="51">
        <f t="shared" si="2"/>
        <v>0</v>
      </c>
      <c r="L414" s="51">
        <f t="shared" si="5"/>
        <v>0</v>
      </c>
      <c r="M414" s="51">
        <f t="shared" si="4"/>
        <v>0</v>
      </c>
      <c r="N414" s="67"/>
    </row>
    <row r="415" ht="15.75" customHeight="1">
      <c r="A415" s="1"/>
      <c r="B415" s="69"/>
      <c r="D415" s="70"/>
      <c r="E415" s="71"/>
      <c r="F415" s="72"/>
      <c r="G415" s="75"/>
      <c r="H415" s="73"/>
      <c r="I415" s="51">
        <f t="shared" si="1"/>
        <v>0</v>
      </c>
      <c r="J415" s="74"/>
      <c r="K415" s="51">
        <f t="shared" si="2"/>
        <v>0</v>
      </c>
      <c r="L415" s="51">
        <f t="shared" si="5"/>
        <v>0</v>
      </c>
      <c r="M415" s="51">
        <f t="shared" si="4"/>
        <v>0</v>
      </c>
      <c r="N415" s="67"/>
    </row>
    <row r="416" ht="15.75" customHeight="1">
      <c r="A416" s="1"/>
      <c r="B416" s="69"/>
      <c r="D416" s="70"/>
      <c r="E416" s="71"/>
      <c r="F416" s="72"/>
      <c r="G416" s="75"/>
      <c r="H416" s="73"/>
      <c r="I416" s="51">
        <f t="shared" si="1"/>
        <v>0</v>
      </c>
      <c r="J416" s="74"/>
      <c r="K416" s="51">
        <f t="shared" si="2"/>
        <v>0</v>
      </c>
      <c r="L416" s="51">
        <f t="shared" si="5"/>
        <v>0</v>
      </c>
      <c r="M416" s="51">
        <f t="shared" si="4"/>
        <v>0</v>
      </c>
      <c r="N416" s="67"/>
    </row>
    <row r="417" ht="15.75" customHeight="1">
      <c r="A417" s="1"/>
      <c r="B417" s="69"/>
      <c r="D417" s="70"/>
      <c r="E417" s="71"/>
      <c r="F417" s="72"/>
      <c r="G417" s="75"/>
      <c r="H417" s="73"/>
      <c r="I417" s="51">
        <f t="shared" si="1"/>
        <v>0</v>
      </c>
      <c r="J417" s="74"/>
      <c r="K417" s="51">
        <f t="shared" si="2"/>
        <v>0</v>
      </c>
      <c r="L417" s="51">
        <f t="shared" si="5"/>
        <v>0</v>
      </c>
      <c r="M417" s="51">
        <f t="shared" si="4"/>
        <v>0</v>
      </c>
      <c r="N417" s="67"/>
    </row>
    <row r="418" ht="15.75" customHeight="1">
      <c r="A418" s="1"/>
      <c r="B418" s="69"/>
      <c r="D418" s="70"/>
      <c r="E418" s="71"/>
      <c r="F418" s="72"/>
      <c r="G418" s="75"/>
      <c r="H418" s="73"/>
      <c r="I418" s="51">
        <f t="shared" si="1"/>
        <v>0</v>
      </c>
      <c r="J418" s="74"/>
      <c r="K418" s="51">
        <f t="shared" si="2"/>
        <v>0</v>
      </c>
      <c r="L418" s="51">
        <f t="shared" si="5"/>
        <v>0</v>
      </c>
      <c r="M418" s="51">
        <f t="shared" si="4"/>
        <v>0</v>
      </c>
      <c r="N418" s="67"/>
    </row>
    <row r="419" ht="15.75" customHeight="1">
      <c r="A419" s="1"/>
      <c r="B419" s="69"/>
      <c r="D419" s="70"/>
      <c r="E419" s="71"/>
      <c r="F419" s="72"/>
      <c r="G419" s="75"/>
      <c r="H419" s="73"/>
      <c r="I419" s="51">
        <f t="shared" si="1"/>
        <v>0</v>
      </c>
      <c r="J419" s="74"/>
      <c r="K419" s="51">
        <f t="shared" si="2"/>
        <v>0</v>
      </c>
      <c r="L419" s="51">
        <f t="shared" si="5"/>
        <v>0</v>
      </c>
      <c r="M419" s="51">
        <f t="shared" si="4"/>
        <v>0</v>
      </c>
      <c r="N419" s="67"/>
    </row>
    <row r="420" ht="15.75" customHeight="1">
      <c r="A420" s="1"/>
      <c r="B420" s="69"/>
      <c r="D420" s="70"/>
      <c r="E420" s="71"/>
      <c r="F420" s="72"/>
      <c r="G420" s="75"/>
      <c r="H420" s="73"/>
      <c r="I420" s="51">
        <f t="shared" si="1"/>
        <v>0</v>
      </c>
      <c r="J420" s="74"/>
      <c r="K420" s="51">
        <f t="shared" si="2"/>
        <v>0</v>
      </c>
      <c r="L420" s="51">
        <f t="shared" si="5"/>
        <v>0</v>
      </c>
      <c r="M420" s="51">
        <f t="shared" si="4"/>
        <v>0</v>
      </c>
      <c r="N420" s="67"/>
    </row>
    <row r="421" ht="15.75" customHeight="1">
      <c r="A421" s="1"/>
      <c r="B421" s="69"/>
      <c r="D421" s="70"/>
      <c r="E421" s="71"/>
      <c r="F421" s="72"/>
      <c r="G421" s="75"/>
      <c r="H421" s="73"/>
      <c r="I421" s="51">
        <f t="shared" si="1"/>
        <v>0</v>
      </c>
      <c r="J421" s="74"/>
      <c r="K421" s="51">
        <f t="shared" si="2"/>
        <v>0</v>
      </c>
      <c r="L421" s="51">
        <f t="shared" si="5"/>
        <v>0</v>
      </c>
      <c r="M421" s="51">
        <f t="shared" si="4"/>
        <v>0</v>
      </c>
      <c r="N421" s="67"/>
    </row>
    <row r="422" ht="15.75" customHeight="1">
      <c r="A422" s="1"/>
      <c r="B422" s="69"/>
      <c r="D422" s="70"/>
      <c r="E422" s="71"/>
      <c r="F422" s="72"/>
      <c r="G422" s="75"/>
      <c r="H422" s="73"/>
      <c r="I422" s="51">
        <f t="shared" si="1"/>
        <v>0</v>
      </c>
      <c r="J422" s="74"/>
      <c r="K422" s="51">
        <f t="shared" si="2"/>
        <v>0</v>
      </c>
      <c r="L422" s="51">
        <f t="shared" si="5"/>
        <v>0</v>
      </c>
      <c r="M422" s="51">
        <f t="shared" si="4"/>
        <v>0</v>
      </c>
      <c r="N422" s="67"/>
    </row>
    <row r="423" ht="15.75" customHeight="1">
      <c r="A423" s="1"/>
      <c r="B423" s="69"/>
      <c r="D423" s="70"/>
      <c r="E423" s="71"/>
      <c r="F423" s="72"/>
      <c r="G423" s="75"/>
      <c r="H423" s="73"/>
      <c r="I423" s="51">
        <f t="shared" si="1"/>
        <v>0</v>
      </c>
      <c r="J423" s="74"/>
      <c r="K423" s="51">
        <f t="shared" si="2"/>
        <v>0</v>
      </c>
      <c r="L423" s="51">
        <f t="shared" si="5"/>
        <v>0</v>
      </c>
      <c r="M423" s="51">
        <f t="shared" si="4"/>
        <v>0</v>
      </c>
      <c r="N423" s="67"/>
    </row>
    <row r="424" ht="15.75" customHeight="1">
      <c r="A424" s="1"/>
      <c r="B424" s="69"/>
      <c r="D424" s="70"/>
      <c r="E424" s="71"/>
      <c r="F424" s="72"/>
      <c r="G424" s="75"/>
      <c r="H424" s="73"/>
      <c r="I424" s="51">
        <f t="shared" si="1"/>
        <v>0</v>
      </c>
      <c r="J424" s="74"/>
      <c r="K424" s="51">
        <f t="shared" si="2"/>
        <v>0</v>
      </c>
      <c r="L424" s="51">
        <f t="shared" si="5"/>
        <v>0</v>
      </c>
      <c r="M424" s="51">
        <f t="shared" si="4"/>
        <v>0</v>
      </c>
      <c r="N424" s="67"/>
    </row>
    <row r="425" ht="15.75" customHeight="1">
      <c r="A425" s="1"/>
      <c r="B425" s="69"/>
      <c r="D425" s="70"/>
      <c r="E425" s="71"/>
      <c r="F425" s="72"/>
      <c r="G425" s="75"/>
      <c r="H425" s="73"/>
      <c r="I425" s="51">
        <f t="shared" si="1"/>
        <v>0</v>
      </c>
      <c r="J425" s="74"/>
      <c r="K425" s="51">
        <f t="shared" si="2"/>
        <v>0</v>
      </c>
      <c r="L425" s="51">
        <f t="shared" si="5"/>
        <v>0</v>
      </c>
      <c r="M425" s="51">
        <f t="shared" si="4"/>
        <v>0</v>
      </c>
      <c r="N425" s="67"/>
    </row>
    <row r="426" ht="15.75" customHeight="1">
      <c r="A426" s="1"/>
      <c r="B426" s="69"/>
      <c r="D426" s="70"/>
      <c r="E426" s="71"/>
      <c r="F426" s="72"/>
      <c r="G426" s="75"/>
      <c r="H426" s="73"/>
      <c r="I426" s="51">
        <f t="shared" si="1"/>
        <v>0</v>
      </c>
      <c r="J426" s="74"/>
      <c r="K426" s="51">
        <f t="shared" si="2"/>
        <v>0</v>
      </c>
      <c r="L426" s="51">
        <f t="shared" si="5"/>
        <v>0</v>
      </c>
      <c r="M426" s="51">
        <f t="shared" si="4"/>
        <v>0</v>
      </c>
      <c r="N426" s="67"/>
    </row>
    <row r="427" ht="15.75" customHeight="1">
      <c r="A427" s="1"/>
      <c r="B427" s="69"/>
      <c r="D427" s="70"/>
      <c r="E427" s="71"/>
      <c r="F427" s="72"/>
      <c r="G427" s="75"/>
      <c r="H427" s="73"/>
      <c r="I427" s="51">
        <f t="shared" si="1"/>
        <v>0</v>
      </c>
      <c r="J427" s="74"/>
      <c r="K427" s="51">
        <f t="shared" si="2"/>
        <v>0</v>
      </c>
      <c r="L427" s="51">
        <f t="shared" si="5"/>
        <v>0</v>
      </c>
      <c r="M427" s="51">
        <f t="shared" si="4"/>
        <v>0</v>
      </c>
      <c r="N427" s="67"/>
    </row>
    <row r="428" ht="15.75" customHeight="1">
      <c r="A428" s="1"/>
      <c r="B428" s="69"/>
      <c r="D428" s="70"/>
      <c r="E428" s="71"/>
      <c r="F428" s="72"/>
      <c r="G428" s="75"/>
      <c r="H428" s="73"/>
      <c r="I428" s="51">
        <f t="shared" si="1"/>
        <v>0</v>
      </c>
      <c r="J428" s="74"/>
      <c r="K428" s="51">
        <f t="shared" si="2"/>
        <v>0</v>
      </c>
      <c r="L428" s="51">
        <f t="shared" si="5"/>
        <v>0</v>
      </c>
      <c r="M428" s="51">
        <f t="shared" si="4"/>
        <v>0</v>
      </c>
      <c r="N428" s="67"/>
    </row>
    <row r="429" ht="15.75" customHeight="1">
      <c r="A429" s="1"/>
      <c r="B429" s="69"/>
      <c r="D429" s="70"/>
      <c r="E429" s="71"/>
      <c r="F429" s="72"/>
      <c r="G429" s="75"/>
      <c r="H429" s="73"/>
      <c r="I429" s="51">
        <f t="shared" si="1"/>
        <v>0</v>
      </c>
      <c r="J429" s="74"/>
      <c r="K429" s="51">
        <f t="shared" si="2"/>
        <v>0</v>
      </c>
      <c r="L429" s="51">
        <f t="shared" si="5"/>
        <v>0</v>
      </c>
      <c r="M429" s="51">
        <f t="shared" si="4"/>
        <v>0</v>
      </c>
      <c r="N429" s="67"/>
    </row>
    <row r="430" ht="15.75" customHeight="1">
      <c r="A430" s="1"/>
      <c r="B430" s="69"/>
      <c r="D430" s="70"/>
      <c r="E430" s="71"/>
      <c r="F430" s="72"/>
      <c r="G430" s="75"/>
      <c r="H430" s="73"/>
      <c r="I430" s="51">
        <f t="shared" si="1"/>
        <v>0</v>
      </c>
      <c r="J430" s="74"/>
      <c r="K430" s="51">
        <f t="shared" si="2"/>
        <v>0</v>
      </c>
      <c r="L430" s="51">
        <f t="shared" si="5"/>
        <v>0</v>
      </c>
      <c r="M430" s="51">
        <f t="shared" si="4"/>
        <v>0</v>
      </c>
      <c r="N430" s="67"/>
    </row>
    <row r="431" ht="15.75" customHeight="1">
      <c r="A431" s="1"/>
      <c r="B431" s="69"/>
      <c r="D431" s="70"/>
      <c r="E431" s="71"/>
      <c r="F431" s="72"/>
      <c r="G431" s="75"/>
      <c r="H431" s="73"/>
      <c r="I431" s="51">
        <f t="shared" si="1"/>
        <v>0</v>
      </c>
      <c r="J431" s="74"/>
      <c r="K431" s="51">
        <f t="shared" si="2"/>
        <v>0</v>
      </c>
      <c r="L431" s="51">
        <f t="shared" si="5"/>
        <v>0</v>
      </c>
      <c r="M431" s="51">
        <f t="shared" si="4"/>
        <v>0</v>
      </c>
      <c r="N431" s="67"/>
    </row>
    <row r="432" ht="15.75" customHeight="1">
      <c r="A432" s="1"/>
      <c r="B432" s="69"/>
      <c r="D432" s="70"/>
      <c r="E432" s="71"/>
      <c r="F432" s="72"/>
      <c r="G432" s="75"/>
      <c r="H432" s="73"/>
      <c r="I432" s="51">
        <f t="shared" si="1"/>
        <v>0</v>
      </c>
      <c r="J432" s="74"/>
      <c r="K432" s="51">
        <f t="shared" si="2"/>
        <v>0</v>
      </c>
      <c r="L432" s="51">
        <f t="shared" si="5"/>
        <v>0</v>
      </c>
      <c r="M432" s="51">
        <f t="shared" si="4"/>
        <v>0</v>
      </c>
      <c r="N432" s="67"/>
    </row>
    <row r="433" ht="15.75" customHeight="1">
      <c r="A433" s="1"/>
      <c r="B433" s="69"/>
      <c r="D433" s="70"/>
      <c r="E433" s="71"/>
      <c r="F433" s="72"/>
      <c r="G433" s="75"/>
      <c r="H433" s="73"/>
      <c r="I433" s="51">
        <f t="shared" si="1"/>
        <v>0</v>
      </c>
      <c r="J433" s="74"/>
      <c r="K433" s="51">
        <f t="shared" si="2"/>
        <v>0</v>
      </c>
      <c r="L433" s="51">
        <f t="shared" si="5"/>
        <v>0</v>
      </c>
      <c r="M433" s="51">
        <f t="shared" si="4"/>
        <v>0</v>
      </c>
      <c r="N433" s="67"/>
    </row>
    <row r="434" ht="15.75" customHeight="1">
      <c r="A434" s="1"/>
      <c r="B434" s="69"/>
      <c r="D434" s="70"/>
      <c r="E434" s="71"/>
      <c r="F434" s="72"/>
      <c r="G434" s="75"/>
      <c r="H434" s="73"/>
      <c r="I434" s="51">
        <f t="shared" si="1"/>
        <v>0</v>
      </c>
      <c r="J434" s="74"/>
      <c r="K434" s="51">
        <f t="shared" si="2"/>
        <v>0</v>
      </c>
      <c r="L434" s="51">
        <f t="shared" si="5"/>
        <v>0</v>
      </c>
      <c r="M434" s="51">
        <f t="shared" si="4"/>
        <v>0</v>
      </c>
      <c r="N434" s="67"/>
    </row>
    <row r="435" ht="15.75" customHeight="1">
      <c r="A435" s="1"/>
      <c r="B435" s="69"/>
      <c r="D435" s="70"/>
      <c r="E435" s="71"/>
      <c r="F435" s="72"/>
      <c r="G435" s="75"/>
      <c r="H435" s="73"/>
      <c r="I435" s="51">
        <f t="shared" si="1"/>
        <v>0</v>
      </c>
      <c r="J435" s="74"/>
      <c r="K435" s="51">
        <f t="shared" si="2"/>
        <v>0</v>
      </c>
      <c r="L435" s="51">
        <f t="shared" si="5"/>
        <v>0</v>
      </c>
      <c r="M435" s="51">
        <f t="shared" si="4"/>
        <v>0</v>
      </c>
      <c r="N435" s="67"/>
    </row>
    <row r="436" ht="15.75" customHeight="1">
      <c r="A436" s="1"/>
      <c r="B436" s="69"/>
      <c r="D436" s="70"/>
      <c r="E436" s="71"/>
      <c r="F436" s="72"/>
      <c r="G436" s="75"/>
      <c r="H436" s="73"/>
      <c r="I436" s="51">
        <f t="shared" si="1"/>
        <v>0</v>
      </c>
      <c r="J436" s="74"/>
      <c r="K436" s="51">
        <f t="shared" si="2"/>
        <v>0</v>
      </c>
      <c r="L436" s="51">
        <f t="shared" si="5"/>
        <v>0</v>
      </c>
      <c r="M436" s="51">
        <f t="shared" si="4"/>
        <v>0</v>
      </c>
      <c r="N436" s="67"/>
    </row>
    <row r="437" ht="15.75" customHeight="1">
      <c r="A437" s="1"/>
      <c r="B437" s="69"/>
      <c r="D437" s="70"/>
      <c r="E437" s="71"/>
      <c r="F437" s="72"/>
      <c r="G437" s="75"/>
      <c r="H437" s="73"/>
      <c r="I437" s="51">
        <f t="shared" si="1"/>
        <v>0</v>
      </c>
      <c r="J437" s="74"/>
      <c r="K437" s="51">
        <f t="shared" si="2"/>
        <v>0</v>
      </c>
      <c r="L437" s="51">
        <f t="shared" si="5"/>
        <v>0</v>
      </c>
      <c r="M437" s="51">
        <f t="shared" si="4"/>
        <v>0</v>
      </c>
      <c r="N437" s="67"/>
    </row>
    <row r="438" ht="15.75" customHeight="1">
      <c r="A438" s="1"/>
      <c r="B438" s="69"/>
      <c r="D438" s="70"/>
      <c r="E438" s="71"/>
      <c r="F438" s="72"/>
      <c r="G438" s="75"/>
      <c r="H438" s="73"/>
      <c r="I438" s="51">
        <f t="shared" si="1"/>
        <v>0</v>
      </c>
      <c r="J438" s="74"/>
      <c r="K438" s="51">
        <f t="shared" si="2"/>
        <v>0</v>
      </c>
      <c r="L438" s="51">
        <f t="shared" si="5"/>
        <v>0</v>
      </c>
      <c r="M438" s="51">
        <f t="shared" si="4"/>
        <v>0</v>
      </c>
      <c r="N438" s="67"/>
    </row>
    <row r="439" ht="15.75" customHeight="1">
      <c r="A439" s="1"/>
      <c r="B439" s="69"/>
      <c r="D439" s="70"/>
      <c r="E439" s="71"/>
      <c r="F439" s="72"/>
      <c r="G439" s="75"/>
      <c r="H439" s="73"/>
      <c r="I439" s="51">
        <f t="shared" si="1"/>
        <v>0</v>
      </c>
      <c r="J439" s="74"/>
      <c r="K439" s="51">
        <f t="shared" si="2"/>
        <v>0</v>
      </c>
      <c r="L439" s="51">
        <f t="shared" si="5"/>
        <v>0</v>
      </c>
      <c r="M439" s="51">
        <f t="shared" si="4"/>
        <v>0</v>
      </c>
      <c r="N439" s="67"/>
    </row>
    <row r="440" ht="15.75" customHeight="1">
      <c r="A440" s="1"/>
      <c r="B440" s="69"/>
      <c r="D440" s="70"/>
      <c r="E440" s="71"/>
      <c r="F440" s="72"/>
      <c r="G440" s="75"/>
      <c r="H440" s="73"/>
      <c r="I440" s="51">
        <f t="shared" si="1"/>
        <v>0</v>
      </c>
      <c r="J440" s="74"/>
      <c r="K440" s="51">
        <f t="shared" si="2"/>
        <v>0</v>
      </c>
      <c r="L440" s="51">
        <f t="shared" si="5"/>
        <v>0</v>
      </c>
      <c r="M440" s="51">
        <f t="shared" si="4"/>
        <v>0</v>
      </c>
      <c r="N440" s="67"/>
    </row>
    <row r="441" ht="15.75" customHeight="1">
      <c r="A441" s="1"/>
      <c r="B441" s="69"/>
      <c r="D441" s="70"/>
      <c r="E441" s="71"/>
      <c r="F441" s="72"/>
      <c r="G441" s="75"/>
      <c r="H441" s="73"/>
      <c r="I441" s="51">
        <f t="shared" si="1"/>
        <v>0</v>
      </c>
      <c r="J441" s="74"/>
      <c r="K441" s="51">
        <f t="shared" si="2"/>
        <v>0</v>
      </c>
      <c r="L441" s="51">
        <f t="shared" si="5"/>
        <v>0</v>
      </c>
      <c r="M441" s="51">
        <f t="shared" si="4"/>
        <v>0</v>
      </c>
      <c r="N441" s="67"/>
    </row>
    <row r="442" ht="15.75" customHeight="1">
      <c r="A442" s="1"/>
      <c r="B442" s="69"/>
      <c r="D442" s="70"/>
      <c r="E442" s="71"/>
      <c r="F442" s="72"/>
      <c r="G442" s="75"/>
      <c r="H442" s="73"/>
      <c r="I442" s="51">
        <f t="shared" si="1"/>
        <v>0</v>
      </c>
      <c r="J442" s="74"/>
      <c r="K442" s="51">
        <f t="shared" si="2"/>
        <v>0</v>
      </c>
      <c r="L442" s="51">
        <f t="shared" si="5"/>
        <v>0</v>
      </c>
      <c r="M442" s="51">
        <f t="shared" si="4"/>
        <v>0</v>
      </c>
      <c r="N442" s="67"/>
    </row>
    <row r="443" ht="15.75" customHeight="1">
      <c r="A443" s="1"/>
      <c r="B443" s="69"/>
      <c r="D443" s="70"/>
      <c r="E443" s="71"/>
      <c r="F443" s="72"/>
      <c r="G443" s="75"/>
      <c r="H443" s="73"/>
      <c r="I443" s="51">
        <f t="shared" si="1"/>
        <v>0</v>
      </c>
      <c r="J443" s="74"/>
      <c r="K443" s="51">
        <f t="shared" si="2"/>
        <v>0</v>
      </c>
      <c r="L443" s="51">
        <f t="shared" si="5"/>
        <v>0</v>
      </c>
      <c r="M443" s="51">
        <f t="shared" si="4"/>
        <v>0</v>
      </c>
      <c r="N443" s="67"/>
    </row>
    <row r="444" ht="15.75" customHeight="1">
      <c r="A444" s="1"/>
      <c r="B444" s="69"/>
      <c r="D444" s="70"/>
      <c r="E444" s="71"/>
      <c r="F444" s="72"/>
      <c r="G444" s="75"/>
      <c r="H444" s="73"/>
      <c r="I444" s="51">
        <f t="shared" si="1"/>
        <v>0</v>
      </c>
      <c r="J444" s="74"/>
      <c r="K444" s="51">
        <f t="shared" si="2"/>
        <v>0</v>
      </c>
      <c r="L444" s="51">
        <f t="shared" si="5"/>
        <v>0</v>
      </c>
      <c r="M444" s="51">
        <f t="shared" si="4"/>
        <v>0</v>
      </c>
      <c r="N444" s="67"/>
    </row>
    <row r="445" ht="15.75" customHeight="1">
      <c r="A445" s="1"/>
      <c r="B445" s="69"/>
      <c r="D445" s="70"/>
      <c r="E445" s="71"/>
      <c r="F445" s="72"/>
      <c r="G445" s="75"/>
      <c r="H445" s="73"/>
      <c r="I445" s="51">
        <f t="shared" si="1"/>
        <v>0</v>
      </c>
      <c r="J445" s="74"/>
      <c r="K445" s="51">
        <f t="shared" si="2"/>
        <v>0</v>
      </c>
      <c r="L445" s="51">
        <f t="shared" si="5"/>
        <v>0</v>
      </c>
      <c r="M445" s="51">
        <f t="shared" si="4"/>
        <v>0</v>
      </c>
      <c r="N445" s="67"/>
    </row>
    <row r="446" ht="15.75" customHeight="1">
      <c r="A446" s="1"/>
      <c r="B446" s="69"/>
      <c r="D446" s="70"/>
      <c r="E446" s="71"/>
      <c r="F446" s="72"/>
      <c r="G446" s="75"/>
      <c r="H446" s="73"/>
      <c r="I446" s="51">
        <f t="shared" si="1"/>
        <v>0</v>
      </c>
      <c r="J446" s="74"/>
      <c r="K446" s="51">
        <f t="shared" si="2"/>
        <v>0</v>
      </c>
      <c r="L446" s="51">
        <f t="shared" si="5"/>
        <v>0</v>
      </c>
      <c r="M446" s="51">
        <f t="shared" si="4"/>
        <v>0</v>
      </c>
      <c r="N446" s="67"/>
    </row>
    <row r="447" ht="15.75" customHeight="1">
      <c r="A447" s="1"/>
      <c r="B447" s="69"/>
      <c r="D447" s="70"/>
      <c r="E447" s="71"/>
      <c r="F447" s="72"/>
      <c r="G447" s="75"/>
      <c r="H447" s="73"/>
      <c r="I447" s="51">
        <f t="shared" si="1"/>
        <v>0</v>
      </c>
      <c r="J447" s="74"/>
      <c r="K447" s="51">
        <f t="shared" si="2"/>
        <v>0</v>
      </c>
      <c r="L447" s="51">
        <f t="shared" si="5"/>
        <v>0</v>
      </c>
      <c r="M447" s="51">
        <f t="shared" si="4"/>
        <v>0</v>
      </c>
      <c r="N447" s="67"/>
    </row>
    <row r="448" ht="15.75" customHeight="1">
      <c r="A448" s="1"/>
      <c r="B448" s="69"/>
      <c r="D448" s="70"/>
      <c r="E448" s="71"/>
      <c r="F448" s="72"/>
      <c r="G448" s="75"/>
      <c r="H448" s="73"/>
      <c r="I448" s="51">
        <f t="shared" si="1"/>
        <v>0</v>
      </c>
      <c r="J448" s="74"/>
      <c r="K448" s="51">
        <f t="shared" si="2"/>
        <v>0</v>
      </c>
      <c r="L448" s="51">
        <f t="shared" si="5"/>
        <v>0</v>
      </c>
      <c r="M448" s="51">
        <f t="shared" si="4"/>
        <v>0</v>
      </c>
      <c r="N448" s="67"/>
    </row>
    <row r="449" ht="15.75" customHeight="1">
      <c r="A449" s="1"/>
      <c r="B449" s="69"/>
      <c r="D449" s="70"/>
      <c r="E449" s="71"/>
      <c r="F449" s="72"/>
      <c r="G449" s="75"/>
      <c r="H449" s="73"/>
      <c r="I449" s="51">
        <f t="shared" si="1"/>
        <v>0</v>
      </c>
      <c r="J449" s="74"/>
      <c r="K449" s="51">
        <f t="shared" si="2"/>
        <v>0</v>
      </c>
      <c r="L449" s="51">
        <f t="shared" si="5"/>
        <v>0</v>
      </c>
      <c r="M449" s="51">
        <f t="shared" si="4"/>
        <v>0</v>
      </c>
      <c r="N449" s="67"/>
    </row>
    <row r="450" ht="15.75" customHeight="1">
      <c r="A450" s="1"/>
      <c r="B450" s="69"/>
      <c r="D450" s="70"/>
      <c r="E450" s="71"/>
      <c r="F450" s="72"/>
      <c r="G450" s="75"/>
      <c r="H450" s="73"/>
      <c r="I450" s="51">
        <f t="shared" si="1"/>
        <v>0</v>
      </c>
      <c r="J450" s="74"/>
      <c r="K450" s="51">
        <f t="shared" si="2"/>
        <v>0</v>
      </c>
      <c r="L450" s="51">
        <f t="shared" si="5"/>
        <v>0</v>
      </c>
      <c r="M450" s="51">
        <f t="shared" si="4"/>
        <v>0</v>
      </c>
      <c r="N450" s="67"/>
    </row>
    <row r="451" ht="15.75" customHeight="1">
      <c r="A451" s="1"/>
      <c r="B451" s="69"/>
      <c r="D451" s="70"/>
      <c r="E451" s="71"/>
      <c r="F451" s="72"/>
      <c r="G451" s="75"/>
      <c r="H451" s="73"/>
      <c r="I451" s="51">
        <f t="shared" si="1"/>
        <v>0</v>
      </c>
      <c r="J451" s="74"/>
      <c r="K451" s="51">
        <f t="shared" si="2"/>
        <v>0</v>
      </c>
      <c r="L451" s="51">
        <f t="shared" si="5"/>
        <v>0</v>
      </c>
      <c r="M451" s="51">
        <f t="shared" si="4"/>
        <v>0</v>
      </c>
      <c r="N451" s="67"/>
    </row>
    <row r="452" ht="15.75" customHeight="1">
      <c r="A452" s="1"/>
      <c r="B452" s="69"/>
      <c r="D452" s="70"/>
      <c r="E452" s="71"/>
      <c r="F452" s="72"/>
      <c r="G452" s="75"/>
      <c r="H452" s="73"/>
      <c r="I452" s="51">
        <f t="shared" si="1"/>
        <v>0</v>
      </c>
      <c r="J452" s="74"/>
      <c r="K452" s="51">
        <f t="shared" si="2"/>
        <v>0</v>
      </c>
      <c r="L452" s="51">
        <f t="shared" si="5"/>
        <v>0</v>
      </c>
      <c r="M452" s="51">
        <f t="shared" si="4"/>
        <v>0</v>
      </c>
      <c r="N452" s="67"/>
    </row>
    <row r="453" ht="15.75" customHeight="1">
      <c r="A453" s="1"/>
      <c r="B453" s="69"/>
      <c r="D453" s="70"/>
      <c r="E453" s="71"/>
      <c r="F453" s="72"/>
      <c r="G453" s="75"/>
      <c r="H453" s="73"/>
      <c r="I453" s="51">
        <f t="shared" si="1"/>
        <v>0</v>
      </c>
      <c r="J453" s="74"/>
      <c r="K453" s="51">
        <f t="shared" si="2"/>
        <v>0</v>
      </c>
      <c r="L453" s="51">
        <f t="shared" si="5"/>
        <v>0</v>
      </c>
      <c r="M453" s="51">
        <f t="shared" si="4"/>
        <v>0</v>
      </c>
      <c r="N453" s="67"/>
    </row>
    <row r="454" ht="15.75" customHeight="1">
      <c r="A454" s="1"/>
      <c r="B454" s="69"/>
      <c r="D454" s="70"/>
      <c r="E454" s="71"/>
      <c r="F454" s="72"/>
      <c r="G454" s="75"/>
      <c r="H454" s="73"/>
      <c r="I454" s="51">
        <f t="shared" si="1"/>
        <v>0</v>
      </c>
      <c r="J454" s="74"/>
      <c r="K454" s="51">
        <f t="shared" si="2"/>
        <v>0</v>
      </c>
      <c r="L454" s="51">
        <f t="shared" si="5"/>
        <v>0</v>
      </c>
      <c r="M454" s="51">
        <f t="shared" si="4"/>
        <v>0</v>
      </c>
      <c r="N454" s="67"/>
    </row>
    <row r="455" ht="15.75" customHeight="1">
      <c r="A455" s="1"/>
      <c r="B455" s="69"/>
      <c r="D455" s="70"/>
      <c r="E455" s="71"/>
      <c r="F455" s="72"/>
      <c r="G455" s="75"/>
      <c r="H455" s="73"/>
      <c r="I455" s="51">
        <f t="shared" si="1"/>
        <v>0</v>
      </c>
      <c r="J455" s="74"/>
      <c r="K455" s="51">
        <f t="shared" si="2"/>
        <v>0</v>
      </c>
      <c r="L455" s="51">
        <f t="shared" si="5"/>
        <v>0</v>
      </c>
      <c r="M455" s="51">
        <f t="shared" si="4"/>
        <v>0</v>
      </c>
      <c r="N455" s="67"/>
    </row>
    <row r="456" ht="15.75" customHeight="1">
      <c r="A456" s="1"/>
      <c r="B456" s="69"/>
      <c r="D456" s="70"/>
      <c r="E456" s="71"/>
      <c r="F456" s="72"/>
      <c r="G456" s="75"/>
      <c r="H456" s="73"/>
      <c r="I456" s="51">
        <f t="shared" si="1"/>
        <v>0</v>
      </c>
      <c r="J456" s="74"/>
      <c r="K456" s="51">
        <f t="shared" si="2"/>
        <v>0</v>
      </c>
      <c r="L456" s="51">
        <f t="shared" si="5"/>
        <v>0</v>
      </c>
      <c r="M456" s="51">
        <f t="shared" si="4"/>
        <v>0</v>
      </c>
      <c r="N456" s="67"/>
    </row>
    <row r="457" ht="15.75" customHeight="1">
      <c r="A457" s="1"/>
      <c r="B457" s="69"/>
      <c r="D457" s="70"/>
      <c r="E457" s="71"/>
      <c r="F457" s="72"/>
      <c r="G457" s="75"/>
      <c r="H457" s="73"/>
      <c r="I457" s="51">
        <f t="shared" si="1"/>
        <v>0</v>
      </c>
      <c r="J457" s="76"/>
      <c r="K457" s="51">
        <f t="shared" si="2"/>
        <v>0</v>
      </c>
      <c r="L457" s="51">
        <f t="shared" si="5"/>
        <v>0</v>
      </c>
      <c r="M457" s="51">
        <f t="shared" si="4"/>
        <v>0</v>
      </c>
      <c r="N457" s="67"/>
    </row>
    <row r="458" ht="15.75" customHeight="1">
      <c r="A458" s="1"/>
      <c r="B458" s="69"/>
      <c r="D458" s="70"/>
      <c r="E458" s="71"/>
      <c r="F458" s="72"/>
      <c r="G458" s="75"/>
      <c r="H458" s="73"/>
      <c r="I458" s="51">
        <f t="shared" si="1"/>
        <v>0</v>
      </c>
      <c r="J458" s="76"/>
      <c r="K458" s="51">
        <f t="shared" si="2"/>
        <v>0</v>
      </c>
      <c r="L458" s="51">
        <f t="shared" si="5"/>
        <v>0</v>
      </c>
      <c r="M458" s="51">
        <f t="shared" si="4"/>
        <v>0</v>
      </c>
      <c r="N458" s="67"/>
    </row>
    <row r="459" ht="15.75" customHeight="1">
      <c r="A459" s="1"/>
      <c r="B459" s="69"/>
      <c r="D459" s="70"/>
      <c r="E459" s="71"/>
      <c r="F459" s="72"/>
      <c r="G459" s="75"/>
      <c r="H459" s="73"/>
      <c r="I459" s="51">
        <f t="shared" si="1"/>
        <v>0</v>
      </c>
      <c r="J459" s="76"/>
      <c r="K459" s="51">
        <f t="shared" si="2"/>
        <v>0</v>
      </c>
      <c r="L459" s="51">
        <f t="shared" si="5"/>
        <v>0</v>
      </c>
      <c r="M459" s="51">
        <f t="shared" si="4"/>
        <v>0</v>
      </c>
      <c r="N459" s="67"/>
    </row>
    <row r="460" ht="15.75" customHeight="1">
      <c r="A460" s="1"/>
      <c r="B460" s="69"/>
      <c r="D460" s="70"/>
      <c r="E460" s="71"/>
      <c r="F460" s="72"/>
      <c r="G460" s="75"/>
      <c r="H460" s="73"/>
      <c r="I460" s="51">
        <f t="shared" si="1"/>
        <v>0</v>
      </c>
      <c r="J460" s="76"/>
      <c r="K460" s="51">
        <f t="shared" si="2"/>
        <v>0</v>
      </c>
      <c r="L460" s="51">
        <f t="shared" si="5"/>
        <v>0</v>
      </c>
      <c r="M460" s="51">
        <f t="shared" si="4"/>
        <v>0</v>
      </c>
      <c r="N460" s="67"/>
    </row>
    <row r="461" ht="15.75" customHeight="1">
      <c r="A461" s="1"/>
      <c r="B461" s="69"/>
      <c r="D461" s="70"/>
      <c r="E461" s="71"/>
      <c r="F461" s="72"/>
      <c r="G461" s="75"/>
      <c r="H461" s="73"/>
      <c r="I461" s="51">
        <f t="shared" si="1"/>
        <v>0</v>
      </c>
      <c r="J461" s="76"/>
      <c r="K461" s="51">
        <f t="shared" si="2"/>
        <v>0</v>
      </c>
      <c r="L461" s="51">
        <f t="shared" si="5"/>
        <v>0</v>
      </c>
      <c r="M461" s="51">
        <f t="shared" si="4"/>
        <v>0</v>
      </c>
      <c r="N461" s="67"/>
    </row>
    <row r="462" ht="15.75" customHeight="1">
      <c r="A462" s="1"/>
      <c r="B462" s="69"/>
      <c r="D462" s="70"/>
      <c r="E462" s="71"/>
      <c r="F462" s="72"/>
      <c r="G462" s="75"/>
      <c r="H462" s="73"/>
      <c r="I462" s="51">
        <f t="shared" si="1"/>
        <v>0</v>
      </c>
      <c r="J462" s="76"/>
      <c r="K462" s="51">
        <f t="shared" si="2"/>
        <v>0</v>
      </c>
      <c r="L462" s="51">
        <f t="shared" si="5"/>
        <v>0</v>
      </c>
      <c r="M462" s="51">
        <f t="shared" si="4"/>
        <v>0</v>
      </c>
      <c r="N462" s="67"/>
    </row>
    <row r="463" ht="15.75" customHeight="1">
      <c r="A463" s="1"/>
      <c r="B463" s="69"/>
      <c r="D463" s="70"/>
      <c r="E463" s="71"/>
      <c r="F463" s="72"/>
      <c r="G463" s="75"/>
      <c r="H463" s="73"/>
      <c r="I463" s="51">
        <f t="shared" si="1"/>
        <v>0</v>
      </c>
      <c r="J463" s="76"/>
      <c r="K463" s="51">
        <f t="shared" si="2"/>
        <v>0</v>
      </c>
      <c r="L463" s="51">
        <f t="shared" si="5"/>
        <v>0</v>
      </c>
      <c r="M463" s="51">
        <f t="shared" si="4"/>
        <v>0</v>
      </c>
      <c r="N463" s="67"/>
    </row>
    <row r="464" ht="15.75" customHeight="1">
      <c r="A464" s="1"/>
      <c r="B464" s="69"/>
      <c r="D464" s="70"/>
      <c r="E464" s="71"/>
      <c r="F464" s="72"/>
      <c r="G464" s="75"/>
      <c r="H464" s="73"/>
      <c r="I464" s="51">
        <f t="shared" si="1"/>
        <v>0</v>
      </c>
      <c r="J464" s="76"/>
      <c r="K464" s="51">
        <f t="shared" si="2"/>
        <v>0</v>
      </c>
      <c r="L464" s="51">
        <f t="shared" si="5"/>
        <v>0</v>
      </c>
      <c r="M464" s="51">
        <f t="shared" si="4"/>
        <v>0</v>
      </c>
      <c r="N464" s="67"/>
    </row>
    <row r="465" ht="15.75" customHeight="1">
      <c r="A465" s="1"/>
      <c r="B465" s="69"/>
      <c r="D465" s="70"/>
      <c r="E465" s="71"/>
      <c r="F465" s="72"/>
      <c r="G465" s="75"/>
      <c r="H465" s="73"/>
      <c r="I465" s="51">
        <f t="shared" si="1"/>
        <v>0</v>
      </c>
      <c r="J465" s="76"/>
      <c r="K465" s="51">
        <f t="shared" si="2"/>
        <v>0</v>
      </c>
      <c r="L465" s="51">
        <f t="shared" si="5"/>
        <v>0</v>
      </c>
      <c r="M465" s="51">
        <f t="shared" si="4"/>
        <v>0</v>
      </c>
      <c r="N465" s="67"/>
    </row>
    <row r="466" ht="15.75" customHeight="1">
      <c r="A466" s="1"/>
      <c r="B466" s="69"/>
      <c r="D466" s="70"/>
      <c r="E466" s="71"/>
      <c r="F466" s="72"/>
      <c r="G466" s="75"/>
      <c r="H466" s="73"/>
      <c r="I466" s="51">
        <f t="shared" si="1"/>
        <v>0</v>
      </c>
      <c r="J466" s="76"/>
      <c r="K466" s="51">
        <f t="shared" si="2"/>
        <v>0</v>
      </c>
      <c r="L466" s="51">
        <f t="shared" si="5"/>
        <v>0</v>
      </c>
      <c r="M466" s="51">
        <f t="shared" si="4"/>
        <v>0</v>
      </c>
      <c r="N466" s="67"/>
    </row>
    <row r="467" ht="15.75" customHeight="1">
      <c r="A467" s="1"/>
      <c r="B467" s="69"/>
      <c r="D467" s="70"/>
      <c r="E467" s="71"/>
      <c r="F467" s="72"/>
      <c r="G467" s="75"/>
      <c r="H467" s="73"/>
      <c r="I467" s="51">
        <f t="shared" si="1"/>
        <v>0</v>
      </c>
      <c r="J467" s="76"/>
      <c r="K467" s="51">
        <f t="shared" si="2"/>
        <v>0</v>
      </c>
      <c r="L467" s="51">
        <f t="shared" si="5"/>
        <v>0</v>
      </c>
      <c r="M467" s="51">
        <f t="shared" si="4"/>
        <v>0</v>
      </c>
      <c r="N467" s="67"/>
    </row>
    <row r="468" ht="15.75" customHeight="1">
      <c r="A468" s="1"/>
      <c r="B468" s="69"/>
      <c r="D468" s="70"/>
      <c r="E468" s="71"/>
      <c r="F468" s="72"/>
      <c r="G468" s="75"/>
      <c r="H468" s="73"/>
      <c r="I468" s="51">
        <f t="shared" si="1"/>
        <v>0</v>
      </c>
      <c r="J468" s="76"/>
      <c r="K468" s="51">
        <f t="shared" si="2"/>
        <v>0</v>
      </c>
      <c r="L468" s="51">
        <f t="shared" si="5"/>
        <v>0</v>
      </c>
      <c r="M468" s="51">
        <f t="shared" si="4"/>
        <v>0</v>
      </c>
      <c r="N468" s="67"/>
    </row>
    <row r="469" ht="15.75" customHeight="1">
      <c r="A469" s="1"/>
      <c r="B469" s="69"/>
      <c r="D469" s="70"/>
      <c r="E469" s="71"/>
      <c r="F469" s="72"/>
      <c r="G469" s="75"/>
      <c r="H469" s="73"/>
      <c r="I469" s="51">
        <f t="shared" si="1"/>
        <v>0</v>
      </c>
      <c r="J469" s="76"/>
      <c r="K469" s="51">
        <f t="shared" si="2"/>
        <v>0</v>
      </c>
      <c r="L469" s="51">
        <f t="shared" si="5"/>
        <v>0</v>
      </c>
      <c r="M469" s="51">
        <f t="shared" si="4"/>
        <v>0</v>
      </c>
      <c r="N469" s="67"/>
    </row>
    <row r="470" ht="15.75" customHeight="1">
      <c r="A470" s="1"/>
      <c r="B470" s="69"/>
      <c r="D470" s="70"/>
      <c r="E470" s="71"/>
      <c r="F470" s="72"/>
      <c r="G470" s="75"/>
      <c r="H470" s="73"/>
      <c r="I470" s="51">
        <f t="shared" si="1"/>
        <v>0</v>
      </c>
      <c r="J470" s="76"/>
      <c r="K470" s="51">
        <f t="shared" si="2"/>
        <v>0</v>
      </c>
      <c r="L470" s="51">
        <f t="shared" si="5"/>
        <v>0</v>
      </c>
      <c r="M470" s="51">
        <f t="shared" si="4"/>
        <v>0</v>
      </c>
      <c r="N470" s="67"/>
    </row>
    <row r="471" ht="15.75" customHeight="1">
      <c r="A471" s="1"/>
      <c r="B471" s="69"/>
      <c r="D471" s="70"/>
      <c r="E471" s="71"/>
      <c r="F471" s="72"/>
      <c r="G471" s="75"/>
      <c r="H471" s="73"/>
      <c r="I471" s="51">
        <f t="shared" si="1"/>
        <v>0</v>
      </c>
      <c r="J471" s="76"/>
      <c r="K471" s="51">
        <f t="shared" si="2"/>
        <v>0</v>
      </c>
      <c r="L471" s="51">
        <f t="shared" si="5"/>
        <v>0</v>
      </c>
      <c r="M471" s="51">
        <f t="shared" si="4"/>
        <v>0</v>
      </c>
      <c r="N471" s="67"/>
    </row>
    <row r="472" ht="15.75" customHeight="1">
      <c r="A472" s="1"/>
      <c r="B472" s="69"/>
      <c r="D472" s="70"/>
      <c r="E472" s="71"/>
      <c r="F472" s="72"/>
      <c r="G472" s="75"/>
      <c r="H472" s="73"/>
      <c r="I472" s="51">
        <f t="shared" si="1"/>
        <v>0</v>
      </c>
      <c r="J472" s="76"/>
      <c r="K472" s="51">
        <f t="shared" si="2"/>
        <v>0</v>
      </c>
      <c r="L472" s="51">
        <f t="shared" si="5"/>
        <v>0</v>
      </c>
      <c r="M472" s="51">
        <f t="shared" si="4"/>
        <v>0</v>
      </c>
      <c r="N472" s="67"/>
    </row>
    <row r="473" ht="15.75" customHeight="1">
      <c r="A473" s="1"/>
      <c r="B473" s="69"/>
      <c r="D473" s="70"/>
      <c r="E473" s="71"/>
      <c r="F473" s="72"/>
      <c r="G473" s="75"/>
      <c r="H473" s="73"/>
      <c r="I473" s="51">
        <f t="shared" si="1"/>
        <v>0</v>
      </c>
      <c r="J473" s="76"/>
      <c r="K473" s="51">
        <f t="shared" si="2"/>
        <v>0</v>
      </c>
      <c r="L473" s="51">
        <f t="shared" si="5"/>
        <v>0</v>
      </c>
      <c r="M473" s="51">
        <f t="shared" si="4"/>
        <v>0</v>
      </c>
      <c r="N473" s="67"/>
    </row>
    <row r="474" ht="15.75" customHeight="1">
      <c r="A474" s="1"/>
      <c r="B474" s="69"/>
      <c r="D474" s="70"/>
      <c r="E474" s="71"/>
      <c r="F474" s="72"/>
      <c r="G474" s="75"/>
      <c r="H474" s="73"/>
      <c r="I474" s="51">
        <f t="shared" si="1"/>
        <v>0</v>
      </c>
      <c r="J474" s="76"/>
      <c r="K474" s="51">
        <f t="shared" si="2"/>
        <v>0</v>
      </c>
      <c r="L474" s="51">
        <f t="shared" si="5"/>
        <v>0</v>
      </c>
      <c r="M474" s="51">
        <f t="shared" si="4"/>
        <v>0</v>
      </c>
      <c r="N474" s="67"/>
    </row>
    <row r="475" ht="15.75" customHeight="1">
      <c r="A475" s="1"/>
      <c r="B475" s="69"/>
      <c r="D475" s="70"/>
      <c r="E475" s="71"/>
      <c r="F475" s="72"/>
      <c r="G475" s="75"/>
      <c r="H475" s="73"/>
      <c r="I475" s="51">
        <f t="shared" si="1"/>
        <v>0</v>
      </c>
      <c r="J475" s="76"/>
      <c r="K475" s="51">
        <f t="shared" si="2"/>
        <v>0</v>
      </c>
      <c r="L475" s="51">
        <f t="shared" si="5"/>
        <v>0</v>
      </c>
      <c r="M475" s="51">
        <f t="shared" si="4"/>
        <v>0</v>
      </c>
      <c r="N475" s="67"/>
    </row>
    <row r="476" ht="15.75" customHeight="1">
      <c r="A476" s="1"/>
      <c r="B476" s="69"/>
      <c r="D476" s="70"/>
      <c r="E476" s="71"/>
      <c r="F476" s="72"/>
      <c r="G476" s="75"/>
      <c r="H476" s="73"/>
      <c r="I476" s="51">
        <f t="shared" si="1"/>
        <v>0</v>
      </c>
      <c r="J476" s="76"/>
      <c r="K476" s="51">
        <f t="shared" si="2"/>
        <v>0</v>
      </c>
      <c r="L476" s="51">
        <f t="shared" si="5"/>
        <v>0</v>
      </c>
      <c r="M476" s="51">
        <f t="shared" si="4"/>
        <v>0</v>
      </c>
      <c r="N476" s="67"/>
    </row>
    <row r="477" ht="15.75" customHeight="1">
      <c r="A477" s="1"/>
      <c r="B477" s="69"/>
      <c r="D477" s="70"/>
      <c r="E477" s="71"/>
      <c r="F477" s="72"/>
      <c r="G477" s="75"/>
      <c r="H477" s="73"/>
      <c r="I477" s="51">
        <f t="shared" si="1"/>
        <v>0</v>
      </c>
      <c r="J477" s="76"/>
      <c r="K477" s="51">
        <f t="shared" si="2"/>
        <v>0</v>
      </c>
      <c r="L477" s="51">
        <f t="shared" si="5"/>
        <v>0</v>
      </c>
      <c r="M477" s="51">
        <f t="shared" si="4"/>
        <v>0</v>
      </c>
      <c r="N477" s="67"/>
    </row>
    <row r="478" ht="15.75" customHeight="1">
      <c r="A478" s="1"/>
      <c r="B478" s="69"/>
      <c r="D478" s="70"/>
      <c r="E478" s="71"/>
      <c r="F478" s="72"/>
      <c r="G478" s="75"/>
      <c r="H478" s="73"/>
      <c r="I478" s="51">
        <f t="shared" si="1"/>
        <v>0</v>
      </c>
      <c r="J478" s="76"/>
      <c r="K478" s="51">
        <f t="shared" si="2"/>
        <v>0</v>
      </c>
      <c r="L478" s="51">
        <f t="shared" si="5"/>
        <v>0</v>
      </c>
      <c r="M478" s="51">
        <f t="shared" si="4"/>
        <v>0</v>
      </c>
      <c r="N478" s="67"/>
    </row>
    <row r="479" ht="15.75" customHeight="1">
      <c r="A479" s="1"/>
      <c r="B479" s="69"/>
      <c r="D479" s="70"/>
      <c r="E479" s="71"/>
      <c r="F479" s="72"/>
      <c r="G479" s="75"/>
      <c r="H479" s="73"/>
      <c r="I479" s="51">
        <f t="shared" si="1"/>
        <v>0</v>
      </c>
      <c r="J479" s="76"/>
      <c r="K479" s="51">
        <f t="shared" si="2"/>
        <v>0</v>
      </c>
      <c r="L479" s="51">
        <f t="shared" si="5"/>
        <v>0</v>
      </c>
      <c r="M479" s="51">
        <f t="shared" si="4"/>
        <v>0</v>
      </c>
      <c r="N479" s="67"/>
    </row>
    <row r="480" ht="15.75" customHeight="1">
      <c r="A480" s="1"/>
      <c r="B480" s="69"/>
      <c r="D480" s="70"/>
      <c r="E480" s="71"/>
      <c r="F480" s="72"/>
      <c r="G480" s="75"/>
      <c r="H480" s="73"/>
      <c r="I480" s="51">
        <f t="shared" si="1"/>
        <v>0</v>
      </c>
      <c r="J480" s="76"/>
      <c r="K480" s="51">
        <f t="shared" si="2"/>
        <v>0</v>
      </c>
      <c r="L480" s="51">
        <f t="shared" si="5"/>
        <v>0</v>
      </c>
      <c r="M480" s="51">
        <f t="shared" si="4"/>
        <v>0</v>
      </c>
      <c r="N480" s="67"/>
    </row>
    <row r="481" ht="15.75" customHeight="1">
      <c r="A481" s="1"/>
      <c r="B481" s="69"/>
      <c r="D481" s="70"/>
      <c r="E481" s="71"/>
      <c r="F481" s="72"/>
      <c r="G481" s="75"/>
      <c r="H481" s="73"/>
      <c r="I481" s="51">
        <f t="shared" si="1"/>
        <v>0</v>
      </c>
      <c r="J481" s="76"/>
      <c r="K481" s="51">
        <f t="shared" si="2"/>
        <v>0</v>
      </c>
      <c r="L481" s="51">
        <f t="shared" si="5"/>
        <v>0</v>
      </c>
      <c r="M481" s="51">
        <f t="shared" si="4"/>
        <v>0</v>
      </c>
      <c r="N481" s="67"/>
    </row>
    <row r="482" ht="15.75" customHeight="1">
      <c r="A482" s="1"/>
      <c r="B482" s="69"/>
      <c r="D482" s="70"/>
      <c r="E482" s="71"/>
      <c r="F482" s="72"/>
      <c r="G482" s="75"/>
      <c r="H482" s="73"/>
      <c r="I482" s="51">
        <f t="shared" si="1"/>
        <v>0</v>
      </c>
      <c r="J482" s="76"/>
      <c r="K482" s="51">
        <f t="shared" si="2"/>
        <v>0</v>
      </c>
      <c r="L482" s="51">
        <f t="shared" si="5"/>
        <v>0</v>
      </c>
      <c r="M482" s="51">
        <f t="shared" si="4"/>
        <v>0</v>
      </c>
      <c r="N482" s="67"/>
    </row>
    <row r="483" ht="15.75" customHeight="1">
      <c r="A483" s="1"/>
      <c r="B483" s="69"/>
      <c r="D483" s="70"/>
      <c r="E483" s="71"/>
      <c r="F483" s="72"/>
      <c r="G483" s="75"/>
      <c r="H483" s="73"/>
      <c r="I483" s="51">
        <f t="shared" si="1"/>
        <v>0</v>
      </c>
      <c r="J483" s="76"/>
      <c r="K483" s="51">
        <f t="shared" si="2"/>
        <v>0</v>
      </c>
      <c r="L483" s="51">
        <f t="shared" si="5"/>
        <v>0</v>
      </c>
      <c r="M483" s="51">
        <f t="shared" si="4"/>
        <v>0</v>
      </c>
      <c r="N483" s="67"/>
    </row>
    <row r="484" ht="15.75" customHeight="1">
      <c r="A484" s="1"/>
      <c r="B484" s="69"/>
      <c r="D484" s="70"/>
      <c r="E484" s="71"/>
      <c r="F484" s="72"/>
      <c r="G484" s="75"/>
      <c r="H484" s="73"/>
      <c r="I484" s="51">
        <f t="shared" si="1"/>
        <v>0</v>
      </c>
      <c r="J484" s="76"/>
      <c r="K484" s="51">
        <f t="shared" si="2"/>
        <v>0</v>
      </c>
      <c r="L484" s="51">
        <f t="shared" si="5"/>
        <v>0</v>
      </c>
      <c r="M484" s="51">
        <f t="shared" si="4"/>
        <v>0</v>
      </c>
      <c r="N484" s="67"/>
    </row>
    <row r="485" ht="15.75" customHeight="1">
      <c r="A485" s="1"/>
      <c r="B485" s="69"/>
      <c r="D485" s="70"/>
      <c r="E485" s="71"/>
      <c r="F485" s="72"/>
      <c r="G485" s="75"/>
      <c r="H485" s="73"/>
      <c r="I485" s="51">
        <f t="shared" si="1"/>
        <v>0</v>
      </c>
      <c r="J485" s="76"/>
      <c r="K485" s="51">
        <f t="shared" si="2"/>
        <v>0</v>
      </c>
      <c r="L485" s="51">
        <f t="shared" si="5"/>
        <v>0</v>
      </c>
      <c r="M485" s="51">
        <f t="shared" si="4"/>
        <v>0</v>
      </c>
      <c r="N485" s="67"/>
    </row>
    <row r="486" ht="15.75" customHeight="1">
      <c r="A486" s="1"/>
      <c r="B486" s="69"/>
      <c r="D486" s="70"/>
      <c r="E486" s="71"/>
      <c r="F486" s="72"/>
      <c r="G486" s="75"/>
      <c r="H486" s="73"/>
      <c r="I486" s="51">
        <f t="shared" si="1"/>
        <v>0</v>
      </c>
      <c r="J486" s="76"/>
      <c r="K486" s="51">
        <f t="shared" si="2"/>
        <v>0</v>
      </c>
      <c r="L486" s="51">
        <f t="shared" si="5"/>
        <v>0</v>
      </c>
      <c r="M486" s="51">
        <f t="shared" si="4"/>
        <v>0</v>
      </c>
      <c r="N486" s="67"/>
    </row>
    <row r="487" ht="15.75" customHeight="1">
      <c r="A487" s="1"/>
      <c r="B487" s="69"/>
      <c r="D487" s="70"/>
      <c r="E487" s="71"/>
      <c r="F487" s="72"/>
      <c r="G487" s="75"/>
      <c r="H487" s="73"/>
      <c r="I487" s="51">
        <f t="shared" si="1"/>
        <v>0</v>
      </c>
      <c r="J487" s="76"/>
      <c r="K487" s="51">
        <f t="shared" si="2"/>
        <v>0</v>
      </c>
      <c r="L487" s="51">
        <f t="shared" si="5"/>
        <v>0</v>
      </c>
      <c r="M487" s="51">
        <f t="shared" si="4"/>
        <v>0</v>
      </c>
      <c r="N487" s="67"/>
    </row>
    <row r="488" ht="15.75" customHeight="1">
      <c r="A488" s="1"/>
      <c r="B488" s="69"/>
      <c r="D488" s="70"/>
      <c r="E488" s="71"/>
      <c r="F488" s="72"/>
      <c r="G488" s="75"/>
      <c r="H488" s="73"/>
      <c r="I488" s="51">
        <f t="shared" si="1"/>
        <v>0</v>
      </c>
      <c r="J488" s="76"/>
      <c r="K488" s="51">
        <f t="shared" si="2"/>
        <v>0</v>
      </c>
      <c r="L488" s="51">
        <f t="shared" si="5"/>
        <v>0</v>
      </c>
      <c r="M488" s="51">
        <f t="shared" si="4"/>
        <v>0</v>
      </c>
      <c r="N488" s="67"/>
    </row>
    <row r="489" ht="15.75" customHeight="1">
      <c r="A489" s="1"/>
      <c r="B489" s="69"/>
      <c r="D489" s="70"/>
      <c r="E489" s="71"/>
      <c r="F489" s="72"/>
      <c r="G489" s="75"/>
      <c r="H489" s="73"/>
      <c r="I489" s="51">
        <f t="shared" si="1"/>
        <v>0</v>
      </c>
      <c r="J489" s="76"/>
      <c r="K489" s="51">
        <f t="shared" si="2"/>
        <v>0</v>
      </c>
      <c r="L489" s="51">
        <f t="shared" si="5"/>
        <v>0</v>
      </c>
      <c r="M489" s="51">
        <f t="shared" si="4"/>
        <v>0</v>
      </c>
      <c r="N489" s="67"/>
    </row>
    <row r="490" ht="15.75" customHeight="1">
      <c r="A490" s="1"/>
      <c r="B490" s="69"/>
      <c r="D490" s="70"/>
      <c r="E490" s="71"/>
      <c r="F490" s="72"/>
      <c r="G490" s="75"/>
      <c r="H490" s="73"/>
      <c r="I490" s="51">
        <f t="shared" si="1"/>
        <v>0</v>
      </c>
      <c r="J490" s="76"/>
      <c r="K490" s="51">
        <f t="shared" si="2"/>
        <v>0</v>
      </c>
      <c r="L490" s="51">
        <f t="shared" si="5"/>
        <v>0</v>
      </c>
      <c r="M490" s="51">
        <f t="shared" si="4"/>
        <v>0</v>
      </c>
      <c r="N490" s="67"/>
    </row>
    <row r="491" ht="15.75" customHeight="1">
      <c r="A491" s="1"/>
      <c r="B491" s="69"/>
      <c r="D491" s="70"/>
      <c r="E491" s="71"/>
      <c r="F491" s="72"/>
      <c r="G491" s="75"/>
      <c r="H491" s="73"/>
      <c r="I491" s="51">
        <f t="shared" si="1"/>
        <v>0</v>
      </c>
      <c r="J491" s="76"/>
      <c r="K491" s="51">
        <f t="shared" si="2"/>
        <v>0</v>
      </c>
      <c r="L491" s="51">
        <f t="shared" si="5"/>
        <v>0</v>
      </c>
      <c r="M491" s="51">
        <f t="shared" si="4"/>
        <v>0</v>
      </c>
      <c r="N491" s="67"/>
    </row>
    <row r="492" ht="15.75" customHeight="1">
      <c r="A492" s="1"/>
      <c r="B492" s="69"/>
      <c r="D492" s="70"/>
      <c r="E492" s="71"/>
      <c r="F492" s="72"/>
      <c r="G492" s="75"/>
      <c r="H492" s="73"/>
      <c r="I492" s="51">
        <f t="shared" si="1"/>
        <v>0</v>
      </c>
      <c r="J492" s="76"/>
      <c r="K492" s="51">
        <f t="shared" si="2"/>
        <v>0</v>
      </c>
      <c r="L492" s="51">
        <f t="shared" si="5"/>
        <v>0</v>
      </c>
      <c r="M492" s="51">
        <f t="shared" si="4"/>
        <v>0</v>
      </c>
      <c r="N492" s="67"/>
    </row>
    <row r="493" ht="15.75" customHeight="1">
      <c r="A493" s="1"/>
      <c r="B493" s="69"/>
      <c r="D493" s="70"/>
      <c r="E493" s="71"/>
      <c r="F493" s="72"/>
      <c r="G493" s="75"/>
      <c r="H493" s="73"/>
      <c r="I493" s="51">
        <f t="shared" si="1"/>
        <v>0</v>
      </c>
      <c r="J493" s="76"/>
      <c r="K493" s="51">
        <f t="shared" si="2"/>
        <v>0</v>
      </c>
      <c r="L493" s="51">
        <f t="shared" si="5"/>
        <v>0</v>
      </c>
      <c r="M493" s="51">
        <f t="shared" si="4"/>
        <v>0</v>
      </c>
      <c r="N493" s="67"/>
    </row>
    <row r="494" ht="15.75" customHeight="1">
      <c r="A494" s="1"/>
      <c r="B494" s="69"/>
      <c r="D494" s="70"/>
      <c r="E494" s="71"/>
      <c r="F494" s="72"/>
      <c r="G494" s="75"/>
      <c r="H494" s="73"/>
      <c r="I494" s="51">
        <f t="shared" si="1"/>
        <v>0</v>
      </c>
      <c r="J494" s="76"/>
      <c r="K494" s="51">
        <f t="shared" si="2"/>
        <v>0</v>
      </c>
      <c r="L494" s="51">
        <f t="shared" si="5"/>
        <v>0</v>
      </c>
      <c r="M494" s="51">
        <f t="shared" si="4"/>
        <v>0</v>
      </c>
      <c r="N494" s="67"/>
    </row>
    <row r="495" ht="15.75" customHeight="1">
      <c r="A495" s="1"/>
      <c r="B495" s="69"/>
      <c r="D495" s="70"/>
      <c r="E495" s="71"/>
      <c r="F495" s="72"/>
      <c r="G495" s="75"/>
      <c r="H495" s="73"/>
      <c r="I495" s="51">
        <f t="shared" si="1"/>
        <v>0</v>
      </c>
      <c r="J495" s="76"/>
      <c r="K495" s="51">
        <f t="shared" si="2"/>
        <v>0</v>
      </c>
      <c r="L495" s="51">
        <f t="shared" si="5"/>
        <v>0</v>
      </c>
      <c r="M495" s="51">
        <f t="shared" si="4"/>
        <v>0</v>
      </c>
      <c r="N495" s="67"/>
    </row>
    <row r="496" ht="15.75" customHeight="1">
      <c r="A496" s="1"/>
      <c r="B496" s="69"/>
      <c r="D496" s="70"/>
      <c r="E496" s="71"/>
      <c r="F496" s="72"/>
      <c r="G496" s="75"/>
      <c r="H496" s="73"/>
      <c r="I496" s="51">
        <f t="shared" si="1"/>
        <v>0</v>
      </c>
      <c r="J496" s="76"/>
      <c r="K496" s="51">
        <f t="shared" si="2"/>
        <v>0</v>
      </c>
      <c r="L496" s="51">
        <f t="shared" si="5"/>
        <v>0</v>
      </c>
      <c r="M496" s="51">
        <f t="shared" si="4"/>
        <v>0</v>
      </c>
      <c r="N496" s="67"/>
    </row>
    <row r="497" ht="15.75" customHeight="1">
      <c r="A497" s="1"/>
      <c r="B497" s="69"/>
      <c r="D497" s="70"/>
      <c r="E497" s="71"/>
      <c r="F497" s="72"/>
      <c r="G497" s="75"/>
      <c r="H497" s="73"/>
      <c r="I497" s="51">
        <f t="shared" si="1"/>
        <v>0</v>
      </c>
      <c r="J497" s="76"/>
      <c r="K497" s="51">
        <f t="shared" si="2"/>
        <v>0</v>
      </c>
      <c r="L497" s="51">
        <f t="shared" si="5"/>
        <v>0</v>
      </c>
      <c r="M497" s="51">
        <f t="shared" si="4"/>
        <v>0</v>
      </c>
      <c r="N497" s="67"/>
    </row>
    <row r="498" ht="15.75" customHeight="1">
      <c r="A498" s="1"/>
      <c r="B498" s="69"/>
      <c r="D498" s="70"/>
      <c r="E498" s="71"/>
      <c r="F498" s="72"/>
      <c r="G498" s="75"/>
      <c r="H498" s="73"/>
      <c r="I498" s="51">
        <f t="shared" si="1"/>
        <v>0</v>
      </c>
      <c r="J498" s="76"/>
      <c r="K498" s="51">
        <f t="shared" si="2"/>
        <v>0</v>
      </c>
      <c r="L498" s="51">
        <f t="shared" si="5"/>
        <v>0</v>
      </c>
      <c r="M498" s="51">
        <f t="shared" si="4"/>
        <v>0</v>
      </c>
      <c r="N498" s="67"/>
    </row>
    <row r="499" ht="15.75" customHeight="1">
      <c r="A499" s="1"/>
      <c r="B499" s="69"/>
      <c r="D499" s="70"/>
      <c r="E499" s="71"/>
      <c r="F499" s="72"/>
      <c r="G499" s="75"/>
      <c r="H499" s="73"/>
      <c r="I499" s="51">
        <f t="shared" si="1"/>
        <v>0</v>
      </c>
      <c r="J499" s="76"/>
      <c r="K499" s="51">
        <f t="shared" si="2"/>
        <v>0</v>
      </c>
      <c r="L499" s="51">
        <f t="shared" si="5"/>
        <v>0</v>
      </c>
      <c r="M499" s="51">
        <f t="shared" si="4"/>
        <v>0</v>
      </c>
      <c r="N499" s="67"/>
    </row>
    <row r="500" ht="15.75" customHeight="1">
      <c r="A500" s="1"/>
      <c r="B500" s="69"/>
      <c r="D500" s="70"/>
      <c r="E500" s="71"/>
      <c r="F500" s="72"/>
      <c r="G500" s="75"/>
      <c r="H500" s="73"/>
      <c r="I500" s="51">
        <f t="shared" si="1"/>
        <v>0</v>
      </c>
      <c r="J500" s="76"/>
      <c r="K500" s="51">
        <f t="shared" si="2"/>
        <v>0</v>
      </c>
      <c r="L500" s="51">
        <f t="shared" si="5"/>
        <v>0</v>
      </c>
      <c r="M500" s="51">
        <f t="shared" si="4"/>
        <v>0</v>
      </c>
      <c r="N500" s="67"/>
    </row>
    <row r="501" ht="15.75" customHeight="1">
      <c r="A501" s="1"/>
      <c r="B501" s="69"/>
      <c r="D501" s="70"/>
      <c r="E501" s="71"/>
      <c r="F501" s="72"/>
      <c r="G501" s="75"/>
      <c r="H501" s="73"/>
      <c r="I501" s="51">
        <f t="shared" si="1"/>
        <v>0</v>
      </c>
      <c r="J501" s="76"/>
      <c r="K501" s="51">
        <f t="shared" si="2"/>
        <v>0</v>
      </c>
      <c r="L501" s="51">
        <f t="shared" si="5"/>
        <v>0</v>
      </c>
      <c r="M501" s="51">
        <f t="shared" si="4"/>
        <v>0</v>
      </c>
      <c r="N501" s="67"/>
    </row>
    <row r="502" ht="15.75" customHeight="1">
      <c r="A502" s="1"/>
      <c r="B502" s="69"/>
      <c r="D502" s="70"/>
      <c r="E502" s="71"/>
      <c r="F502" s="72"/>
      <c r="G502" s="75"/>
      <c r="H502" s="73"/>
      <c r="I502" s="51">
        <f t="shared" si="1"/>
        <v>0</v>
      </c>
      <c r="J502" s="76"/>
      <c r="K502" s="51">
        <f t="shared" si="2"/>
        <v>0</v>
      </c>
      <c r="L502" s="51">
        <f t="shared" si="5"/>
        <v>0</v>
      </c>
      <c r="M502" s="51">
        <f t="shared" si="4"/>
        <v>0</v>
      </c>
      <c r="N502" s="67"/>
    </row>
    <row r="503" ht="15.75" customHeight="1">
      <c r="A503" s="1"/>
      <c r="B503" s="69"/>
      <c r="D503" s="70"/>
      <c r="E503" s="71"/>
      <c r="F503" s="72"/>
      <c r="G503" s="75"/>
      <c r="H503" s="73"/>
      <c r="I503" s="51">
        <f t="shared" si="1"/>
        <v>0</v>
      </c>
      <c r="J503" s="76"/>
      <c r="K503" s="51">
        <f t="shared" si="2"/>
        <v>0</v>
      </c>
      <c r="L503" s="51">
        <f t="shared" si="5"/>
        <v>0</v>
      </c>
      <c r="M503" s="51">
        <f t="shared" si="4"/>
        <v>0</v>
      </c>
      <c r="N503" s="67"/>
    </row>
    <row r="504" ht="15.75" customHeight="1">
      <c r="A504" s="1"/>
      <c r="B504" s="69"/>
      <c r="D504" s="70"/>
      <c r="E504" s="71"/>
      <c r="F504" s="72"/>
      <c r="G504" s="75"/>
      <c r="H504" s="73"/>
      <c r="I504" s="51">
        <f t="shared" si="1"/>
        <v>0</v>
      </c>
      <c r="J504" s="76"/>
      <c r="K504" s="51">
        <f t="shared" si="2"/>
        <v>0</v>
      </c>
      <c r="L504" s="51">
        <f t="shared" si="5"/>
        <v>0</v>
      </c>
      <c r="M504" s="51">
        <f t="shared" si="4"/>
        <v>0</v>
      </c>
      <c r="N504" s="67"/>
    </row>
    <row r="505" ht="15.75" customHeight="1">
      <c r="A505" s="1"/>
      <c r="B505" s="69"/>
      <c r="D505" s="70"/>
      <c r="E505" s="71"/>
      <c r="F505" s="72"/>
      <c r="G505" s="75"/>
      <c r="H505" s="73"/>
      <c r="I505" s="51">
        <f t="shared" si="1"/>
        <v>0</v>
      </c>
      <c r="J505" s="76"/>
      <c r="K505" s="51">
        <f t="shared" si="2"/>
        <v>0</v>
      </c>
      <c r="L505" s="51">
        <f t="shared" si="5"/>
        <v>0</v>
      </c>
      <c r="M505" s="51">
        <f t="shared" si="4"/>
        <v>0</v>
      </c>
      <c r="N505" s="67"/>
    </row>
    <row r="506" ht="15.75" customHeight="1">
      <c r="A506" s="1"/>
      <c r="B506" s="69"/>
      <c r="D506" s="70"/>
      <c r="E506" s="71"/>
      <c r="F506" s="72"/>
      <c r="G506" s="75"/>
      <c r="H506" s="73"/>
      <c r="I506" s="51">
        <f t="shared" si="1"/>
        <v>0</v>
      </c>
      <c r="J506" s="76"/>
      <c r="K506" s="51">
        <f t="shared" si="2"/>
        <v>0</v>
      </c>
      <c r="L506" s="51">
        <f t="shared" si="5"/>
        <v>0</v>
      </c>
      <c r="M506" s="51">
        <f t="shared" si="4"/>
        <v>0</v>
      </c>
      <c r="N506" s="67"/>
    </row>
    <row r="507" ht="15.75" customHeight="1">
      <c r="A507" s="1"/>
      <c r="B507" s="69"/>
      <c r="D507" s="70"/>
      <c r="E507" s="71"/>
      <c r="F507" s="72"/>
      <c r="G507" s="75"/>
      <c r="H507" s="73"/>
      <c r="I507" s="51">
        <f t="shared" si="1"/>
        <v>0</v>
      </c>
      <c r="J507" s="76"/>
      <c r="K507" s="51">
        <f t="shared" si="2"/>
        <v>0</v>
      </c>
      <c r="L507" s="51">
        <f t="shared" si="5"/>
        <v>0</v>
      </c>
      <c r="M507" s="51">
        <f t="shared" si="4"/>
        <v>0</v>
      </c>
      <c r="N507" s="67"/>
    </row>
    <row r="508" ht="15.75" customHeight="1">
      <c r="A508" s="1"/>
      <c r="B508" s="69"/>
      <c r="D508" s="70"/>
      <c r="E508" s="71"/>
      <c r="F508" s="72"/>
      <c r="G508" s="75"/>
      <c r="H508" s="73"/>
      <c r="I508" s="51">
        <f t="shared" si="1"/>
        <v>0</v>
      </c>
      <c r="J508" s="76"/>
      <c r="K508" s="51">
        <f t="shared" si="2"/>
        <v>0</v>
      </c>
      <c r="L508" s="51">
        <f t="shared" si="5"/>
        <v>0</v>
      </c>
      <c r="M508" s="51">
        <f t="shared" si="4"/>
        <v>0</v>
      </c>
      <c r="N508" s="67"/>
    </row>
    <row r="509" ht="15.75" customHeight="1">
      <c r="A509" s="1"/>
      <c r="B509" s="69"/>
      <c r="D509" s="70"/>
      <c r="E509" s="71"/>
      <c r="F509" s="72"/>
      <c r="G509" s="75"/>
      <c r="H509" s="73"/>
      <c r="I509" s="51">
        <f t="shared" si="1"/>
        <v>0</v>
      </c>
      <c r="J509" s="76"/>
      <c r="K509" s="51">
        <f t="shared" si="2"/>
        <v>0</v>
      </c>
      <c r="L509" s="51">
        <f t="shared" si="5"/>
        <v>0</v>
      </c>
      <c r="M509" s="51">
        <f t="shared" si="4"/>
        <v>0</v>
      </c>
      <c r="N509" s="67"/>
    </row>
    <row r="510" ht="15.75" customHeight="1">
      <c r="A510" s="1"/>
      <c r="B510" s="69"/>
      <c r="D510" s="70"/>
      <c r="E510" s="71"/>
      <c r="F510" s="72"/>
      <c r="G510" s="75"/>
      <c r="H510" s="73"/>
      <c r="I510" s="51">
        <f t="shared" si="1"/>
        <v>0</v>
      </c>
      <c r="J510" s="76"/>
      <c r="K510" s="51">
        <f t="shared" si="2"/>
        <v>0</v>
      </c>
      <c r="L510" s="51">
        <f t="shared" si="5"/>
        <v>0</v>
      </c>
      <c r="M510" s="51">
        <f t="shared" si="4"/>
        <v>0</v>
      </c>
      <c r="N510" s="67"/>
    </row>
    <row r="511" ht="15.75" customHeight="1">
      <c r="A511" s="1"/>
      <c r="B511" s="69"/>
      <c r="D511" s="70"/>
      <c r="E511" s="71"/>
      <c r="F511" s="72"/>
      <c r="G511" s="75"/>
      <c r="H511" s="73"/>
      <c r="I511" s="51">
        <f t="shared" si="1"/>
        <v>0</v>
      </c>
      <c r="J511" s="76"/>
      <c r="K511" s="51">
        <f t="shared" si="2"/>
        <v>0</v>
      </c>
      <c r="L511" s="51">
        <f t="shared" si="5"/>
        <v>0</v>
      </c>
      <c r="M511" s="51">
        <f t="shared" si="4"/>
        <v>0</v>
      </c>
      <c r="N511" s="67"/>
    </row>
    <row r="512" ht="15.75" customHeight="1">
      <c r="A512" s="1"/>
      <c r="B512" s="69"/>
      <c r="D512" s="70"/>
      <c r="E512" s="71"/>
      <c r="F512" s="72"/>
      <c r="G512" s="75"/>
      <c r="H512" s="73"/>
      <c r="I512" s="51">
        <f t="shared" si="1"/>
        <v>0</v>
      </c>
      <c r="J512" s="76"/>
      <c r="K512" s="51">
        <f t="shared" si="2"/>
        <v>0</v>
      </c>
      <c r="L512" s="51">
        <f t="shared" si="5"/>
        <v>0</v>
      </c>
      <c r="M512" s="51">
        <f t="shared" si="4"/>
        <v>0</v>
      </c>
      <c r="N512" s="67"/>
    </row>
    <row r="513" ht="15.75" customHeight="1">
      <c r="A513" s="1"/>
      <c r="B513" s="69"/>
      <c r="D513" s="70"/>
      <c r="E513" s="71"/>
      <c r="F513" s="72"/>
      <c r="G513" s="75"/>
      <c r="H513" s="73"/>
      <c r="I513" s="51">
        <f t="shared" si="1"/>
        <v>0</v>
      </c>
      <c r="J513" s="76"/>
      <c r="K513" s="51">
        <f t="shared" si="2"/>
        <v>0</v>
      </c>
      <c r="L513" s="51">
        <f t="shared" si="5"/>
        <v>0</v>
      </c>
      <c r="M513" s="51">
        <f t="shared" si="4"/>
        <v>0</v>
      </c>
      <c r="N513" s="67"/>
    </row>
    <row r="514" ht="15.75" customHeight="1">
      <c r="A514" s="1"/>
      <c r="B514" s="69"/>
      <c r="D514" s="70"/>
      <c r="E514" s="71"/>
      <c r="F514" s="72"/>
      <c r="G514" s="75"/>
      <c r="H514" s="73"/>
      <c r="I514" s="51">
        <f t="shared" si="1"/>
        <v>0</v>
      </c>
      <c r="J514" s="76"/>
      <c r="K514" s="51">
        <f t="shared" si="2"/>
        <v>0</v>
      </c>
      <c r="L514" s="51">
        <f t="shared" si="5"/>
        <v>0</v>
      </c>
      <c r="M514" s="51">
        <f t="shared" si="4"/>
        <v>0</v>
      </c>
      <c r="N514" s="67"/>
    </row>
    <row r="515" ht="15.75" customHeight="1">
      <c r="A515" s="1"/>
      <c r="B515" s="69"/>
      <c r="D515" s="70"/>
      <c r="E515" s="71"/>
      <c r="F515" s="72"/>
      <c r="G515" s="75"/>
      <c r="H515" s="73"/>
      <c r="I515" s="51">
        <f t="shared" si="1"/>
        <v>0</v>
      </c>
      <c r="J515" s="76"/>
      <c r="K515" s="51">
        <f t="shared" si="2"/>
        <v>0</v>
      </c>
      <c r="L515" s="51">
        <f t="shared" si="5"/>
        <v>0</v>
      </c>
      <c r="M515" s="51">
        <f t="shared" si="4"/>
        <v>0</v>
      </c>
      <c r="N515" s="67"/>
    </row>
    <row r="516" ht="15.75" customHeight="1">
      <c r="A516" s="1"/>
      <c r="B516" s="69"/>
      <c r="D516" s="70"/>
      <c r="E516" s="71"/>
      <c r="F516" s="72"/>
      <c r="G516" s="75"/>
      <c r="H516" s="73"/>
      <c r="I516" s="51">
        <f t="shared" si="1"/>
        <v>0</v>
      </c>
      <c r="J516" s="76"/>
      <c r="K516" s="51">
        <f t="shared" si="2"/>
        <v>0</v>
      </c>
      <c r="L516" s="51">
        <f t="shared" si="5"/>
        <v>0</v>
      </c>
      <c r="M516" s="51">
        <f t="shared" si="4"/>
        <v>0</v>
      </c>
      <c r="N516" s="67"/>
    </row>
    <row r="517" ht="15.75" customHeight="1">
      <c r="A517" s="1"/>
      <c r="B517" s="69"/>
      <c r="D517" s="70"/>
      <c r="E517" s="71"/>
      <c r="F517" s="72"/>
      <c r="G517" s="75"/>
      <c r="H517" s="73"/>
      <c r="I517" s="51">
        <f t="shared" si="1"/>
        <v>0</v>
      </c>
      <c r="J517" s="76"/>
      <c r="K517" s="51">
        <f t="shared" si="2"/>
        <v>0</v>
      </c>
      <c r="L517" s="51">
        <f t="shared" si="5"/>
        <v>0</v>
      </c>
      <c r="M517" s="51">
        <f t="shared" si="4"/>
        <v>0</v>
      </c>
      <c r="N517" s="67"/>
    </row>
    <row r="518" ht="15.75" customHeight="1">
      <c r="A518" s="1"/>
      <c r="B518" s="69"/>
      <c r="D518" s="70"/>
      <c r="E518" s="71"/>
      <c r="F518" s="72"/>
      <c r="G518" s="75"/>
      <c r="H518" s="73"/>
      <c r="I518" s="51">
        <f t="shared" si="1"/>
        <v>0</v>
      </c>
      <c r="J518" s="76"/>
      <c r="K518" s="51">
        <f t="shared" si="2"/>
        <v>0</v>
      </c>
      <c r="L518" s="51">
        <f t="shared" si="5"/>
        <v>0</v>
      </c>
      <c r="M518" s="51">
        <f t="shared" si="4"/>
        <v>0</v>
      </c>
      <c r="N518" s="67"/>
    </row>
    <row r="519" ht="15.75" customHeight="1">
      <c r="A519" s="1"/>
      <c r="B519" s="69"/>
      <c r="D519" s="70"/>
      <c r="E519" s="71"/>
      <c r="F519" s="72"/>
      <c r="G519" s="75"/>
      <c r="H519" s="73"/>
      <c r="I519" s="51">
        <f t="shared" si="1"/>
        <v>0</v>
      </c>
      <c r="J519" s="76"/>
      <c r="K519" s="51">
        <f t="shared" si="2"/>
        <v>0</v>
      </c>
      <c r="L519" s="51">
        <f t="shared" si="5"/>
        <v>0</v>
      </c>
      <c r="M519" s="51">
        <f t="shared" si="4"/>
        <v>0</v>
      </c>
      <c r="N519" s="67"/>
    </row>
    <row r="520" ht="15.75" customHeight="1">
      <c r="A520" s="1"/>
      <c r="B520" s="69"/>
      <c r="D520" s="70"/>
      <c r="E520" s="71"/>
      <c r="F520" s="72"/>
      <c r="G520" s="75"/>
      <c r="H520" s="73"/>
      <c r="I520" s="51">
        <f t="shared" si="1"/>
        <v>0</v>
      </c>
      <c r="J520" s="76"/>
      <c r="K520" s="51">
        <f t="shared" si="2"/>
        <v>0</v>
      </c>
      <c r="L520" s="51">
        <f t="shared" si="5"/>
        <v>0</v>
      </c>
      <c r="M520" s="51">
        <f t="shared" si="4"/>
        <v>0</v>
      </c>
      <c r="N520" s="67"/>
    </row>
    <row r="521" ht="15.75" customHeight="1">
      <c r="A521" s="1"/>
      <c r="B521" s="69"/>
      <c r="D521" s="70"/>
      <c r="E521" s="71"/>
      <c r="F521" s="72"/>
      <c r="G521" s="75"/>
      <c r="H521" s="73"/>
      <c r="I521" s="51">
        <f t="shared" si="1"/>
        <v>0</v>
      </c>
      <c r="J521" s="76"/>
      <c r="K521" s="51">
        <f t="shared" si="2"/>
        <v>0</v>
      </c>
      <c r="L521" s="51">
        <f t="shared" si="5"/>
        <v>0</v>
      </c>
      <c r="M521" s="51">
        <f t="shared" si="4"/>
        <v>0</v>
      </c>
      <c r="N521" s="67"/>
    </row>
    <row r="522" ht="15.75" customHeight="1">
      <c r="A522" s="1"/>
      <c r="B522" s="69"/>
      <c r="D522" s="70"/>
      <c r="E522" s="71"/>
      <c r="F522" s="72"/>
      <c r="G522" s="75"/>
      <c r="H522" s="73"/>
      <c r="I522" s="51">
        <f t="shared" si="1"/>
        <v>0</v>
      </c>
      <c r="J522" s="76"/>
      <c r="K522" s="51">
        <f t="shared" si="2"/>
        <v>0</v>
      </c>
      <c r="L522" s="51">
        <f t="shared" si="5"/>
        <v>0</v>
      </c>
      <c r="M522" s="51">
        <f t="shared" si="4"/>
        <v>0</v>
      </c>
      <c r="N522" s="67"/>
    </row>
    <row r="523" ht="15.75" customHeight="1">
      <c r="A523" s="1"/>
      <c r="B523" s="69"/>
      <c r="D523" s="70"/>
      <c r="E523" s="71"/>
      <c r="F523" s="72"/>
      <c r="G523" s="75"/>
      <c r="H523" s="73"/>
      <c r="I523" s="51">
        <f t="shared" si="1"/>
        <v>0</v>
      </c>
      <c r="J523" s="76"/>
      <c r="K523" s="51">
        <f t="shared" si="2"/>
        <v>0</v>
      </c>
      <c r="L523" s="51">
        <f t="shared" si="5"/>
        <v>0</v>
      </c>
      <c r="M523" s="51">
        <f t="shared" si="4"/>
        <v>0</v>
      </c>
      <c r="N523" s="67"/>
    </row>
    <row r="524" ht="15.75" customHeight="1">
      <c r="A524" s="1"/>
      <c r="B524" s="69"/>
      <c r="D524" s="70"/>
      <c r="E524" s="71"/>
      <c r="F524" s="72"/>
      <c r="G524" s="75"/>
      <c r="H524" s="73"/>
      <c r="I524" s="51">
        <f t="shared" si="1"/>
        <v>0</v>
      </c>
      <c r="J524" s="76"/>
      <c r="K524" s="51">
        <f t="shared" si="2"/>
        <v>0</v>
      </c>
      <c r="L524" s="51">
        <f t="shared" si="5"/>
        <v>0</v>
      </c>
      <c r="M524" s="51">
        <f t="shared" si="4"/>
        <v>0</v>
      </c>
      <c r="N524" s="67"/>
    </row>
    <row r="525" ht="15.75" customHeight="1">
      <c r="A525" s="1"/>
      <c r="B525" s="69"/>
      <c r="D525" s="70"/>
      <c r="E525" s="71"/>
      <c r="F525" s="72"/>
      <c r="G525" s="75"/>
      <c r="H525" s="73"/>
      <c r="I525" s="51">
        <f t="shared" si="1"/>
        <v>0</v>
      </c>
      <c r="J525" s="76"/>
      <c r="K525" s="51">
        <f t="shared" si="2"/>
        <v>0</v>
      </c>
      <c r="L525" s="51">
        <f t="shared" si="5"/>
        <v>0</v>
      </c>
      <c r="M525" s="51">
        <f t="shared" si="4"/>
        <v>0</v>
      </c>
      <c r="N525" s="67"/>
    </row>
    <row r="526" ht="15.75" customHeight="1">
      <c r="A526" s="1"/>
      <c r="B526" s="69"/>
      <c r="D526" s="70"/>
      <c r="E526" s="71"/>
      <c r="F526" s="72"/>
      <c r="G526" s="75"/>
      <c r="H526" s="73"/>
      <c r="I526" s="51">
        <f t="shared" si="1"/>
        <v>0</v>
      </c>
      <c r="J526" s="76"/>
      <c r="K526" s="51">
        <f t="shared" si="2"/>
        <v>0</v>
      </c>
      <c r="L526" s="51">
        <f t="shared" si="5"/>
        <v>0</v>
      </c>
      <c r="M526" s="51">
        <f t="shared" si="4"/>
        <v>0</v>
      </c>
      <c r="N526" s="67"/>
    </row>
    <row r="527" ht="15.75" customHeight="1">
      <c r="A527" s="1"/>
      <c r="B527" s="69"/>
      <c r="D527" s="70"/>
      <c r="E527" s="71"/>
      <c r="F527" s="72"/>
      <c r="G527" s="75"/>
      <c r="H527" s="73"/>
      <c r="I527" s="51">
        <f t="shared" si="1"/>
        <v>0</v>
      </c>
      <c r="J527" s="76"/>
      <c r="K527" s="51">
        <f t="shared" si="2"/>
        <v>0</v>
      </c>
      <c r="L527" s="51">
        <f t="shared" si="5"/>
        <v>0</v>
      </c>
      <c r="M527" s="51">
        <f t="shared" si="4"/>
        <v>0</v>
      </c>
      <c r="N527" s="67"/>
    </row>
    <row r="528" ht="15.75" customHeight="1">
      <c r="A528" s="1"/>
      <c r="B528" s="69"/>
      <c r="D528" s="70"/>
      <c r="E528" s="71"/>
      <c r="F528" s="72"/>
      <c r="G528" s="75"/>
      <c r="H528" s="73"/>
      <c r="I528" s="51">
        <f t="shared" si="1"/>
        <v>0</v>
      </c>
      <c r="J528" s="76"/>
      <c r="K528" s="51">
        <f t="shared" si="2"/>
        <v>0</v>
      </c>
      <c r="L528" s="51">
        <f t="shared" si="5"/>
        <v>0</v>
      </c>
      <c r="M528" s="51">
        <f t="shared" si="4"/>
        <v>0</v>
      </c>
      <c r="N528" s="67"/>
    </row>
    <row r="529" ht="15.75" customHeight="1">
      <c r="A529" s="1"/>
      <c r="B529" s="69"/>
      <c r="D529" s="70"/>
      <c r="E529" s="71"/>
      <c r="F529" s="72"/>
      <c r="G529" s="75"/>
      <c r="H529" s="73"/>
      <c r="I529" s="51">
        <f t="shared" si="1"/>
        <v>0</v>
      </c>
      <c r="J529" s="76"/>
      <c r="K529" s="51">
        <f t="shared" si="2"/>
        <v>0</v>
      </c>
      <c r="L529" s="51">
        <f t="shared" si="5"/>
        <v>0</v>
      </c>
      <c r="M529" s="51">
        <f t="shared" si="4"/>
        <v>0</v>
      </c>
      <c r="N529" s="67"/>
    </row>
    <row r="530" ht="15.75" customHeight="1">
      <c r="A530" s="1"/>
      <c r="B530" s="69"/>
      <c r="D530" s="70"/>
      <c r="E530" s="71"/>
      <c r="F530" s="72"/>
      <c r="G530" s="75"/>
      <c r="H530" s="73"/>
      <c r="I530" s="51">
        <f t="shared" si="1"/>
        <v>0</v>
      </c>
      <c r="J530" s="76"/>
      <c r="K530" s="51">
        <f t="shared" si="2"/>
        <v>0</v>
      </c>
      <c r="L530" s="51">
        <f t="shared" si="5"/>
        <v>0</v>
      </c>
      <c r="M530" s="51">
        <f t="shared" si="4"/>
        <v>0</v>
      </c>
      <c r="N530" s="67"/>
    </row>
    <row r="531" ht="15.75" customHeight="1">
      <c r="A531" s="1"/>
      <c r="B531" s="69"/>
      <c r="D531" s="70"/>
      <c r="E531" s="71"/>
      <c r="F531" s="72"/>
      <c r="G531" s="75"/>
      <c r="H531" s="73"/>
      <c r="I531" s="51">
        <f t="shared" si="1"/>
        <v>0</v>
      </c>
      <c r="J531" s="76"/>
      <c r="K531" s="51">
        <f t="shared" si="2"/>
        <v>0</v>
      </c>
      <c r="L531" s="51">
        <f t="shared" si="5"/>
        <v>0</v>
      </c>
      <c r="M531" s="51">
        <f t="shared" si="4"/>
        <v>0</v>
      </c>
      <c r="N531" s="67"/>
    </row>
    <row r="532" ht="15.75" customHeight="1">
      <c r="A532" s="1"/>
      <c r="B532" s="69"/>
      <c r="D532" s="70"/>
      <c r="E532" s="71"/>
      <c r="F532" s="72"/>
      <c r="G532" s="75"/>
      <c r="H532" s="73"/>
      <c r="I532" s="51">
        <f t="shared" si="1"/>
        <v>0</v>
      </c>
      <c r="J532" s="76"/>
      <c r="K532" s="51">
        <f t="shared" si="2"/>
        <v>0</v>
      </c>
      <c r="L532" s="51">
        <f t="shared" si="5"/>
        <v>0</v>
      </c>
      <c r="M532" s="51">
        <f t="shared" si="4"/>
        <v>0</v>
      </c>
      <c r="N532" s="67"/>
    </row>
    <row r="533" ht="15.75" customHeight="1">
      <c r="A533" s="1"/>
      <c r="B533" s="69"/>
      <c r="D533" s="70"/>
      <c r="E533" s="71"/>
      <c r="F533" s="72"/>
      <c r="G533" s="75"/>
      <c r="H533" s="73"/>
      <c r="I533" s="51">
        <f t="shared" si="1"/>
        <v>0</v>
      </c>
      <c r="J533" s="76"/>
      <c r="K533" s="51">
        <f t="shared" si="2"/>
        <v>0</v>
      </c>
      <c r="L533" s="51">
        <f t="shared" si="5"/>
        <v>0</v>
      </c>
      <c r="M533" s="51">
        <f t="shared" si="4"/>
        <v>0</v>
      </c>
      <c r="N533" s="67"/>
    </row>
    <row r="534" ht="15.75" customHeight="1">
      <c r="A534" s="1"/>
      <c r="B534" s="69"/>
      <c r="D534" s="70"/>
      <c r="E534" s="71"/>
      <c r="F534" s="72"/>
      <c r="G534" s="75"/>
      <c r="H534" s="73"/>
      <c r="I534" s="51">
        <f t="shared" si="1"/>
        <v>0</v>
      </c>
      <c r="J534" s="76"/>
      <c r="K534" s="51">
        <f t="shared" si="2"/>
        <v>0</v>
      </c>
      <c r="L534" s="51">
        <f t="shared" si="5"/>
        <v>0</v>
      </c>
      <c r="M534" s="51">
        <f t="shared" si="4"/>
        <v>0</v>
      </c>
      <c r="N534" s="67"/>
    </row>
    <row r="535" ht="15.75" customHeight="1">
      <c r="A535" s="1"/>
      <c r="B535" s="69"/>
      <c r="D535" s="70"/>
      <c r="E535" s="71"/>
      <c r="F535" s="72"/>
      <c r="G535" s="75"/>
      <c r="H535" s="73"/>
      <c r="I535" s="51">
        <f t="shared" si="1"/>
        <v>0</v>
      </c>
      <c r="J535" s="76"/>
      <c r="K535" s="51">
        <f t="shared" si="2"/>
        <v>0</v>
      </c>
      <c r="L535" s="51">
        <f t="shared" si="5"/>
        <v>0</v>
      </c>
      <c r="M535" s="51">
        <f t="shared" si="4"/>
        <v>0</v>
      </c>
      <c r="N535" s="67"/>
    </row>
    <row r="536" ht="15.75" customHeight="1">
      <c r="A536" s="1"/>
      <c r="B536" s="69"/>
      <c r="D536" s="70"/>
      <c r="E536" s="71"/>
      <c r="F536" s="72"/>
      <c r="G536" s="75"/>
      <c r="H536" s="73"/>
      <c r="I536" s="51">
        <f t="shared" si="1"/>
        <v>0</v>
      </c>
      <c r="J536" s="76"/>
      <c r="K536" s="51">
        <f t="shared" si="2"/>
        <v>0</v>
      </c>
      <c r="L536" s="51">
        <f t="shared" si="5"/>
        <v>0</v>
      </c>
      <c r="M536" s="51">
        <f t="shared" si="4"/>
        <v>0</v>
      </c>
      <c r="N536" s="67"/>
    </row>
    <row r="537" ht="15.75" customHeight="1">
      <c r="A537" s="1"/>
      <c r="B537" s="69"/>
      <c r="D537" s="70"/>
      <c r="E537" s="71"/>
      <c r="F537" s="72"/>
      <c r="G537" s="75"/>
      <c r="H537" s="73"/>
      <c r="I537" s="51">
        <f t="shared" si="1"/>
        <v>0</v>
      </c>
      <c r="J537" s="76"/>
      <c r="K537" s="51">
        <f t="shared" si="2"/>
        <v>0</v>
      </c>
      <c r="L537" s="51">
        <f t="shared" si="5"/>
        <v>0</v>
      </c>
      <c r="M537" s="51">
        <f t="shared" si="4"/>
        <v>0</v>
      </c>
      <c r="N537" s="67"/>
    </row>
    <row r="538" ht="15.75" customHeight="1">
      <c r="A538" s="1"/>
      <c r="B538" s="69"/>
      <c r="D538" s="70"/>
      <c r="E538" s="71"/>
      <c r="F538" s="72"/>
      <c r="G538" s="75"/>
      <c r="H538" s="73"/>
      <c r="I538" s="51">
        <f t="shared" si="1"/>
        <v>0</v>
      </c>
      <c r="J538" s="76"/>
      <c r="K538" s="51">
        <f t="shared" si="2"/>
        <v>0</v>
      </c>
      <c r="L538" s="51">
        <f t="shared" si="5"/>
        <v>0</v>
      </c>
      <c r="M538" s="51">
        <f t="shared" si="4"/>
        <v>0</v>
      </c>
      <c r="N538" s="67"/>
    </row>
    <row r="539" ht="15.75" customHeight="1">
      <c r="A539" s="1"/>
      <c r="B539" s="69"/>
      <c r="D539" s="70"/>
      <c r="E539" s="71"/>
      <c r="F539" s="72"/>
      <c r="G539" s="75"/>
      <c r="H539" s="73"/>
      <c r="I539" s="51">
        <f t="shared" si="1"/>
        <v>0</v>
      </c>
      <c r="J539" s="76"/>
      <c r="K539" s="51">
        <f t="shared" si="2"/>
        <v>0</v>
      </c>
      <c r="L539" s="51">
        <f t="shared" si="5"/>
        <v>0</v>
      </c>
      <c r="M539" s="51">
        <f t="shared" si="4"/>
        <v>0</v>
      </c>
      <c r="N539" s="67"/>
    </row>
    <row r="540" ht="15.75" customHeight="1">
      <c r="A540" s="1"/>
      <c r="B540" s="69"/>
      <c r="D540" s="70"/>
      <c r="E540" s="71"/>
      <c r="F540" s="72"/>
      <c r="G540" s="75"/>
      <c r="H540" s="73"/>
      <c r="I540" s="51">
        <f t="shared" si="1"/>
        <v>0</v>
      </c>
      <c r="J540" s="76"/>
      <c r="K540" s="51">
        <f t="shared" si="2"/>
        <v>0</v>
      </c>
      <c r="L540" s="51">
        <f t="shared" si="5"/>
        <v>0</v>
      </c>
      <c r="M540" s="51">
        <f t="shared" si="4"/>
        <v>0</v>
      </c>
      <c r="N540" s="67"/>
    </row>
    <row r="541" ht="15.75" customHeight="1">
      <c r="A541" s="1"/>
      <c r="B541" s="69"/>
      <c r="D541" s="70"/>
      <c r="E541" s="71"/>
      <c r="F541" s="72"/>
      <c r="G541" s="75"/>
      <c r="H541" s="73"/>
      <c r="I541" s="51">
        <f t="shared" si="1"/>
        <v>0</v>
      </c>
      <c r="J541" s="76"/>
      <c r="K541" s="51">
        <f t="shared" si="2"/>
        <v>0</v>
      </c>
      <c r="L541" s="51">
        <f t="shared" si="5"/>
        <v>0</v>
      </c>
      <c r="M541" s="51">
        <f t="shared" si="4"/>
        <v>0</v>
      </c>
      <c r="N541" s="67"/>
    </row>
    <row r="542" ht="15.75" customHeight="1">
      <c r="A542" s="1"/>
      <c r="B542" s="69"/>
      <c r="D542" s="70"/>
      <c r="E542" s="71"/>
      <c r="F542" s="72"/>
      <c r="G542" s="75"/>
      <c r="H542" s="73"/>
      <c r="I542" s="51">
        <f t="shared" si="1"/>
        <v>0</v>
      </c>
      <c r="J542" s="76"/>
      <c r="K542" s="51">
        <f t="shared" si="2"/>
        <v>0</v>
      </c>
      <c r="L542" s="51">
        <f t="shared" si="5"/>
        <v>0</v>
      </c>
      <c r="M542" s="51">
        <f t="shared" si="4"/>
        <v>0</v>
      </c>
      <c r="N542" s="67"/>
    </row>
    <row r="543" ht="15.75" customHeight="1">
      <c r="A543" s="1"/>
      <c r="B543" s="69"/>
      <c r="D543" s="70"/>
      <c r="E543" s="71"/>
      <c r="F543" s="72"/>
      <c r="G543" s="75"/>
      <c r="H543" s="73"/>
      <c r="I543" s="51">
        <f t="shared" si="1"/>
        <v>0</v>
      </c>
      <c r="J543" s="76"/>
      <c r="K543" s="51">
        <f t="shared" si="2"/>
        <v>0</v>
      </c>
      <c r="L543" s="51">
        <f t="shared" si="5"/>
        <v>0</v>
      </c>
      <c r="M543" s="51">
        <f t="shared" si="4"/>
        <v>0</v>
      </c>
      <c r="N543" s="67"/>
    </row>
    <row r="544" ht="15.75" customHeight="1">
      <c r="A544" s="1"/>
      <c r="B544" s="69"/>
      <c r="D544" s="70"/>
      <c r="E544" s="71"/>
      <c r="F544" s="72"/>
      <c r="G544" s="75"/>
      <c r="H544" s="73"/>
      <c r="I544" s="51">
        <f t="shared" si="1"/>
        <v>0</v>
      </c>
      <c r="J544" s="76"/>
      <c r="K544" s="51">
        <f t="shared" si="2"/>
        <v>0</v>
      </c>
      <c r="L544" s="51">
        <f t="shared" si="5"/>
        <v>0</v>
      </c>
      <c r="M544" s="51">
        <f t="shared" si="4"/>
        <v>0</v>
      </c>
      <c r="N544" s="67"/>
    </row>
    <row r="545" ht="15.75" customHeight="1">
      <c r="A545" s="1"/>
      <c r="B545" s="69"/>
      <c r="D545" s="70"/>
      <c r="E545" s="71"/>
      <c r="F545" s="72"/>
      <c r="G545" s="75"/>
      <c r="H545" s="73"/>
      <c r="I545" s="51">
        <f t="shared" si="1"/>
        <v>0</v>
      </c>
      <c r="J545" s="76"/>
      <c r="K545" s="51">
        <f t="shared" si="2"/>
        <v>0</v>
      </c>
      <c r="L545" s="51">
        <f t="shared" si="5"/>
        <v>0</v>
      </c>
      <c r="M545" s="51">
        <f t="shared" si="4"/>
        <v>0</v>
      </c>
      <c r="N545" s="67"/>
    </row>
    <row r="546" ht="15.75" customHeight="1">
      <c r="A546" s="1"/>
      <c r="B546" s="69"/>
      <c r="D546" s="70"/>
      <c r="E546" s="71"/>
      <c r="F546" s="72"/>
      <c r="G546" s="75"/>
      <c r="H546" s="73"/>
      <c r="I546" s="51">
        <f t="shared" si="1"/>
        <v>0</v>
      </c>
      <c r="J546" s="76"/>
      <c r="K546" s="51">
        <f t="shared" si="2"/>
        <v>0</v>
      </c>
      <c r="L546" s="51">
        <f t="shared" si="5"/>
        <v>0</v>
      </c>
      <c r="M546" s="51">
        <f t="shared" si="4"/>
        <v>0</v>
      </c>
      <c r="N546" s="67"/>
    </row>
    <row r="547" ht="15.75" customHeight="1">
      <c r="A547" s="1"/>
      <c r="B547" s="69"/>
      <c r="D547" s="70"/>
      <c r="E547" s="71"/>
      <c r="F547" s="72"/>
      <c r="G547" s="75"/>
      <c r="H547" s="73"/>
      <c r="I547" s="51">
        <f t="shared" si="1"/>
        <v>0</v>
      </c>
      <c r="J547" s="76"/>
      <c r="K547" s="51">
        <f t="shared" si="2"/>
        <v>0</v>
      </c>
      <c r="L547" s="51">
        <f t="shared" si="5"/>
        <v>0</v>
      </c>
      <c r="M547" s="51">
        <f t="shared" si="4"/>
        <v>0</v>
      </c>
      <c r="N547" s="67"/>
    </row>
    <row r="548" ht="15.75" customHeight="1">
      <c r="A548" s="1"/>
      <c r="B548" s="69"/>
      <c r="D548" s="70"/>
      <c r="E548" s="71"/>
      <c r="F548" s="72"/>
      <c r="G548" s="75"/>
      <c r="H548" s="73"/>
      <c r="I548" s="51">
        <f t="shared" si="1"/>
        <v>0</v>
      </c>
      <c r="J548" s="76"/>
      <c r="K548" s="51">
        <f t="shared" si="2"/>
        <v>0</v>
      </c>
      <c r="L548" s="51">
        <f t="shared" si="5"/>
        <v>0</v>
      </c>
      <c r="M548" s="51">
        <f t="shared" si="4"/>
        <v>0</v>
      </c>
      <c r="N548" s="67"/>
    </row>
    <row r="549" ht="15.75" customHeight="1">
      <c r="A549" s="1"/>
      <c r="B549" s="69"/>
      <c r="D549" s="70"/>
      <c r="E549" s="71"/>
      <c r="F549" s="72"/>
      <c r="G549" s="75"/>
      <c r="H549" s="73"/>
      <c r="I549" s="51">
        <f t="shared" si="1"/>
        <v>0</v>
      </c>
      <c r="J549" s="76"/>
      <c r="K549" s="51">
        <f t="shared" si="2"/>
        <v>0</v>
      </c>
      <c r="L549" s="51">
        <f t="shared" si="5"/>
        <v>0</v>
      </c>
      <c r="M549" s="51">
        <f t="shared" si="4"/>
        <v>0</v>
      </c>
      <c r="N549" s="67"/>
    </row>
    <row r="550" ht="15.75" customHeight="1">
      <c r="A550" s="1"/>
      <c r="B550" s="69"/>
      <c r="D550" s="70"/>
      <c r="E550" s="71"/>
      <c r="F550" s="72"/>
      <c r="G550" s="75"/>
      <c r="H550" s="73"/>
      <c r="I550" s="51">
        <f t="shared" si="1"/>
        <v>0</v>
      </c>
      <c r="J550" s="76"/>
      <c r="K550" s="51">
        <f t="shared" si="2"/>
        <v>0</v>
      </c>
      <c r="L550" s="51">
        <f t="shared" si="5"/>
        <v>0</v>
      </c>
      <c r="M550" s="51">
        <f t="shared" si="4"/>
        <v>0</v>
      </c>
      <c r="N550" s="67"/>
    </row>
    <row r="551" ht="15.75" customHeight="1">
      <c r="A551" s="1"/>
      <c r="B551" s="69"/>
      <c r="D551" s="70"/>
      <c r="E551" s="71"/>
      <c r="F551" s="72"/>
      <c r="G551" s="75"/>
      <c r="H551" s="73"/>
      <c r="I551" s="51">
        <f t="shared" si="1"/>
        <v>0</v>
      </c>
      <c r="J551" s="76"/>
      <c r="K551" s="51">
        <f t="shared" si="2"/>
        <v>0</v>
      </c>
      <c r="L551" s="51">
        <f t="shared" si="5"/>
        <v>0</v>
      </c>
      <c r="M551" s="51">
        <f t="shared" si="4"/>
        <v>0</v>
      </c>
      <c r="N551" s="67"/>
    </row>
    <row r="552" ht="15.75" customHeight="1">
      <c r="A552" s="1"/>
      <c r="B552" s="69"/>
      <c r="D552" s="70"/>
      <c r="E552" s="71"/>
      <c r="F552" s="72"/>
      <c r="G552" s="75"/>
      <c r="H552" s="73"/>
      <c r="I552" s="51">
        <f t="shared" si="1"/>
        <v>0</v>
      </c>
      <c r="J552" s="76"/>
      <c r="K552" s="51">
        <f t="shared" si="2"/>
        <v>0</v>
      </c>
      <c r="L552" s="51">
        <f t="shared" si="5"/>
        <v>0</v>
      </c>
      <c r="M552" s="51">
        <f t="shared" si="4"/>
        <v>0</v>
      </c>
      <c r="N552" s="67"/>
    </row>
    <row r="553" ht="15.75" customHeight="1">
      <c r="A553" s="1"/>
      <c r="B553" s="69"/>
      <c r="D553" s="70"/>
      <c r="E553" s="71"/>
      <c r="F553" s="72"/>
      <c r="G553" s="75"/>
      <c r="H553" s="73"/>
      <c r="I553" s="51">
        <f t="shared" si="1"/>
        <v>0</v>
      </c>
      <c r="J553" s="76"/>
      <c r="K553" s="51">
        <f t="shared" si="2"/>
        <v>0</v>
      </c>
      <c r="L553" s="51">
        <f t="shared" si="5"/>
        <v>0</v>
      </c>
      <c r="M553" s="51">
        <f t="shared" si="4"/>
        <v>0</v>
      </c>
      <c r="N553" s="67"/>
    </row>
    <row r="554" ht="15.75" customHeight="1">
      <c r="A554" s="1"/>
      <c r="B554" s="69"/>
      <c r="D554" s="70"/>
      <c r="E554" s="71"/>
      <c r="F554" s="72"/>
      <c r="G554" s="75"/>
      <c r="H554" s="73"/>
      <c r="I554" s="51">
        <f t="shared" si="1"/>
        <v>0</v>
      </c>
      <c r="J554" s="76"/>
      <c r="K554" s="51">
        <f t="shared" si="2"/>
        <v>0</v>
      </c>
      <c r="L554" s="51">
        <f t="shared" si="5"/>
        <v>0</v>
      </c>
      <c r="M554" s="51">
        <f t="shared" si="4"/>
        <v>0</v>
      </c>
      <c r="N554" s="67"/>
    </row>
    <row r="555" ht="15.75" customHeight="1">
      <c r="A555" s="1"/>
      <c r="B555" s="69"/>
      <c r="D555" s="70"/>
      <c r="E555" s="71"/>
      <c r="F555" s="72"/>
      <c r="G555" s="75"/>
      <c r="H555" s="73"/>
      <c r="I555" s="51">
        <f t="shared" si="1"/>
        <v>0</v>
      </c>
      <c r="J555" s="76"/>
      <c r="K555" s="51">
        <f t="shared" si="2"/>
        <v>0</v>
      </c>
      <c r="L555" s="51">
        <f t="shared" si="5"/>
        <v>0</v>
      </c>
      <c r="M555" s="51">
        <f t="shared" si="4"/>
        <v>0</v>
      </c>
      <c r="N555" s="67"/>
    </row>
    <row r="556" ht="15.75" customHeight="1">
      <c r="A556" s="1"/>
      <c r="B556" s="69"/>
      <c r="D556" s="70"/>
      <c r="E556" s="71"/>
      <c r="F556" s="72"/>
      <c r="G556" s="75"/>
      <c r="H556" s="73"/>
      <c r="I556" s="51">
        <f t="shared" si="1"/>
        <v>0</v>
      </c>
      <c r="J556" s="76"/>
      <c r="K556" s="51">
        <f t="shared" si="2"/>
        <v>0</v>
      </c>
      <c r="L556" s="51">
        <f t="shared" si="5"/>
        <v>0</v>
      </c>
      <c r="M556" s="51">
        <f t="shared" si="4"/>
        <v>0</v>
      </c>
      <c r="N556" s="67"/>
    </row>
    <row r="557" ht="15.75" customHeight="1">
      <c r="A557" s="1"/>
      <c r="B557" s="69"/>
      <c r="D557" s="70"/>
      <c r="E557" s="71"/>
      <c r="F557" s="72"/>
      <c r="G557" s="75"/>
      <c r="H557" s="73"/>
      <c r="I557" s="51">
        <f t="shared" si="1"/>
        <v>0</v>
      </c>
      <c r="J557" s="76"/>
      <c r="K557" s="51">
        <f t="shared" si="2"/>
        <v>0</v>
      </c>
      <c r="L557" s="51">
        <f t="shared" si="5"/>
        <v>0</v>
      </c>
      <c r="M557" s="51">
        <f t="shared" si="4"/>
        <v>0</v>
      </c>
      <c r="N557" s="67"/>
    </row>
    <row r="558" ht="15.75" customHeight="1">
      <c r="A558" s="1"/>
      <c r="B558" s="69"/>
      <c r="D558" s="70"/>
      <c r="E558" s="71"/>
      <c r="F558" s="72"/>
      <c r="G558" s="75"/>
      <c r="H558" s="73"/>
      <c r="I558" s="51">
        <f t="shared" si="1"/>
        <v>0</v>
      </c>
      <c r="J558" s="76"/>
      <c r="K558" s="51">
        <f t="shared" si="2"/>
        <v>0</v>
      </c>
      <c r="L558" s="51">
        <f t="shared" si="5"/>
        <v>0</v>
      </c>
      <c r="M558" s="51">
        <f t="shared" si="4"/>
        <v>0</v>
      </c>
      <c r="N558" s="67"/>
    </row>
    <row r="559" ht="15.75" customHeight="1">
      <c r="A559" s="1"/>
      <c r="B559" s="69"/>
      <c r="D559" s="70"/>
      <c r="E559" s="71"/>
      <c r="F559" s="72"/>
      <c r="G559" s="75"/>
      <c r="H559" s="73"/>
      <c r="I559" s="51">
        <f t="shared" si="1"/>
        <v>0</v>
      </c>
      <c r="J559" s="76"/>
      <c r="K559" s="51">
        <f t="shared" si="2"/>
        <v>0</v>
      </c>
      <c r="L559" s="51">
        <f t="shared" si="5"/>
        <v>0</v>
      </c>
      <c r="M559" s="51">
        <f t="shared" si="4"/>
        <v>0</v>
      </c>
      <c r="N559" s="67"/>
    </row>
    <row r="560" ht="15.75" customHeight="1">
      <c r="A560" s="1"/>
      <c r="B560" s="69"/>
      <c r="D560" s="70"/>
      <c r="E560" s="71"/>
      <c r="F560" s="72"/>
      <c r="G560" s="75"/>
      <c r="H560" s="73"/>
      <c r="I560" s="51">
        <f t="shared" si="1"/>
        <v>0</v>
      </c>
      <c r="J560" s="76"/>
      <c r="K560" s="51">
        <f t="shared" si="2"/>
        <v>0</v>
      </c>
      <c r="L560" s="51">
        <f t="shared" si="5"/>
        <v>0</v>
      </c>
      <c r="M560" s="51">
        <f t="shared" si="4"/>
        <v>0</v>
      </c>
      <c r="N560" s="67"/>
    </row>
    <row r="561" ht="15.75" customHeight="1">
      <c r="A561" s="1"/>
      <c r="B561" s="69"/>
      <c r="D561" s="70"/>
      <c r="E561" s="71"/>
      <c r="F561" s="72"/>
      <c r="G561" s="75"/>
      <c r="H561" s="73"/>
      <c r="I561" s="51">
        <f t="shared" si="1"/>
        <v>0</v>
      </c>
      <c r="J561" s="76"/>
      <c r="K561" s="51">
        <f t="shared" si="2"/>
        <v>0</v>
      </c>
      <c r="L561" s="51">
        <f t="shared" si="5"/>
        <v>0</v>
      </c>
      <c r="M561" s="51">
        <f t="shared" si="4"/>
        <v>0</v>
      </c>
      <c r="N561" s="67"/>
    </row>
    <row r="562" ht="15.75" customHeight="1">
      <c r="A562" s="1"/>
      <c r="B562" s="69"/>
      <c r="D562" s="70"/>
      <c r="E562" s="71"/>
      <c r="F562" s="72"/>
      <c r="G562" s="75"/>
      <c r="H562" s="73"/>
      <c r="I562" s="51">
        <f t="shared" si="1"/>
        <v>0</v>
      </c>
      <c r="J562" s="76"/>
      <c r="K562" s="51">
        <f t="shared" si="2"/>
        <v>0</v>
      </c>
      <c r="L562" s="51">
        <f t="shared" si="5"/>
        <v>0</v>
      </c>
      <c r="M562" s="51">
        <f t="shared" si="4"/>
        <v>0</v>
      </c>
      <c r="N562" s="67"/>
    </row>
    <row r="563" ht="15.75" customHeight="1">
      <c r="A563" s="1"/>
      <c r="B563" s="69"/>
      <c r="D563" s="70"/>
      <c r="E563" s="71"/>
      <c r="F563" s="72"/>
      <c r="G563" s="75"/>
      <c r="H563" s="73"/>
      <c r="I563" s="51">
        <f t="shared" si="1"/>
        <v>0</v>
      </c>
      <c r="J563" s="76"/>
      <c r="K563" s="51">
        <f t="shared" si="2"/>
        <v>0</v>
      </c>
      <c r="L563" s="51">
        <f t="shared" si="5"/>
        <v>0</v>
      </c>
      <c r="M563" s="51">
        <f t="shared" si="4"/>
        <v>0</v>
      </c>
      <c r="N563" s="67"/>
    </row>
    <row r="564" ht="15.75" customHeight="1">
      <c r="A564" s="1"/>
      <c r="B564" s="69"/>
      <c r="D564" s="70"/>
      <c r="E564" s="71"/>
      <c r="F564" s="72"/>
      <c r="G564" s="75"/>
      <c r="H564" s="73"/>
      <c r="I564" s="51">
        <f t="shared" si="1"/>
        <v>0</v>
      </c>
      <c r="J564" s="76"/>
      <c r="K564" s="51">
        <f t="shared" si="2"/>
        <v>0</v>
      </c>
      <c r="L564" s="51">
        <f t="shared" si="5"/>
        <v>0</v>
      </c>
      <c r="M564" s="51">
        <f t="shared" si="4"/>
        <v>0</v>
      </c>
      <c r="N564" s="67"/>
    </row>
    <row r="565" ht="15.75" customHeight="1">
      <c r="A565" s="1"/>
      <c r="B565" s="69"/>
      <c r="D565" s="70"/>
      <c r="E565" s="71"/>
      <c r="F565" s="72"/>
      <c r="G565" s="75"/>
      <c r="H565" s="73"/>
      <c r="I565" s="51">
        <f t="shared" si="1"/>
        <v>0</v>
      </c>
      <c r="J565" s="76"/>
      <c r="K565" s="51">
        <f t="shared" si="2"/>
        <v>0</v>
      </c>
      <c r="L565" s="51">
        <f t="shared" si="5"/>
        <v>0</v>
      </c>
      <c r="M565" s="51">
        <f t="shared" si="4"/>
        <v>0</v>
      </c>
      <c r="N565" s="67"/>
    </row>
    <row r="566" ht="15.75" customHeight="1">
      <c r="A566" s="1"/>
      <c r="B566" s="69"/>
      <c r="D566" s="70"/>
      <c r="E566" s="71"/>
      <c r="F566" s="72"/>
      <c r="G566" s="75"/>
      <c r="H566" s="73"/>
      <c r="I566" s="51">
        <f t="shared" si="1"/>
        <v>0</v>
      </c>
      <c r="J566" s="76"/>
      <c r="K566" s="51">
        <f t="shared" si="2"/>
        <v>0</v>
      </c>
      <c r="L566" s="51">
        <f t="shared" si="5"/>
        <v>0</v>
      </c>
      <c r="M566" s="51">
        <f t="shared" si="4"/>
        <v>0</v>
      </c>
      <c r="N566" s="67"/>
    </row>
    <row r="567" ht="15.75" customHeight="1">
      <c r="A567" s="1"/>
      <c r="B567" s="69"/>
      <c r="D567" s="70"/>
      <c r="E567" s="71"/>
      <c r="F567" s="72"/>
      <c r="G567" s="75"/>
      <c r="H567" s="73"/>
      <c r="I567" s="51">
        <f t="shared" si="1"/>
        <v>0</v>
      </c>
      <c r="J567" s="76"/>
      <c r="K567" s="51">
        <f t="shared" si="2"/>
        <v>0</v>
      </c>
      <c r="L567" s="51">
        <f t="shared" si="5"/>
        <v>0</v>
      </c>
      <c r="M567" s="51">
        <f t="shared" si="4"/>
        <v>0</v>
      </c>
      <c r="N567" s="67"/>
    </row>
    <row r="568" ht="15.75" customHeight="1">
      <c r="A568" s="1"/>
      <c r="B568" s="69"/>
      <c r="D568" s="70"/>
      <c r="E568" s="71"/>
      <c r="F568" s="72"/>
      <c r="G568" s="75"/>
      <c r="H568" s="73"/>
      <c r="I568" s="51">
        <f t="shared" si="1"/>
        <v>0</v>
      </c>
      <c r="J568" s="76"/>
      <c r="K568" s="51">
        <f t="shared" si="2"/>
        <v>0</v>
      </c>
      <c r="L568" s="51">
        <f t="shared" si="5"/>
        <v>0</v>
      </c>
      <c r="M568" s="51">
        <f t="shared" si="4"/>
        <v>0</v>
      </c>
      <c r="N568" s="67"/>
    </row>
    <row r="569" ht="15.75" customHeight="1">
      <c r="A569" s="1"/>
      <c r="B569" s="69"/>
      <c r="D569" s="70"/>
      <c r="E569" s="71"/>
      <c r="F569" s="72"/>
      <c r="G569" s="75"/>
      <c r="H569" s="73"/>
      <c r="I569" s="51">
        <f t="shared" si="1"/>
        <v>0</v>
      </c>
      <c r="J569" s="76"/>
      <c r="K569" s="51">
        <f t="shared" si="2"/>
        <v>0</v>
      </c>
      <c r="L569" s="51">
        <f t="shared" si="5"/>
        <v>0</v>
      </c>
      <c r="M569" s="51">
        <f t="shared" si="4"/>
        <v>0</v>
      </c>
      <c r="N569" s="67"/>
    </row>
    <row r="570" ht="15.75" customHeight="1">
      <c r="A570" s="1"/>
      <c r="B570" s="69"/>
      <c r="D570" s="70"/>
      <c r="E570" s="71"/>
      <c r="F570" s="72"/>
      <c r="G570" s="75"/>
      <c r="H570" s="73"/>
      <c r="I570" s="51">
        <f t="shared" si="1"/>
        <v>0</v>
      </c>
      <c r="J570" s="76"/>
      <c r="K570" s="51">
        <f t="shared" si="2"/>
        <v>0</v>
      </c>
      <c r="L570" s="51">
        <f t="shared" si="5"/>
        <v>0</v>
      </c>
      <c r="M570" s="51">
        <f t="shared" si="4"/>
        <v>0</v>
      </c>
      <c r="N570" s="67"/>
    </row>
    <row r="571" ht="15.75" customHeight="1">
      <c r="A571" s="1"/>
      <c r="B571" s="69"/>
      <c r="D571" s="70"/>
      <c r="E571" s="71"/>
      <c r="F571" s="72"/>
      <c r="G571" s="75"/>
      <c r="H571" s="73"/>
      <c r="I571" s="51">
        <f t="shared" si="1"/>
        <v>0</v>
      </c>
      <c r="J571" s="76"/>
      <c r="K571" s="51">
        <f t="shared" si="2"/>
        <v>0</v>
      </c>
      <c r="L571" s="51">
        <f t="shared" si="5"/>
        <v>0</v>
      </c>
      <c r="M571" s="51">
        <f t="shared" si="4"/>
        <v>0</v>
      </c>
      <c r="N571" s="67"/>
    </row>
    <row r="572" ht="15.75" customHeight="1">
      <c r="A572" s="1"/>
      <c r="B572" s="69"/>
      <c r="D572" s="70"/>
      <c r="E572" s="71"/>
      <c r="F572" s="72"/>
      <c r="G572" s="75"/>
      <c r="H572" s="73"/>
      <c r="I572" s="51">
        <f t="shared" si="1"/>
        <v>0</v>
      </c>
      <c r="J572" s="76"/>
      <c r="K572" s="51">
        <f t="shared" si="2"/>
        <v>0</v>
      </c>
      <c r="L572" s="51">
        <f t="shared" si="5"/>
        <v>0</v>
      </c>
      <c r="M572" s="51">
        <f t="shared" si="4"/>
        <v>0</v>
      </c>
      <c r="N572" s="67"/>
    </row>
    <row r="573" ht="15.75" customHeight="1">
      <c r="A573" s="1"/>
      <c r="B573" s="69"/>
      <c r="D573" s="70"/>
      <c r="E573" s="71"/>
      <c r="F573" s="72"/>
      <c r="G573" s="75"/>
      <c r="H573" s="73"/>
      <c r="I573" s="51">
        <f t="shared" si="1"/>
        <v>0</v>
      </c>
      <c r="J573" s="76"/>
      <c r="K573" s="51">
        <f t="shared" si="2"/>
        <v>0</v>
      </c>
      <c r="L573" s="51">
        <f t="shared" si="5"/>
        <v>0</v>
      </c>
      <c r="M573" s="51">
        <f t="shared" si="4"/>
        <v>0</v>
      </c>
      <c r="N573" s="67"/>
    </row>
    <row r="574" ht="15.75" customHeight="1">
      <c r="A574" s="1"/>
      <c r="B574" s="69"/>
      <c r="D574" s="70"/>
      <c r="E574" s="71"/>
      <c r="F574" s="72"/>
      <c r="G574" s="75"/>
      <c r="H574" s="73"/>
      <c r="I574" s="51">
        <f t="shared" si="1"/>
        <v>0</v>
      </c>
      <c r="J574" s="76"/>
      <c r="K574" s="51">
        <f t="shared" si="2"/>
        <v>0</v>
      </c>
      <c r="L574" s="51">
        <f t="shared" si="5"/>
        <v>0</v>
      </c>
      <c r="M574" s="51">
        <f t="shared" si="4"/>
        <v>0</v>
      </c>
      <c r="N574" s="67"/>
    </row>
    <row r="575" ht="15.75" customHeight="1">
      <c r="A575" s="1"/>
      <c r="B575" s="69"/>
      <c r="D575" s="70"/>
      <c r="E575" s="71"/>
      <c r="F575" s="72"/>
      <c r="G575" s="75"/>
      <c r="H575" s="73"/>
      <c r="I575" s="51">
        <f t="shared" si="1"/>
        <v>0</v>
      </c>
      <c r="J575" s="76"/>
      <c r="K575" s="51">
        <f t="shared" si="2"/>
        <v>0</v>
      </c>
      <c r="L575" s="51">
        <f t="shared" si="5"/>
        <v>0</v>
      </c>
      <c r="M575" s="51">
        <f t="shared" si="4"/>
        <v>0</v>
      </c>
      <c r="N575" s="67"/>
    </row>
    <row r="576" ht="15.75" customHeight="1">
      <c r="A576" s="1"/>
      <c r="B576" s="69"/>
      <c r="D576" s="70"/>
      <c r="E576" s="71"/>
      <c r="F576" s="72"/>
      <c r="G576" s="75"/>
      <c r="H576" s="73"/>
      <c r="I576" s="51">
        <f t="shared" si="1"/>
        <v>0</v>
      </c>
      <c r="J576" s="76"/>
      <c r="K576" s="51">
        <f t="shared" si="2"/>
        <v>0</v>
      </c>
      <c r="L576" s="51">
        <f t="shared" si="5"/>
        <v>0</v>
      </c>
      <c r="M576" s="51">
        <f t="shared" si="4"/>
        <v>0</v>
      </c>
      <c r="N576" s="67"/>
    </row>
    <row r="577" ht="15.75" customHeight="1">
      <c r="A577" s="1"/>
      <c r="B577" s="69"/>
      <c r="D577" s="70"/>
      <c r="E577" s="71"/>
      <c r="F577" s="72"/>
      <c r="G577" s="75"/>
      <c r="H577" s="73"/>
      <c r="I577" s="51">
        <f t="shared" si="1"/>
        <v>0</v>
      </c>
      <c r="J577" s="76"/>
      <c r="K577" s="51">
        <f t="shared" si="2"/>
        <v>0</v>
      </c>
      <c r="L577" s="51">
        <f t="shared" si="5"/>
        <v>0</v>
      </c>
      <c r="M577" s="51">
        <f t="shared" si="4"/>
        <v>0</v>
      </c>
      <c r="N577" s="67"/>
    </row>
    <row r="578" ht="15.75" customHeight="1">
      <c r="A578" s="1"/>
      <c r="B578" s="69"/>
      <c r="D578" s="70"/>
      <c r="E578" s="71"/>
      <c r="F578" s="72"/>
      <c r="G578" s="75"/>
      <c r="H578" s="73"/>
      <c r="I578" s="51">
        <f t="shared" si="1"/>
        <v>0</v>
      </c>
      <c r="J578" s="76"/>
      <c r="K578" s="51">
        <f t="shared" si="2"/>
        <v>0</v>
      </c>
      <c r="L578" s="51">
        <f t="shared" si="5"/>
        <v>0</v>
      </c>
      <c r="M578" s="51">
        <f t="shared" si="4"/>
        <v>0</v>
      </c>
      <c r="N578" s="67"/>
    </row>
    <row r="579" ht="15.75" customHeight="1">
      <c r="A579" s="1"/>
      <c r="B579" s="69"/>
      <c r="D579" s="70"/>
      <c r="E579" s="71"/>
      <c r="F579" s="72"/>
      <c r="G579" s="75"/>
      <c r="H579" s="73"/>
      <c r="I579" s="51">
        <f t="shared" si="1"/>
        <v>0</v>
      </c>
      <c r="J579" s="76"/>
      <c r="K579" s="51">
        <f t="shared" si="2"/>
        <v>0</v>
      </c>
      <c r="L579" s="51">
        <f t="shared" si="5"/>
        <v>0</v>
      </c>
      <c r="M579" s="51">
        <f t="shared" si="4"/>
        <v>0</v>
      </c>
      <c r="N579" s="67"/>
    </row>
    <row r="580" ht="15.75" customHeight="1">
      <c r="A580" s="1"/>
      <c r="B580" s="69"/>
      <c r="D580" s="70"/>
      <c r="E580" s="71"/>
      <c r="F580" s="72"/>
      <c r="G580" s="75"/>
      <c r="H580" s="73"/>
      <c r="I580" s="51">
        <f t="shared" si="1"/>
        <v>0</v>
      </c>
      <c r="J580" s="76"/>
      <c r="K580" s="51">
        <f t="shared" si="2"/>
        <v>0</v>
      </c>
      <c r="L580" s="51">
        <f t="shared" si="5"/>
        <v>0</v>
      </c>
      <c r="M580" s="51">
        <f t="shared" si="4"/>
        <v>0</v>
      </c>
      <c r="N580" s="67"/>
    </row>
    <row r="581" ht="15.75" customHeight="1">
      <c r="A581" s="1"/>
      <c r="B581" s="69"/>
      <c r="D581" s="70"/>
      <c r="E581" s="71"/>
      <c r="F581" s="72"/>
      <c r="G581" s="75"/>
      <c r="H581" s="73"/>
      <c r="I581" s="51">
        <f t="shared" si="1"/>
        <v>0</v>
      </c>
      <c r="J581" s="76"/>
      <c r="K581" s="51">
        <f t="shared" si="2"/>
        <v>0</v>
      </c>
      <c r="L581" s="51">
        <f t="shared" si="5"/>
        <v>0</v>
      </c>
      <c r="M581" s="51">
        <f t="shared" si="4"/>
        <v>0</v>
      </c>
      <c r="N581" s="67"/>
    </row>
    <row r="582" ht="15.75" customHeight="1">
      <c r="A582" s="1"/>
      <c r="B582" s="69"/>
      <c r="D582" s="70"/>
      <c r="E582" s="71"/>
      <c r="F582" s="72"/>
      <c r="G582" s="75"/>
      <c r="H582" s="73"/>
      <c r="I582" s="51">
        <f t="shared" si="1"/>
        <v>0</v>
      </c>
      <c r="J582" s="76"/>
      <c r="K582" s="51">
        <f t="shared" si="2"/>
        <v>0</v>
      </c>
      <c r="L582" s="51">
        <f t="shared" si="5"/>
        <v>0</v>
      </c>
      <c r="M582" s="51">
        <f t="shared" si="4"/>
        <v>0</v>
      </c>
      <c r="N582" s="67"/>
    </row>
    <row r="583" ht="15.75" customHeight="1">
      <c r="A583" s="1"/>
      <c r="B583" s="69"/>
      <c r="D583" s="70"/>
      <c r="E583" s="71"/>
      <c r="F583" s="72"/>
      <c r="G583" s="75"/>
      <c r="H583" s="73"/>
      <c r="I583" s="51">
        <f t="shared" si="1"/>
        <v>0</v>
      </c>
      <c r="J583" s="76"/>
      <c r="K583" s="51">
        <f t="shared" si="2"/>
        <v>0</v>
      </c>
      <c r="L583" s="51">
        <f t="shared" si="5"/>
        <v>0</v>
      </c>
      <c r="M583" s="51">
        <f t="shared" si="4"/>
        <v>0</v>
      </c>
      <c r="N583" s="67"/>
    </row>
    <row r="584" ht="15.75" customHeight="1">
      <c r="A584" s="1"/>
      <c r="B584" s="69"/>
      <c r="D584" s="70"/>
      <c r="E584" s="71"/>
      <c r="F584" s="72"/>
      <c r="G584" s="75"/>
      <c r="H584" s="73"/>
      <c r="I584" s="51">
        <f t="shared" si="1"/>
        <v>0</v>
      </c>
      <c r="J584" s="76"/>
      <c r="K584" s="51">
        <f t="shared" si="2"/>
        <v>0</v>
      </c>
      <c r="L584" s="51">
        <f t="shared" si="5"/>
        <v>0</v>
      </c>
      <c r="M584" s="51">
        <f t="shared" si="4"/>
        <v>0</v>
      </c>
      <c r="N584" s="67"/>
    </row>
    <row r="585" ht="15.75" customHeight="1">
      <c r="A585" s="1"/>
      <c r="B585" s="69"/>
      <c r="D585" s="70"/>
      <c r="E585" s="71"/>
      <c r="F585" s="72"/>
      <c r="G585" s="75"/>
      <c r="H585" s="73"/>
      <c r="I585" s="51">
        <f t="shared" si="1"/>
        <v>0</v>
      </c>
      <c r="J585" s="76"/>
      <c r="K585" s="51">
        <f t="shared" si="2"/>
        <v>0</v>
      </c>
      <c r="L585" s="51">
        <f t="shared" si="5"/>
        <v>0</v>
      </c>
      <c r="M585" s="51">
        <f t="shared" si="4"/>
        <v>0</v>
      </c>
      <c r="N585" s="67"/>
    </row>
    <row r="586" ht="15.75" customHeight="1">
      <c r="A586" s="1"/>
      <c r="B586" s="69"/>
      <c r="D586" s="70"/>
      <c r="E586" s="71"/>
      <c r="F586" s="72"/>
      <c r="G586" s="75"/>
      <c r="H586" s="73"/>
      <c r="I586" s="51">
        <f t="shared" si="1"/>
        <v>0</v>
      </c>
      <c r="J586" s="76"/>
      <c r="K586" s="51">
        <f t="shared" si="2"/>
        <v>0</v>
      </c>
      <c r="L586" s="51">
        <f t="shared" si="5"/>
        <v>0</v>
      </c>
      <c r="M586" s="51">
        <f t="shared" si="4"/>
        <v>0</v>
      </c>
      <c r="N586" s="67"/>
    </row>
    <row r="587" ht="15.75" customHeight="1">
      <c r="A587" s="1"/>
      <c r="B587" s="69"/>
      <c r="D587" s="70"/>
      <c r="E587" s="71"/>
      <c r="F587" s="72"/>
      <c r="G587" s="75"/>
      <c r="H587" s="73"/>
      <c r="I587" s="51">
        <f t="shared" si="1"/>
        <v>0</v>
      </c>
      <c r="J587" s="76"/>
      <c r="K587" s="51">
        <f t="shared" si="2"/>
        <v>0</v>
      </c>
      <c r="L587" s="51">
        <f t="shared" si="5"/>
        <v>0</v>
      </c>
      <c r="M587" s="51">
        <f t="shared" si="4"/>
        <v>0</v>
      </c>
      <c r="N587" s="67"/>
    </row>
    <row r="588" ht="15.75" customHeight="1">
      <c r="A588" s="1"/>
      <c r="B588" s="69"/>
      <c r="D588" s="70"/>
      <c r="E588" s="71"/>
      <c r="F588" s="72"/>
      <c r="G588" s="75"/>
      <c r="H588" s="73"/>
      <c r="I588" s="51">
        <f t="shared" si="1"/>
        <v>0</v>
      </c>
      <c r="J588" s="76"/>
      <c r="K588" s="51">
        <f t="shared" si="2"/>
        <v>0</v>
      </c>
      <c r="L588" s="51">
        <f t="shared" si="5"/>
        <v>0</v>
      </c>
      <c r="M588" s="51">
        <f t="shared" si="4"/>
        <v>0</v>
      </c>
      <c r="N588" s="67"/>
    </row>
    <row r="589" ht="15.75" customHeight="1">
      <c r="A589" s="1"/>
      <c r="B589" s="69"/>
      <c r="D589" s="70"/>
      <c r="E589" s="71"/>
      <c r="F589" s="72"/>
      <c r="G589" s="75"/>
      <c r="H589" s="73"/>
      <c r="I589" s="51">
        <f t="shared" si="1"/>
        <v>0</v>
      </c>
      <c r="J589" s="76"/>
      <c r="K589" s="51">
        <f t="shared" si="2"/>
        <v>0</v>
      </c>
      <c r="L589" s="51">
        <f t="shared" si="5"/>
        <v>0</v>
      </c>
      <c r="M589" s="51">
        <f t="shared" si="4"/>
        <v>0</v>
      </c>
      <c r="N589" s="67"/>
    </row>
    <row r="590" ht="15.75" customHeight="1">
      <c r="A590" s="1"/>
      <c r="B590" s="69"/>
      <c r="D590" s="70"/>
      <c r="E590" s="71"/>
      <c r="F590" s="72"/>
      <c r="G590" s="75"/>
      <c r="H590" s="73"/>
      <c r="I590" s="51">
        <f t="shared" si="1"/>
        <v>0</v>
      </c>
      <c r="J590" s="76"/>
      <c r="K590" s="51">
        <f t="shared" si="2"/>
        <v>0</v>
      </c>
      <c r="L590" s="51">
        <f t="shared" si="5"/>
        <v>0</v>
      </c>
      <c r="M590" s="51">
        <f t="shared" si="4"/>
        <v>0</v>
      </c>
      <c r="N590" s="67"/>
    </row>
    <row r="591" ht="15.75" customHeight="1">
      <c r="A591" s="1"/>
      <c r="B591" s="69"/>
      <c r="D591" s="70"/>
      <c r="E591" s="71"/>
      <c r="F591" s="72"/>
      <c r="G591" s="75"/>
      <c r="H591" s="73"/>
      <c r="I591" s="51">
        <f t="shared" si="1"/>
        <v>0</v>
      </c>
      <c r="J591" s="76"/>
      <c r="K591" s="51">
        <f t="shared" si="2"/>
        <v>0</v>
      </c>
      <c r="L591" s="51">
        <f t="shared" si="5"/>
        <v>0</v>
      </c>
      <c r="M591" s="51">
        <f t="shared" si="4"/>
        <v>0</v>
      </c>
      <c r="N591" s="67"/>
    </row>
    <row r="592" ht="15.75" customHeight="1">
      <c r="A592" s="1"/>
      <c r="B592" s="69"/>
      <c r="D592" s="70"/>
      <c r="E592" s="71"/>
      <c r="F592" s="72"/>
      <c r="G592" s="75"/>
      <c r="H592" s="73"/>
      <c r="I592" s="51">
        <f t="shared" si="1"/>
        <v>0</v>
      </c>
      <c r="J592" s="76"/>
      <c r="K592" s="51">
        <f t="shared" si="2"/>
        <v>0</v>
      </c>
      <c r="L592" s="51">
        <f t="shared" si="5"/>
        <v>0</v>
      </c>
      <c r="M592" s="51">
        <f t="shared" si="4"/>
        <v>0</v>
      </c>
      <c r="N592" s="67"/>
    </row>
    <row r="593" ht="15.75" customHeight="1">
      <c r="A593" s="1"/>
      <c r="B593" s="69"/>
      <c r="D593" s="70"/>
      <c r="E593" s="71"/>
      <c r="F593" s="72"/>
      <c r="G593" s="75"/>
      <c r="H593" s="73"/>
      <c r="I593" s="51">
        <f t="shared" si="1"/>
        <v>0</v>
      </c>
      <c r="J593" s="76"/>
      <c r="K593" s="51">
        <f t="shared" si="2"/>
        <v>0</v>
      </c>
      <c r="L593" s="51">
        <f t="shared" si="5"/>
        <v>0</v>
      </c>
      <c r="M593" s="51">
        <f t="shared" si="4"/>
        <v>0</v>
      </c>
      <c r="N593" s="67"/>
    </row>
    <row r="594" ht="15.75" customHeight="1">
      <c r="A594" s="1"/>
      <c r="B594" s="69"/>
      <c r="D594" s="70"/>
      <c r="E594" s="71"/>
      <c r="F594" s="72"/>
      <c r="G594" s="75"/>
      <c r="H594" s="73"/>
      <c r="I594" s="51">
        <f t="shared" si="1"/>
        <v>0</v>
      </c>
      <c r="J594" s="76"/>
      <c r="K594" s="51">
        <f t="shared" si="2"/>
        <v>0</v>
      </c>
      <c r="L594" s="51">
        <f t="shared" si="5"/>
        <v>0</v>
      </c>
      <c r="M594" s="51">
        <f t="shared" si="4"/>
        <v>0</v>
      </c>
      <c r="N594" s="67"/>
    </row>
    <row r="595" ht="15.75" customHeight="1">
      <c r="A595" s="1"/>
      <c r="B595" s="69"/>
      <c r="D595" s="70"/>
      <c r="E595" s="71"/>
      <c r="F595" s="72"/>
      <c r="G595" s="75"/>
      <c r="H595" s="73"/>
      <c r="I595" s="51">
        <f t="shared" si="1"/>
        <v>0</v>
      </c>
      <c r="J595" s="76"/>
      <c r="K595" s="51">
        <f t="shared" si="2"/>
        <v>0</v>
      </c>
      <c r="L595" s="51">
        <f t="shared" si="5"/>
        <v>0</v>
      </c>
      <c r="M595" s="51">
        <f t="shared" si="4"/>
        <v>0</v>
      </c>
      <c r="N595" s="67"/>
    </row>
    <row r="596" ht="15.75" customHeight="1">
      <c r="A596" s="1"/>
      <c r="B596" s="69"/>
      <c r="D596" s="70"/>
      <c r="E596" s="71"/>
      <c r="F596" s="72"/>
      <c r="G596" s="75"/>
      <c r="H596" s="73"/>
      <c r="I596" s="51">
        <f t="shared" si="1"/>
        <v>0</v>
      </c>
      <c r="J596" s="76"/>
      <c r="K596" s="51">
        <f t="shared" si="2"/>
        <v>0</v>
      </c>
      <c r="L596" s="51">
        <f t="shared" si="5"/>
        <v>0</v>
      </c>
      <c r="M596" s="51">
        <f t="shared" si="4"/>
        <v>0</v>
      </c>
      <c r="N596" s="67"/>
    </row>
    <row r="597" ht="15.75" customHeight="1">
      <c r="A597" s="1"/>
      <c r="B597" s="69"/>
      <c r="D597" s="70"/>
      <c r="E597" s="71"/>
      <c r="F597" s="72"/>
      <c r="G597" s="75"/>
      <c r="H597" s="73"/>
      <c r="I597" s="51">
        <f t="shared" si="1"/>
        <v>0</v>
      </c>
      <c r="J597" s="76"/>
      <c r="K597" s="51">
        <f t="shared" si="2"/>
        <v>0</v>
      </c>
      <c r="L597" s="51">
        <f t="shared" si="5"/>
        <v>0</v>
      </c>
      <c r="M597" s="51">
        <f t="shared" si="4"/>
        <v>0</v>
      </c>
      <c r="N597" s="67"/>
    </row>
    <row r="598" ht="15.75" customHeight="1">
      <c r="A598" s="1"/>
      <c r="B598" s="69"/>
      <c r="D598" s="70"/>
      <c r="E598" s="71"/>
      <c r="F598" s="72"/>
      <c r="G598" s="75"/>
      <c r="H598" s="73"/>
      <c r="I598" s="51">
        <f t="shared" si="1"/>
        <v>0</v>
      </c>
      <c r="J598" s="76"/>
      <c r="K598" s="51">
        <f t="shared" si="2"/>
        <v>0</v>
      </c>
      <c r="L598" s="51">
        <f t="shared" si="5"/>
        <v>0</v>
      </c>
      <c r="M598" s="51">
        <f t="shared" si="4"/>
        <v>0</v>
      </c>
      <c r="N598" s="67"/>
    </row>
    <row r="599" ht="15.75" customHeight="1">
      <c r="A599" s="1"/>
      <c r="B599" s="69"/>
      <c r="D599" s="70"/>
      <c r="E599" s="71"/>
      <c r="F599" s="72"/>
      <c r="G599" s="75"/>
      <c r="H599" s="73"/>
      <c r="I599" s="51">
        <f t="shared" si="1"/>
        <v>0</v>
      </c>
      <c r="J599" s="76"/>
      <c r="K599" s="51">
        <f t="shared" si="2"/>
        <v>0</v>
      </c>
      <c r="L599" s="51">
        <f t="shared" si="5"/>
        <v>0</v>
      </c>
      <c r="M599" s="51">
        <f t="shared" si="4"/>
        <v>0</v>
      </c>
      <c r="N599" s="67"/>
    </row>
    <row r="600" ht="15.75" customHeight="1">
      <c r="A600" s="1"/>
      <c r="B600" s="69"/>
      <c r="D600" s="70"/>
      <c r="E600" s="71"/>
      <c r="F600" s="72"/>
      <c r="G600" s="75"/>
      <c r="H600" s="73"/>
      <c r="I600" s="51">
        <f t="shared" si="1"/>
        <v>0</v>
      </c>
      <c r="J600" s="76"/>
      <c r="K600" s="51">
        <f t="shared" si="2"/>
        <v>0</v>
      </c>
      <c r="L600" s="51">
        <f t="shared" si="5"/>
        <v>0</v>
      </c>
      <c r="M600" s="51">
        <f t="shared" si="4"/>
        <v>0</v>
      </c>
      <c r="N600" s="67"/>
    </row>
    <row r="601" ht="15.75" customHeight="1">
      <c r="A601" s="1"/>
      <c r="B601" s="69"/>
      <c r="D601" s="70"/>
      <c r="E601" s="71"/>
      <c r="F601" s="72"/>
      <c r="G601" s="75"/>
      <c r="H601" s="73"/>
      <c r="I601" s="51">
        <f t="shared" si="1"/>
        <v>0</v>
      </c>
      <c r="J601" s="76"/>
      <c r="K601" s="51">
        <f t="shared" si="2"/>
        <v>0</v>
      </c>
      <c r="L601" s="51">
        <f t="shared" si="5"/>
        <v>0</v>
      </c>
      <c r="M601" s="51">
        <f t="shared" si="4"/>
        <v>0</v>
      </c>
      <c r="N601" s="67"/>
    </row>
    <row r="602" ht="15.75" customHeight="1">
      <c r="A602" s="1"/>
      <c r="B602" s="69"/>
      <c r="D602" s="70"/>
      <c r="E602" s="71"/>
      <c r="F602" s="72"/>
      <c r="G602" s="75"/>
      <c r="H602" s="73"/>
      <c r="I602" s="51">
        <f t="shared" si="1"/>
        <v>0</v>
      </c>
      <c r="J602" s="76"/>
      <c r="K602" s="51">
        <f t="shared" si="2"/>
        <v>0</v>
      </c>
      <c r="L602" s="51">
        <f t="shared" si="5"/>
        <v>0</v>
      </c>
      <c r="M602" s="51">
        <f t="shared" si="4"/>
        <v>0</v>
      </c>
      <c r="N602" s="67"/>
    </row>
    <row r="603" ht="15.75" customHeight="1">
      <c r="A603" s="1"/>
      <c r="B603" s="69"/>
      <c r="D603" s="70"/>
      <c r="E603" s="71"/>
      <c r="F603" s="72"/>
      <c r="G603" s="75"/>
      <c r="H603" s="73"/>
      <c r="I603" s="51">
        <f t="shared" si="1"/>
        <v>0</v>
      </c>
      <c r="J603" s="76"/>
      <c r="K603" s="51">
        <f t="shared" si="2"/>
        <v>0</v>
      </c>
      <c r="L603" s="51">
        <f t="shared" si="5"/>
        <v>0</v>
      </c>
      <c r="M603" s="51">
        <f t="shared" si="4"/>
        <v>0</v>
      </c>
      <c r="N603" s="67"/>
    </row>
    <row r="604" ht="15.75" customHeight="1">
      <c r="A604" s="1"/>
      <c r="B604" s="69"/>
      <c r="D604" s="70"/>
      <c r="E604" s="71"/>
      <c r="F604" s="72"/>
      <c r="G604" s="75"/>
      <c r="H604" s="73"/>
      <c r="I604" s="51">
        <f t="shared" si="1"/>
        <v>0</v>
      </c>
      <c r="J604" s="76"/>
      <c r="K604" s="51">
        <f t="shared" si="2"/>
        <v>0</v>
      </c>
      <c r="L604" s="51">
        <f t="shared" si="5"/>
        <v>0</v>
      </c>
      <c r="M604" s="51">
        <f t="shared" si="4"/>
        <v>0</v>
      </c>
      <c r="N604" s="67"/>
    </row>
    <row r="605" ht="15.75" customHeight="1">
      <c r="A605" s="1"/>
      <c r="B605" s="69"/>
      <c r="D605" s="70"/>
      <c r="E605" s="71"/>
      <c r="F605" s="72"/>
      <c r="G605" s="75"/>
      <c r="H605" s="73"/>
      <c r="I605" s="51">
        <f t="shared" si="1"/>
        <v>0</v>
      </c>
      <c r="J605" s="76"/>
      <c r="K605" s="51">
        <f t="shared" si="2"/>
        <v>0</v>
      </c>
      <c r="L605" s="51">
        <f t="shared" si="5"/>
        <v>0</v>
      </c>
      <c r="M605" s="51">
        <f t="shared" si="4"/>
        <v>0</v>
      </c>
      <c r="N605" s="67"/>
    </row>
    <row r="606" ht="15.75" customHeight="1">
      <c r="A606" s="1"/>
      <c r="B606" s="69"/>
      <c r="D606" s="70"/>
      <c r="E606" s="71"/>
      <c r="F606" s="72"/>
      <c r="G606" s="75"/>
      <c r="H606" s="73"/>
      <c r="I606" s="51">
        <f t="shared" si="1"/>
        <v>0</v>
      </c>
      <c r="J606" s="76"/>
      <c r="K606" s="51">
        <f t="shared" si="2"/>
        <v>0</v>
      </c>
      <c r="L606" s="51">
        <f t="shared" si="5"/>
        <v>0</v>
      </c>
      <c r="M606" s="51">
        <f t="shared" si="4"/>
        <v>0</v>
      </c>
      <c r="N606" s="67"/>
    </row>
    <row r="607" ht="15.75" customHeight="1">
      <c r="A607" s="1"/>
      <c r="B607" s="69"/>
      <c r="D607" s="70"/>
      <c r="E607" s="71"/>
      <c r="F607" s="72"/>
      <c r="G607" s="75"/>
      <c r="H607" s="73"/>
      <c r="I607" s="51">
        <f t="shared" si="1"/>
        <v>0</v>
      </c>
      <c r="J607" s="76"/>
      <c r="K607" s="51">
        <f t="shared" si="2"/>
        <v>0</v>
      </c>
      <c r="L607" s="51">
        <f t="shared" si="5"/>
        <v>0</v>
      </c>
      <c r="M607" s="51">
        <f t="shared" si="4"/>
        <v>0</v>
      </c>
      <c r="N607" s="67"/>
    </row>
    <row r="608" ht="15.75" customHeight="1">
      <c r="A608" s="1"/>
      <c r="B608" s="69"/>
      <c r="D608" s="70"/>
      <c r="E608" s="71"/>
      <c r="F608" s="72"/>
      <c r="G608" s="75"/>
      <c r="H608" s="73"/>
      <c r="I608" s="51">
        <f t="shared" si="1"/>
        <v>0</v>
      </c>
      <c r="J608" s="76"/>
      <c r="K608" s="51">
        <f t="shared" si="2"/>
        <v>0</v>
      </c>
      <c r="L608" s="51">
        <f t="shared" si="5"/>
        <v>0</v>
      </c>
      <c r="M608" s="51">
        <f t="shared" si="4"/>
        <v>0</v>
      </c>
      <c r="N608" s="67"/>
    </row>
    <row r="609" ht="15.75" customHeight="1">
      <c r="A609" s="1"/>
      <c r="B609" s="69"/>
      <c r="D609" s="70"/>
      <c r="E609" s="71"/>
      <c r="F609" s="72"/>
      <c r="G609" s="75"/>
      <c r="H609" s="73"/>
      <c r="I609" s="51">
        <f t="shared" si="1"/>
        <v>0</v>
      </c>
      <c r="J609" s="76"/>
      <c r="K609" s="51">
        <f t="shared" si="2"/>
        <v>0</v>
      </c>
      <c r="L609" s="51">
        <f t="shared" si="5"/>
        <v>0</v>
      </c>
      <c r="M609" s="51">
        <f t="shared" si="4"/>
        <v>0</v>
      </c>
      <c r="N609" s="67"/>
    </row>
    <row r="610" ht="15.75" customHeight="1">
      <c r="A610" s="1"/>
      <c r="B610" s="69"/>
      <c r="D610" s="70"/>
      <c r="E610" s="71"/>
      <c r="F610" s="72"/>
      <c r="G610" s="75"/>
      <c r="H610" s="73"/>
      <c r="I610" s="51">
        <f t="shared" si="1"/>
        <v>0</v>
      </c>
      <c r="J610" s="76"/>
      <c r="K610" s="51">
        <f t="shared" si="2"/>
        <v>0</v>
      </c>
      <c r="L610" s="51">
        <f t="shared" si="5"/>
        <v>0</v>
      </c>
      <c r="M610" s="51">
        <f t="shared" si="4"/>
        <v>0</v>
      </c>
      <c r="N610" s="67"/>
    </row>
    <row r="611" ht="15.75" customHeight="1">
      <c r="A611" s="1"/>
      <c r="B611" s="69"/>
      <c r="D611" s="70"/>
      <c r="E611" s="71"/>
      <c r="F611" s="72"/>
      <c r="G611" s="75"/>
      <c r="H611" s="73"/>
      <c r="I611" s="51">
        <f t="shared" si="1"/>
        <v>0</v>
      </c>
      <c r="J611" s="76"/>
      <c r="K611" s="51">
        <f t="shared" si="2"/>
        <v>0</v>
      </c>
      <c r="L611" s="51">
        <f t="shared" si="5"/>
        <v>0</v>
      </c>
      <c r="M611" s="51">
        <f t="shared" si="4"/>
        <v>0</v>
      </c>
      <c r="N611" s="67"/>
    </row>
    <row r="612" ht="15.75" customHeight="1">
      <c r="A612" s="1"/>
      <c r="B612" s="69"/>
      <c r="D612" s="70"/>
      <c r="E612" s="71"/>
      <c r="F612" s="72"/>
      <c r="G612" s="75"/>
      <c r="H612" s="73"/>
      <c r="I612" s="51">
        <f t="shared" si="1"/>
        <v>0</v>
      </c>
      <c r="J612" s="76"/>
      <c r="K612" s="51">
        <f t="shared" si="2"/>
        <v>0</v>
      </c>
      <c r="L612" s="51">
        <f t="shared" si="5"/>
        <v>0</v>
      </c>
      <c r="M612" s="51">
        <f t="shared" si="4"/>
        <v>0</v>
      </c>
      <c r="N612" s="67"/>
    </row>
    <row r="613" ht="15.75" customHeight="1">
      <c r="A613" s="1"/>
      <c r="B613" s="69"/>
      <c r="D613" s="70"/>
      <c r="E613" s="71"/>
      <c r="F613" s="72"/>
      <c r="G613" s="75"/>
      <c r="H613" s="73"/>
      <c r="I613" s="51">
        <f t="shared" si="1"/>
        <v>0</v>
      </c>
      <c r="J613" s="76"/>
      <c r="K613" s="51">
        <f t="shared" si="2"/>
        <v>0</v>
      </c>
      <c r="L613" s="51">
        <f t="shared" si="5"/>
        <v>0</v>
      </c>
      <c r="M613" s="51">
        <f t="shared" si="4"/>
        <v>0</v>
      </c>
      <c r="N613" s="67"/>
    </row>
    <row r="614" ht="15.75" customHeight="1">
      <c r="A614" s="1"/>
      <c r="B614" s="69"/>
      <c r="D614" s="70"/>
      <c r="E614" s="71"/>
      <c r="F614" s="72"/>
      <c r="G614" s="75"/>
      <c r="H614" s="73"/>
      <c r="I614" s="51">
        <f t="shared" si="1"/>
        <v>0</v>
      </c>
      <c r="J614" s="76"/>
      <c r="K614" s="51">
        <f t="shared" si="2"/>
        <v>0</v>
      </c>
      <c r="L614" s="51">
        <f t="shared" si="5"/>
        <v>0</v>
      </c>
      <c r="M614" s="51">
        <f t="shared" si="4"/>
        <v>0</v>
      </c>
      <c r="N614" s="67"/>
    </row>
    <row r="615" ht="15.75" customHeight="1">
      <c r="A615" s="1"/>
      <c r="B615" s="69"/>
      <c r="D615" s="70"/>
      <c r="E615" s="71"/>
      <c r="F615" s="72"/>
      <c r="G615" s="75"/>
      <c r="H615" s="73"/>
      <c r="I615" s="51">
        <f t="shared" si="1"/>
        <v>0</v>
      </c>
      <c r="J615" s="76"/>
      <c r="K615" s="51">
        <f t="shared" si="2"/>
        <v>0</v>
      </c>
      <c r="L615" s="51">
        <f t="shared" si="5"/>
        <v>0</v>
      </c>
      <c r="M615" s="51">
        <f t="shared" si="4"/>
        <v>0</v>
      </c>
      <c r="N615" s="67"/>
    </row>
    <row r="616" ht="15.75" customHeight="1">
      <c r="A616" s="1"/>
      <c r="B616" s="69"/>
      <c r="D616" s="70"/>
      <c r="E616" s="71"/>
      <c r="F616" s="72"/>
      <c r="G616" s="75"/>
      <c r="H616" s="73"/>
      <c r="I616" s="51">
        <f t="shared" si="1"/>
        <v>0</v>
      </c>
      <c r="J616" s="76"/>
      <c r="K616" s="51">
        <f t="shared" si="2"/>
        <v>0</v>
      </c>
      <c r="L616" s="51">
        <f t="shared" si="5"/>
        <v>0</v>
      </c>
      <c r="M616" s="51">
        <f t="shared" si="4"/>
        <v>0</v>
      </c>
      <c r="N616" s="67"/>
    </row>
    <row r="617" ht="15.75" customHeight="1">
      <c r="A617" s="1"/>
      <c r="B617" s="69"/>
      <c r="D617" s="70"/>
      <c r="E617" s="71"/>
      <c r="F617" s="72"/>
      <c r="G617" s="75"/>
      <c r="H617" s="73"/>
      <c r="I617" s="51">
        <f t="shared" si="1"/>
        <v>0</v>
      </c>
      <c r="J617" s="76"/>
      <c r="K617" s="51">
        <f t="shared" si="2"/>
        <v>0</v>
      </c>
      <c r="L617" s="51">
        <f t="shared" si="5"/>
        <v>0</v>
      </c>
      <c r="M617" s="51">
        <f t="shared" si="4"/>
        <v>0</v>
      </c>
      <c r="N617" s="67"/>
    </row>
    <row r="618" ht="15.75" customHeight="1">
      <c r="A618" s="1"/>
      <c r="B618" s="69"/>
      <c r="D618" s="70"/>
      <c r="E618" s="71"/>
      <c r="F618" s="72"/>
      <c r="G618" s="75"/>
      <c r="H618" s="73"/>
      <c r="I618" s="51">
        <f t="shared" si="1"/>
        <v>0</v>
      </c>
      <c r="J618" s="76"/>
      <c r="K618" s="51">
        <f t="shared" si="2"/>
        <v>0</v>
      </c>
      <c r="L618" s="51">
        <f t="shared" si="5"/>
        <v>0</v>
      </c>
      <c r="M618" s="51">
        <f t="shared" si="4"/>
        <v>0</v>
      </c>
      <c r="N618" s="67"/>
    </row>
    <row r="619" ht="15.75" customHeight="1">
      <c r="A619" s="1"/>
      <c r="B619" s="69"/>
      <c r="D619" s="70"/>
      <c r="E619" s="71"/>
      <c r="F619" s="72"/>
      <c r="G619" s="75"/>
      <c r="H619" s="73"/>
      <c r="I619" s="51">
        <f t="shared" si="1"/>
        <v>0</v>
      </c>
      <c r="J619" s="76"/>
      <c r="K619" s="51">
        <f t="shared" si="2"/>
        <v>0</v>
      </c>
      <c r="L619" s="51">
        <f t="shared" si="5"/>
        <v>0</v>
      </c>
      <c r="M619" s="51">
        <f t="shared" si="4"/>
        <v>0</v>
      </c>
      <c r="N619" s="67"/>
    </row>
    <row r="620" ht="15.75" customHeight="1">
      <c r="A620" s="1"/>
      <c r="B620" s="69"/>
      <c r="D620" s="70"/>
      <c r="E620" s="71"/>
      <c r="F620" s="72"/>
      <c r="G620" s="75"/>
      <c r="H620" s="73"/>
      <c r="I620" s="51">
        <f t="shared" si="1"/>
        <v>0</v>
      </c>
      <c r="J620" s="76"/>
      <c r="K620" s="51">
        <f t="shared" si="2"/>
        <v>0</v>
      </c>
      <c r="L620" s="51">
        <f t="shared" si="5"/>
        <v>0</v>
      </c>
      <c r="M620" s="51">
        <f t="shared" si="4"/>
        <v>0</v>
      </c>
      <c r="N620" s="67"/>
    </row>
    <row r="621" ht="15.75" customHeight="1">
      <c r="A621" s="1"/>
      <c r="B621" s="69"/>
      <c r="D621" s="70"/>
      <c r="E621" s="71"/>
      <c r="F621" s="72"/>
      <c r="G621" s="75"/>
      <c r="H621" s="73"/>
      <c r="I621" s="51">
        <f t="shared" si="1"/>
        <v>0</v>
      </c>
      <c r="J621" s="76"/>
      <c r="K621" s="51">
        <f t="shared" si="2"/>
        <v>0</v>
      </c>
      <c r="L621" s="51">
        <f t="shared" si="5"/>
        <v>0</v>
      </c>
      <c r="M621" s="51">
        <f t="shared" si="4"/>
        <v>0</v>
      </c>
      <c r="N621" s="67"/>
    </row>
    <row r="622" ht="15.75" customHeight="1">
      <c r="A622" s="1"/>
      <c r="B622" s="69"/>
      <c r="D622" s="70"/>
      <c r="E622" s="71"/>
      <c r="F622" s="72"/>
      <c r="G622" s="75"/>
      <c r="H622" s="73"/>
      <c r="I622" s="51">
        <f t="shared" si="1"/>
        <v>0</v>
      </c>
      <c r="J622" s="76"/>
      <c r="K622" s="51">
        <f t="shared" si="2"/>
        <v>0</v>
      </c>
      <c r="L622" s="51">
        <f t="shared" si="5"/>
        <v>0</v>
      </c>
      <c r="M622" s="51">
        <f t="shared" si="4"/>
        <v>0</v>
      </c>
      <c r="N622" s="67"/>
    </row>
    <row r="623" ht="15.75" customHeight="1">
      <c r="A623" s="1"/>
      <c r="B623" s="69"/>
      <c r="D623" s="70"/>
      <c r="E623" s="71"/>
      <c r="F623" s="72"/>
      <c r="G623" s="75"/>
      <c r="H623" s="73"/>
      <c r="I623" s="51">
        <f t="shared" si="1"/>
        <v>0</v>
      </c>
      <c r="J623" s="76"/>
      <c r="K623" s="51">
        <f t="shared" si="2"/>
        <v>0</v>
      </c>
      <c r="L623" s="51">
        <f t="shared" si="5"/>
        <v>0</v>
      </c>
      <c r="M623" s="51">
        <f t="shared" si="4"/>
        <v>0</v>
      </c>
      <c r="N623" s="67"/>
    </row>
    <row r="624" ht="15.75" customHeight="1">
      <c r="A624" s="1"/>
      <c r="B624" s="69"/>
      <c r="D624" s="70"/>
      <c r="E624" s="71"/>
      <c r="F624" s="72"/>
      <c r="G624" s="75"/>
      <c r="H624" s="73"/>
      <c r="I624" s="51">
        <f t="shared" si="1"/>
        <v>0</v>
      </c>
      <c r="J624" s="76"/>
      <c r="K624" s="51">
        <f t="shared" si="2"/>
        <v>0</v>
      </c>
      <c r="L624" s="51">
        <f t="shared" si="5"/>
        <v>0</v>
      </c>
      <c r="M624" s="51">
        <f t="shared" si="4"/>
        <v>0</v>
      </c>
      <c r="N624" s="67"/>
    </row>
    <row r="625" ht="15.75" customHeight="1">
      <c r="A625" s="1"/>
      <c r="B625" s="69"/>
      <c r="D625" s="70"/>
      <c r="E625" s="71"/>
      <c r="F625" s="72"/>
      <c r="G625" s="75"/>
      <c r="H625" s="73"/>
      <c r="I625" s="51">
        <f t="shared" si="1"/>
        <v>0</v>
      </c>
      <c r="J625" s="76"/>
      <c r="K625" s="51">
        <f t="shared" si="2"/>
        <v>0</v>
      </c>
      <c r="L625" s="51">
        <f t="shared" si="5"/>
        <v>0</v>
      </c>
      <c r="M625" s="51">
        <f t="shared" si="4"/>
        <v>0</v>
      </c>
      <c r="N625" s="67"/>
    </row>
    <row r="626" ht="15.75" customHeight="1">
      <c r="A626" s="1"/>
      <c r="B626" s="69"/>
      <c r="D626" s="70"/>
      <c r="E626" s="71"/>
      <c r="F626" s="72"/>
      <c r="G626" s="75"/>
      <c r="H626" s="73"/>
      <c r="I626" s="51">
        <f t="shared" si="1"/>
        <v>0</v>
      </c>
      <c r="J626" s="76"/>
      <c r="K626" s="51">
        <f t="shared" si="2"/>
        <v>0</v>
      </c>
      <c r="L626" s="51">
        <f t="shared" si="5"/>
        <v>0</v>
      </c>
      <c r="M626" s="51">
        <f t="shared" si="4"/>
        <v>0</v>
      </c>
      <c r="N626" s="67"/>
    </row>
    <row r="627" ht="15.75" customHeight="1">
      <c r="A627" s="1"/>
      <c r="B627" s="69"/>
      <c r="D627" s="70"/>
      <c r="E627" s="71"/>
      <c r="F627" s="72"/>
      <c r="G627" s="75"/>
      <c r="H627" s="73"/>
      <c r="I627" s="51">
        <f t="shared" si="1"/>
        <v>0</v>
      </c>
      <c r="J627" s="76"/>
      <c r="K627" s="51">
        <f t="shared" si="2"/>
        <v>0</v>
      </c>
      <c r="L627" s="51">
        <f t="shared" si="5"/>
        <v>0</v>
      </c>
      <c r="M627" s="51">
        <f t="shared" si="4"/>
        <v>0</v>
      </c>
      <c r="N627" s="67"/>
    </row>
    <row r="628" ht="15.75" customHeight="1">
      <c r="A628" s="1"/>
      <c r="B628" s="69"/>
      <c r="D628" s="70"/>
      <c r="E628" s="71"/>
      <c r="F628" s="72"/>
      <c r="G628" s="75"/>
      <c r="H628" s="73"/>
      <c r="I628" s="51">
        <f t="shared" si="1"/>
        <v>0</v>
      </c>
      <c r="J628" s="76"/>
      <c r="K628" s="51">
        <f t="shared" si="2"/>
        <v>0</v>
      </c>
      <c r="L628" s="51">
        <f t="shared" si="5"/>
        <v>0</v>
      </c>
      <c r="M628" s="51">
        <f t="shared" si="4"/>
        <v>0</v>
      </c>
      <c r="N628" s="67"/>
    </row>
    <row r="629" ht="15.75" customHeight="1">
      <c r="A629" s="1"/>
      <c r="B629" s="69"/>
      <c r="D629" s="70"/>
      <c r="E629" s="71"/>
      <c r="F629" s="72"/>
      <c r="G629" s="75"/>
      <c r="H629" s="73"/>
      <c r="I629" s="51">
        <f t="shared" si="1"/>
        <v>0</v>
      </c>
      <c r="J629" s="76"/>
      <c r="K629" s="51">
        <f t="shared" si="2"/>
        <v>0</v>
      </c>
      <c r="L629" s="51">
        <f t="shared" si="5"/>
        <v>0</v>
      </c>
      <c r="M629" s="51">
        <f t="shared" si="4"/>
        <v>0</v>
      </c>
      <c r="N629" s="67"/>
    </row>
    <row r="630" ht="15.75" customHeight="1">
      <c r="A630" s="1"/>
      <c r="B630" s="69"/>
      <c r="D630" s="70"/>
      <c r="E630" s="71"/>
      <c r="F630" s="72"/>
      <c r="G630" s="75"/>
      <c r="H630" s="73"/>
      <c r="I630" s="51">
        <f t="shared" si="1"/>
        <v>0</v>
      </c>
      <c r="J630" s="76"/>
      <c r="K630" s="51">
        <f t="shared" si="2"/>
        <v>0</v>
      </c>
      <c r="L630" s="51">
        <f t="shared" si="5"/>
        <v>0</v>
      </c>
      <c r="M630" s="51">
        <f t="shared" si="4"/>
        <v>0</v>
      </c>
      <c r="N630" s="67"/>
    </row>
    <row r="631" ht="15.75" customHeight="1">
      <c r="A631" s="1"/>
      <c r="B631" s="69"/>
      <c r="D631" s="70"/>
      <c r="E631" s="71"/>
      <c r="F631" s="72"/>
      <c r="G631" s="75"/>
      <c r="H631" s="73"/>
      <c r="I631" s="51">
        <f t="shared" si="1"/>
        <v>0</v>
      </c>
      <c r="J631" s="76"/>
      <c r="K631" s="51">
        <f t="shared" si="2"/>
        <v>0</v>
      </c>
      <c r="L631" s="51">
        <f t="shared" si="5"/>
        <v>0</v>
      </c>
      <c r="M631" s="51">
        <f t="shared" si="4"/>
        <v>0</v>
      </c>
      <c r="N631" s="67"/>
    </row>
    <row r="632" ht="15.75" customHeight="1">
      <c r="A632" s="1"/>
      <c r="B632" s="69"/>
      <c r="D632" s="70"/>
      <c r="E632" s="71"/>
      <c r="F632" s="72"/>
      <c r="G632" s="75"/>
      <c r="H632" s="73"/>
      <c r="I632" s="51">
        <f t="shared" si="1"/>
        <v>0</v>
      </c>
      <c r="J632" s="76"/>
      <c r="K632" s="51">
        <f t="shared" si="2"/>
        <v>0</v>
      </c>
      <c r="L632" s="51">
        <f t="shared" si="5"/>
        <v>0</v>
      </c>
      <c r="M632" s="51">
        <f t="shared" si="4"/>
        <v>0</v>
      </c>
      <c r="N632" s="67"/>
    </row>
    <row r="633" ht="15.75" customHeight="1">
      <c r="A633" s="1"/>
      <c r="B633" s="69"/>
      <c r="D633" s="70"/>
      <c r="E633" s="71"/>
      <c r="F633" s="72"/>
      <c r="G633" s="75"/>
      <c r="H633" s="73"/>
      <c r="I633" s="51">
        <f t="shared" si="1"/>
        <v>0</v>
      </c>
      <c r="J633" s="76"/>
      <c r="K633" s="51">
        <f t="shared" si="2"/>
        <v>0</v>
      </c>
      <c r="L633" s="51">
        <f t="shared" si="5"/>
        <v>0</v>
      </c>
      <c r="M633" s="51">
        <f t="shared" si="4"/>
        <v>0</v>
      </c>
      <c r="N633" s="67"/>
    </row>
    <row r="634" ht="15.75" customHeight="1">
      <c r="A634" s="1"/>
      <c r="B634" s="69"/>
      <c r="D634" s="70"/>
      <c r="E634" s="71"/>
      <c r="F634" s="72"/>
      <c r="G634" s="75"/>
      <c r="H634" s="73"/>
      <c r="I634" s="51">
        <f t="shared" si="1"/>
        <v>0</v>
      </c>
      <c r="J634" s="76"/>
      <c r="K634" s="51">
        <f t="shared" si="2"/>
        <v>0</v>
      </c>
      <c r="L634" s="51">
        <f t="shared" si="5"/>
        <v>0</v>
      </c>
      <c r="M634" s="51">
        <f t="shared" si="4"/>
        <v>0</v>
      </c>
      <c r="N634" s="67"/>
    </row>
    <row r="635" ht="15.75" customHeight="1">
      <c r="A635" s="1"/>
      <c r="B635" s="69"/>
      <c r="D635" s="70"/>
      <c r="E635" s="71"/>
      <c r="F635" s="72"/>
      <c r="G635" s="75"/>
      <c r="H635" s="73"/>
      <c r="I635" s="51">
        <f t="shared" si="1"/>
        <v>0</v>
      </c>
      <c r="J635" s="76"/>
      <c r="K635" s="51">
        <f t="shared" si="2"/>
        <v>0</v>
      </c>
      <c r="L635" s="51">
        <f t="shared" si="5"/>
        <v>0</v>
      </c>
      <c r="M635" s="51">
        <f t="shared" si="4"/>
        <v>0</v>
      </c>
      <c r="N635" s="67"/>
    </row>
    <row r="636" ht="15.75" customHeight="1">
      <c r="A636" s="1"/>
      <c r="B636" s="69"/>
      <c r="D636" s="70"/>
      <c r="E636" s="71"/>
      <c r="F636" s="72"/>
      <c r="G636" s="75"/>
      <c r="H636" s="73"/>
      <c r="I636" s="51">
        <f t="shared" si="1"/>
        <v>0</v>
      </c>
      <c r="J636" s="76"/>
      <c r="K636" s="51">
        <f t="shared" si="2"/>
        <v>0</v>
      </c>
      <c r="L636" s="51">
        <f t="shared" si="5"/>
        <v>0</v>
      </c>
      <c r="M636" s="51">
        <f t="shared" si="4"/>
        <v>0</v>
      </c>
      <c r="N636" s="67"/>
    </row>
    <row r="637" ht="15.75" customHeight="1">
      <c r="A637" s="1"/>
      <c r="B637" s="69"/>
      <c r="D637" s="70"/>
      <c r="E637" s="71"/>
      <c r="F637" s="72"/>
      <c r="G637" s="75"/>
      <c r="H637" s="73"/>
      <c r="I637" s="51">
        <f t="shared" si="1"/>
        <v>0</v>
      </c>
      <c r="J637" s="76"/>
      <c r="K637" s="51">
        <f t="shared" si="2"/>
        <v>0</v>
      </c>
      <c r="L637" s="51">
        <f t="shared" si="5"/>
        <v>0</v>
      </c>
      <c r="M637" s="51">
        <f t="shared" si="4"/>
        <v>0</v>
      </c>
      <c r="N637" s="67"/>
    </row>
    <row r="638" ht="15.75" customHeight="1">
      <c r="A638" s="1"/>
      <c r="B638" s="69"/>
      <c r="D638" s="70"/>
      <c r="E638" s="71"/>
      <c r="F638" s="72"/>
      <c r="G638" s="75"/>
      <c r="H638" s="73"/>
      <c r="I638" s="51">
        <f t="shared" si="1"/>
        <v>0</v>
      </c>
      <c r="J638" s="76"/>
      <c r="K638" s="51">
        <f t="shared" si="2"/>
        <v>0</v>
      </c>
      <c r="L638" s="51">
        <f t="shared" si="5"/>
        <v>0</v>
      </c>
      <c r="M638" s="51">
        <f t="shared" si="4"/>
        <v>0</v>
      </c>
      <c r="N638" s="67"/>
    </row>
    <row r="639" ht="15.75" customHeight="1">
      <c r="A639" s="1"/>
      <c r="B639" s="69"/>
      <c r="D639" s="70"/>
      <c r="E639" s="71"/>
      <c r="F639" s="72"/>
      <c r="G639" s="75"/>
      <c r="H639" s="73"/>
      <c r="I639" s="51">
        <f t="shared" si="1"/>
        <v>0</v>
      </c>
      <c r="J639" s="76"/>
      <c r="K639" s="51">
        <f t="shared" si="2"/>
        <v>0</v>
      </c>
      <c r="L639" s="51">
        <f t="shared" si="5"/>
        <v>0</v>
      </c>
      <c r="M639" s="51">
        <f t="shared" si="4"/>
        <v>0</v>
      </c>
      <c r="N639" s="67"/>
    </row>
    <row r="640" ht="15.75" customHeight="1">
      <c r="A640" s="1"/>
      <c r="B640" s="69"/>
      <c r="D640" s="70"/>
      <c r="E640" s="71"/>
      <c r="F640" s="72"/>
      <c r="G640" s="75"/>
      <c r="H640" s="73"/>
      <c r="I640" s="51">
        <f t="shared" si="1"/>
        <v>0</v>
      </c>
      <c r="J640" s="76"/>
      <c r="K640" s="51">
        <f t="shared" si="2"/>
        <v>0</v>
      </c>
      <c r="L640" s="51">
        <f t="shared" si="5"/>
        <v>0</v>
      </c>
      <c r="M640" s="51">
        <f t="shared" si="4"/>
        <v>0</v>
      </c>
      <c r="N640" s="67"/>
    </row>
    <row r="641" ht="15.75" customHeight="1">
      <c r="A641" s="1"/>
      <c r="B641" s="69"/>
      <c r="D641" s="70"/>
      <c r="E641" s="71"/>
      <c r="F641" s="72"/>
      <c r="G641" s="75"/>
      <c r="H641" s="73"/>
      <c r="I641" s="51">
        <f t="shared" si="1"/>
        <v>0</v>
      </c>
      <c r="J641" s="76"/>
      <c r="K641" s="51">
        <f t="shared" si="2"/>
        <v>0</v>
      </c>
      <c r="L641" s="51">
        <f t="shared" si="5"/>
        <v>0</v>
      </c>
      <c r="M641" s="51">
        <f t="shared" si="4"/>
        <v>0</v>
      </c>
      <c r="N641" s="67"/>
    </row>
    <row r="642" ht="15.75" customHeight="1">
      <c r="A642" s="1"/>
      <c r="B642" s="69"/>
      <c r="D642" s="70"/>
      <c r="E642" s="71"/>
      <c r="F642" s="72"/>
      <c r="G642" s="75"/>
      <c r="H642" s="73"/>
      <c r="I642" s="51">
        <f t="shared" si="1"/>
        <v>0</v>
      </c>
      <c r="J642" s="76"/>
      <c r="K642" s="51">
        <f t="shared" si="2"/>
        <v>0</v>
      </c>
      <c r="L642" s="51">
        <f t="shared" si="5"/>
        <v>0</v>
      </c>
      <c r="M642" s="51">
        <f t="shared" si="4"/>
        <v>0</v>
      </c>
      <c r="N642" s="67"/>
    </row>
    <row r="643" ht="15.75" customHeight="1">
      <c r="A643" s="1"/>
      <c r="B643" s="69"/>
      <c r="D643" s="70"/>
      <c r="E643" s="71"/>
      <c r="F643" s="72"/>
      <c r="G643" s="75"/>
      <c r="H643" s="73"/>
      <c r="I643" s="51">
        <f t="shared" si="1"/>
        <v>0</v>
      </c>
      <c r="J643" s="76"/>
      <c r="K643" s="51">
        <f t="shared" si="2"/>
        <v>0</v>
      </c>
      <c r="L643" s="51">
        <f t="shared" si="5"/>
        <v>0</v>
      </c>
      <c r="M643" s="51">
        <f t="shared" si="4"/>
        <v>0</v>
      </c>
      <c r="N643" s="67"/>
    </row>
    <row r="644" ht="15.75" customHeight="1">
      <c r="A644" s="1"/>
      <c r="B644" s="69"/>
      <c r="D644" s="70"/>
      <c r="E644" s="71"/>
      <c r="F644" s="72"/>
      <c r="G644" s="75"/>
      <c r="H644" s="73"/>
      <c r="I644" s="51">
        <f t="shared" si="1"/>
        <v>0</v>
      </c>
      <c r="J644" s="76"/>
      <c r="K644" s="51">
        <f t="shared" si="2"/>
        <v>0</v>
      </c>
      <c r="L644" s="51">
        <f t="shared" si="5"/>
        <v>0</v>
      </c>
      <c r="M644" s="51">
        <f t="shared" si="4"/>
        <v>0</v>
      </c>
      <c r="N644" s="67"/>
    </row>
    <row r="645" ht="15.75" customHeight="1">
      <c r="A645" s="1"/>
      <c r="B645" s="69"/>
      <c r="D645" s="70"/>
      <c r="E645" s="71"/>
      <c r="F645" s="72"/>
      <c r="G645" s="75"/>
      <c r="H645" s="73"/>
      <c r="I645" s="51">
        <f t="shared" si="1"/>
        <v>0</v>
      </c>
      <c r="J645" s="76"/>
      <c r="K645" s="51">
        <f t="shared" si="2"/>
        <v>0</v>
      </c>
      <c r="L645" s="51">
        <f t="shared" si="5"/>
        <v>0</v>
      </c>
      <c r="M645" s="51">
        <f t="shared" si="4"/>
        <v>0</v>
      </c>
      <c r="N645" s="67"/>
    </row>
    <row r="646" ht="15.75" customHeight="1">
      <c r="A646" s="1"/>
      <c r="B646" s="69"/>
      <c r="D646" s="70"/>
      <c r="E646" s="71"/>
      <c r="F646" s="72"/>
      <c r="G646" s="75"/>
      <c r="H646" s="73"/>
      <c r="I646" s="51">
        <f t="shared" si="1"/>
        <v>0</v>
      </c>
      <c r="J646" s="76"/>
      <c r="K646" s="51">
        <f t="shared" si="2"/>
        <v>0</v>
      </c>
      <c r="L646" s="51">
        <f t="shared" si="5"/>
        <v>0</v>
      </c>
      <c r="M646" s="51">
        <f t="shared" si="4"/>
        <v>0</v>
      </c>
      <c r="N646" s="67"/>
    </row>
    <row r="647" ht="15.75" customHeight="1">
      <c r="A647" s="1"/>
      <c r="B647" s="69"/>
      <c r="D647" s="70"/>
      <c r="E647" s="71"/>
      <c r="F647" s="72"/>
      <c r="G647" s="75"/>
      <c r="H647" s="73"/>
      <c r="I647" s="51">
        <f t="shared" si="1"/>
        <v>0</v>
      </c>
      <c r="J647" s="76"/>
      <c r="K647" s="51">
        <f t="shared" si="2"/>
        <v>0</v>
      </c>
      <c r="L647" s="51">
        <f t="shared" si="5"/>
        <v>0</v>
      </c>
      <c r="M647" s="51">
        <f t="shared" si="4"/>
        <v>0</v>
      </c>
      <c r="N647" s="67"/>
    </row>
    <row r="648" ht="15.75" customHeight="1">
      <c r="A648" s="1"/>
      <c r="B648" s="69"/>
      <c r="D648" s="70"/>
      <c r="E648" s="71"/>
      <c r="F648" s="72"/>
      <c r="G648" s="75"/>
      <c r="H648" s="73"/>
      <c r="I648" s="51">
        <f t="shared" si="1"/>
        <v>0</v>
      </c>
      <c r="J648" s="76"/>
      <c r="K648" s="51">
        <f t="shared" si="2"/>
        <v>0</v>
      </c>
      <c r="L648" s="51">
        <f t="shared" si="5"/>
        <v>0</v>
      </c>
      <c r="M648" s="51">
        <f t="shared" si="4"/>
        <v>0</v>
      </c>
      <c r="N648" s="67"/>
    </row>
    <row r="649" ht="15.75" customHeight="1">
      <c r="A649" s="1"/>
      <c r="B649" s="69"/>
      <c r="D649" s="70"/>
      <c r="E649" s="71"/>
      <c r="F649" s="72"/>
      <c r="G649" s="75"/>
      <c r="H649" s="73"/>
      <c r="I649" s="51">
        <f t="shared" si="1"/>
        <v>0</v>
      </c>
      <c r="J649" s="76"/>
      <c r="K649" s="51">
        <f t="shared" si="2"/>
        <v>0</v>
      </c>
      <c r="L649" s="51">
        <f t="shared" si="5"/>
        <v>0</v>
      </c>
      <c r="M649" s="51">
        <f t="shared" si="4"/>
        <v>0</v>
      </c>
      <c r="N649" s="67"/>
    </row>
    <row r="650" ht="15.75" customHeight="1">
      <c r="A650" s="1"/>
      <c r="B650" s="69"/>
      <c r="D650" s="70"/>
      <c r="E650" s="71"/>
      <c r="F650" s="72"/>
      <c r="G650" s="75"/>
      <c r="H650" s="73"/>
      <c r="I650" s="51">
        <f t="shared" si="1"/>
        <v>0</v>
      </c>
      <c r="J650" s="76"/>
      <c r="K650" s="51">
        <f t="shared" si="2"/>
        <v>0</v>
      </c>
      <c r="L650" s="51">
        <f t="shared" si="5"/>
        <v>0</v>
      </c>
      <c r="M650" s="51">
        <f t="shared" si="4"/>
        <v>0</v>
      </c>
      <c r="N650" s="67"/>
    </row>
    <row r="651" ht="15.75" customHeight="1">
      <c r="A651" s="1"/>
      <c r="B651" s="69"/>
      <c r="D651" s="70"/>
      <c r="E651" s="71"/>
      <c r="F651" s="72"/>
      <c r="G651" s="75"/>
      <c r="H651" s="73"/>
      <c r="I651" s="51">
        <f t="shared" si="1"/>
        <v>0</v>
      </c>
      <c r="J651" s="76"/>
      <c r="K651" s="51">
        <f t="shared" si="2"/>
        <v>0</v>
      </c>
      <c r="L651" s="51">
        <f t="shared" si="5"/>
        <v>0</v>
      </c>
      <c r="M651" s="51">
        <f t="shared" si="4"/>
        <v>0</v>
      </c>
      <c r="N651" s="67"/>
    </row>
    <row r="652" ht="15.75" customHeight="1">
      <c r="A652" s="1"/>
      <c r="B652" s="69"/>
      <c r="D652" s="70"/>
      <c r="E652" s="71"/>
      <c r="F652" s="72"/>
      <c r="G652" s="75"/>
      <c r="H652" s="73"/>
      <c r="I652" s="51">
        <f t="shared" si="1"/>
        <v>0</v>
      </c>
      <c r="J652" s="76"/>
      <c r="K652" s="51">
        <f t="shared" si="2"/>
        <v>0</v>
      </c>
      <c r="L652" s="51">
        <f t="shared" si="5"/>
        <v>0</v>
      </c>
      <c r="M652" s="51">
        <f t="shared" si="4"/>
        <v>0</v>
      </c>
      <c r="N652" s="67"/>
    </row>
    <row r="653" ht="15.75" customHeight="1">
      <c r="A653" s="1"/>
      <c r="B653" s="69"/>
      <c r="D653" s="70"/>
      <c r="E653" s="71"/>
      <c r="F653" s="72"/>
      <c r="G653" s="75"/>
      <c r="H653" s="73"/>
      <c r="I653" s="51">
        <f t="shared" si="1"/>
        <v>0</v>
      </c>
      <c r="J653" s="76"/>
      <c r="K653" s="51">
        <f t="shared" si="2"/>
        <v>0</v>
      </c>
      <c r="L653" s="51">
        <f t="shared" si="5"/>
        <v>0</v>
      </c>
      <c r="M653" s="51">
        <f t="shared" si="4"/>
        <v>0</v>
      </c>
      <c r="N653" s="67"/>
    </row>
    <row r="654" ht="15.75" customHeight="1">
      <c r="A654" s="1"/>
      <c r="B654" s="69"/>
      <c r="D654" s="70"/>
      <c r="E654" s="71"/>
      <c r="F654" s="72"/>
      <c r="G654" s="75"/>
      <c r="H654" s="73"/>
      <c r="I654" s="51">
        <f t="shared" si="1"/>
        <v>0</v>
      </c>
      <c r="J654" s="76"/>
      <c r="K654" s="51">
        <f t="shared" si="2"/>
        <v>0</v>
      </c>
      <c r="L654" s="51">
        <f t="shared" si="5"/>
        <v>0</v>
      </c>
      <c r="M654" s="51">
        <f t="shared" si="4"/>
        <v>0</v>
      </c>
      <c r="N654" s="67"/>
    </row>
    <row r="655" ht="15.75" customHeight="1">
      <c r="A655" s="1"/>
      <c r="B655" s="69"/>
      <c r="D655" s="70"/>
      <c r="E655" s="71"/>
      <c r="F655" s="72"/>
      <c r="G655" s="75"/>
      <c r="H655" s="73"/>
      <c r="I655" s="51">
        <f t="shared" si="1"/>
        <v>0</v>
      </c>
      <c r="J655" s="76"/>
      <c r="K655" s="51">
        <f t="shared" si="2"/>
        <v>0</v>
      </c>
      <c r="L655" s="51">
        <f t="shared" si="5"/>
        <v>0</v>
      </c>
      <c r="M655" s="51">
        <f t="shared" si="4"/>
        <v>0</v>
      </c>
      <c r="N655" s="67"/>
    </row>
    <row r="656" ht="15.75" customHeight="1">
      <c r="A656" s="1"/>
      <c r="B656" s="69"/>
      <c r="D656" s="70"/>
      <c r="E656" s="71"/>
      <c r="F656" s="72"/>
      <c r="G656" s="75"/>
      <c r="H656" s="73"/>
      <c r="I656" s="51">
        <f t="shared" si="1"/>
        <v>0</v>
      </c>
      <c r="J656" s="76"/>
      <c r="K656" s="51">
        <f t="shared" si="2"/>
        <v>0</v>
      </c>
      <c r="L656" s="51">
        <f t="shared" si="5"/>
        <v>0</v>
      </c>
      <c r="M656" s="51">
        <f t="shared" si="4"/>
        <v>0</v>
      </c>
      <c r="N656" s="67"/>
    </row>
    <row r="657" ht="15.75" customHeight="1">
      <c r="A657" s="1"/>
      <c r="B657" s="69"/>
      <c r="D657" s="70"/>
      <c r="E657" s="71"/>
      <c r="F657" s="72"/>
      <c r="G657" s="75"/>
      <c r="H657" s="73"/>
      <c r="I657" s="51">
        <f t="shared" si="1"/>
        <v>0</v>
      </c>
      <c r="J657" s="76"/>
      <c r="K657" s="51">
        <f t="shared" si="2"/>
        <v>0</v>
      </c>
      <c r="L657" s="51">
        <f t="shared" si="5"/>
        <v>0</v>
      </c>
      <c r="M657" s="51">
        <f t="shared" si="4"/>
        <v>0</v>
      </c>
      <c r="N657" s="67"/>
    </row>
    <row r="658" ht="15.75" customHeight="1">
      <c r="A658" s="1"/>
      <c r="B658" s="69"/>
      <c r="D658" s="70"/>
      <c r="E658" s="71"/>
      <c r="F658" s="72"/>
      <c r="G658" s="75"/>
      <c r="H658" s="73"/>
      <c r="I658" s="51">
        <f t="shared" si="1"/>
        <v>0</v>
      </c>
      <c r="J658" s="76"/>
      <c r="K658" s="51">
        <f t="shared" si="2"/>
        <v>0</v>
      </c>
      <c r="L658" s="51">
        <f t="shared" si="5"/>
        <v>0</v>
      </c>
      <c r="M658" s="51">
        <f t="shared" si="4"/>
        <v>0</v>
      </c>
      <c r="N658" s="67"/>
    </row>
    <row r="659" ht="15.75" customHeight="1">
      <c r="A659" s="1"/>
      <c r="B659" s="69"/>
      <c r="D659" s="70"/>
      <c r="E659" s="71"/>
      <c r="F659" s="72"/>
      <c r="G659" s="75"/>
      <c r="H659" s="73"/>
      <c r="I659" s="51">
        <f t="shared" si="1"/>
        <v>0</v>
      </c>
      <c r="J659" s="76"/>
      <c r="K659" s="51">
        <f t="shared" si="2"/>
        <v>0</v>
      </c>
      <c r="L659" s="51">
        <f t="shared" si="5"/>
        <v>0</v>
      </c>
      <c r="M659" s="51">
        <f t="shared" si="4"/>
        <v>0</v>
      </c>
      <c r="N659" s="67"/>
    </row>
    <row r="660" ht="15.75" customHeight="1">
      <c r="A660" s="1"/>
      <c r="B660" s="69"/>
      <c r="D660" s="70"/>
      <c r="E660" s="71"/>
      <c r="F660" s="72"/>
      <c r="G660" s="75"/>
      <c r="H660" s="73"/>
      <c r="I660" s="51">
        <f t="shared" si="1"/>
        <v>0</v>
      </c>
      <c r="J660" s="76"/>
      <c r="K660" s="51">
        <f t="shared" si="2"/>
        <v>0</v>
      </c>
      <c r="L660" s="51">
        <f t="shared" si="5"/>
        <v>0</v>
      </c>
      <c r="M660" s="51">
        <f t="shared" si="4"/>
        <v>0</v>
      </c>
      <c r="N660" s="67"/>
    </row>
    <row r="661" ht="15.75" customHeight="1">
      <c r="A661" s="1"/>
      <c r="B661" s="69"/>
      <c r="D661" s="70"/>
      <c r="E661" s="71"/>
      <c r="F661" s="72"/>
      <c r="G661" s="75"/>
      <c r="H661" s="73"/>
      <c r="I661" s="51">
        <f t="shared" si="1"/>
        <v>0</v>
      </c>
      <c r="J661" s="76"/>
      <c r="K661" s="51">
        <f t="shared" si="2"/>
        <v>0</v>
      </c>
      <c r="L661" s="51">
        <f t="shared" si="5"/>
        <v>0</v>
      </c>
      <c r="M661" s="51">
        <f t="shared" si="4"/>
        <v>0</v>
      </c>
      <c r="N661" s="67"/>
    </row>
    <row r="662" ht="15.75" customHeight="1">
      <c r="A662" s="1"/>
      <c r="B662" s="69"/>
      <c r="D662" s="70"/>
      <c r="E662" s="71"/>
      <c r="F662" s="72"/>
      <c r="G662" s="75"/>
      <c r="H662" s="73"/>
      <c r="I662" s="51">
        <f t="shared" si="1"/>
        <v>0</v>
      </c>
      <c r="J662" s="76"/>
      <c r="K662" s="51">
        <f t="shared" si="2"/>
        <v>0</v>
      </c>
      <c r="L662" s="51">
        <f t="shared" si="5"/>
        <v>0</v>
      </c>
      <c r="M662" s="51">
        <f t="shared" si="4"/>
        <v>0</v>
      </c>
      <c r="N662" s="67"/>
    </row>
    <row r="663" ht="15.75" customHeight="1">
      <c r="A663" s="1"/>
      <c r="B663" s="69"/>
      <c r="D663" s="70"/>
      <c r="E663" s="71"/>
      <c r="F663" s="72"/>
      <c r="G663" s="75"/>
      <c r="H663" s="73"/>
      <c r="I663" s="51">
        <f t="shared" si="1"/>
        <v>0</v>
      </c>
      <c r="J663" s="76"/>
      <c r="K663" s="51">
        <f t="shared" si="2"/>
        <v>0</v>
      </c>
      <c r="L663" s="51">
        <f t="shared" si="5"/>
        <v>0</v>
      </c>
      <c r="M663" s="51">
        <f t="shared" si="4"/>
        <v>0</v>
      </c>
      <c r="N663" s="67"/>
    </row>
    <row r="664" ht="15.75" customHeight="1">
      <c r="A664" s="1"/>
      <c r="B664" s="69"/>
      <c r="D664" s="70"/>
      <c r="E664" s="71"/>
      <c r="F664" s="72"/>
      <c r="G664" s="75"/>
      <c r="H664" s="73"/>
      <c r="I664" s="51">
        <f t="shared" si="1"/>
        <v>0</v>
      </c>
      <c r="J664" s="76"/>
      <c r="K664" s="51">
        <f t="shared" si="2"/>
        <v>0</v>
      </c>
      <c r="L664" s="51">
        <f t="shared" si="5"/>
        <v>0</v>
      </c>
      <c r="M664" s="51">
        <f t="shared" si="4"/>
        <v>0</v>
      </c>
      <c r="N664" s="67"/>
    </row>
    <row r="665" ht="15.75" customHeight="1">
      <c r="A665" s="1"/>
      <c r="B665" s="69"/>
      <c r="D665" s="70"/>
      <c r="E665" s="71"/>
      <c r="F665" s="72"/>
      <c r="G665" s="75"/>
      <c r="H665" s="73"/>
      <c r="I665" s="51">
        <f t="shared" si="1"/>
        <v>0</v>
      </c>
      <c r="J665" s="76"/>
      <c r="K665" s="51">
        <f t="shared" si="2"/>
        <v>0</v>
      </c>
      <c r="L665" s="51">
        <f t="shared" si="5"/>
        <v>0</v>
      </c>
      <c r="M665" s="51">
        <f t="shared" si="4"/>
        <v>0</v>
      </c>
      <c r="N665" s="67"/>
    </row>
    <row r="666" ht="15.75" customHeight="1">
      <c r="A666" s="1"/>
      <c r="B666" s="69"/>
      <c r="D666" s="70"/>
      <c r="E666" s="71"/>
      <c r="F666" s="72"/>
      <c r="G666" s="75"/>
      <c r="H666" s="73"/>
      <c r="I666" s="51">
        <f t="shared" si="1"/>
        <v>0</v>
      </c>
      <c r="J666" s="76"/>
      <c r="K666" s="51">
        <f t="shared" si="2"/>
        <v>0</v>
      </c>
      <c r="L666" s="51">
        <f t="shared" si="5"/>
        <v>0</v>
      </c>
      <c r="M666" s="51">
        <f t="shared" si="4"/>
        <v>0</v>
      </c>
      <c r="N666" s="67"/>
    </row>
    <row r="667" ht="15.75" customHeight="1">
      <c r="A667" s="1"/>
      <c r="B667" s="69"/>
      <c r="D667" s="70"/>
      <c r="E667" s="71"/>
      <c r="F667" s="72"/>
      <c r="G667" s="75"/>
      <c r="H667" s="73"/>
      <c r="I667" s="51">
        <f t="shared" si="1"/>
        <v>0</v>
      </c>
      <c r="J667" s="76"/>
      <c r="K667" s="51">
        <f t="shared" si="2"/>
        <v>0</v>
      </c>
      <c r="L667" s="51">
        <f t="shared" si="5"/>
        <v>0</v>
      </c>
      <c r="M667" s="51">
        <f t="shared" si="4"/>
        <v>0</v>
      </c>
      <c r="N667" s="67"/>
    </row>
    <row r="668" ht="15.75" customHeight="1">
      <c r="A668" s="1"/>
      <c r="B668" s="69"/>
      <c r="D668" s="70"/>
      <c r="E668" s="71"/>
      <c r="F668" s="72"/>
      <c r="G668" s="75"/>
      <c r="H668" s="73"/>
      <c r="I668" s="51">
        <f t="shared" si="1"/>
        <v>0</v>
      </c>
      <c r="J668" s="76"/>
      <c r="K668" s="51">
        <f t="shared" si="2"/>
        <v>0</v>
      </c>
      <c r="L668" s="51">
        <f t="shared" si="5"/>
        <v>0</v>
      </c>
      <c r="M668" s="51">
        <f t="shared" si="4"/>
        <v>0</v>
      </c>
      <c r="N668" s="67"/>
    </row>
    <row r="669" ht="15.75" customHeight="1">
      <c r="A669" s="1"/>
      <c r="B669" s="69"/>
      <c r="D669" s="70"/>
      <c r="E669" s="71"/>
      <c r="F669" s="72"/>
      <c r="G669" s="75"/>
      <c r="H669" s="73"/>
      <c r="I669" s="51">
        <f t="shared" si="1"/>
        <v>0</v>
      </c>
      <c r="J669" s="76"/>
      <c r="K669" s="51">
        <f t="shared" si="2"/>
        <v>0</v>
      </c>
      <c r="L669" s="51">
        <f t="shared" si="5"/>
        <v>0</v>
      </c>
      <c r="M669" s="51">
        <f t="shared" si="4"/>
        <v>0</v>
      </c>
      <c r="N669" s="67"/>
    </row>
    <row r="670" ht="15.75" customHeight="1">
      <c r="A670" s="1"/>
      <c r="B670" s="69"/>
      <c r="D670" s="70"/>
      <c r="E670" s="71"/>
      <c r="F670" s="72"/>
      <c r="G670" s="75"/>
      <c r="H670" s="73"/>
      <c r="I670" s="51">
        <f t="shared" si="1"/>
        <v>0</v>
      </c>
      <c r="J670" s="76"/>
      <c r="K670" s="51">
        <f t="shared" si="2"/>
        <v>0</v>
      </c>
      <c r="L670" s="51">
        <f t="shared" si="5"/>
        <v>0</v>
      </c>
      <c r="M670" s="51">
        <f t="shared" si="4"/>
        <v>0</v>
      </c>
      <c r="N670" s="67"/>
    </row>
    <row r="671" ht="15.75" customHeight="1">
      <c r="A671" s="1"/>
      <c r="B671" s="69"/>
      <c r="D671" s="70"/>
      <c r="E671" s="71"/>
      <c r="F671" s="72"/>
      <c r="G671" s="75"/>
      <c r="H671" s="73"/>
      <c r="I671" s="51">
        <f t="shared" si="1"/>
        <v>0</v>
      </c>
      <c r="J671" s="76"/>
      <c r="K671" s="51">
        <f t="shared" si="2"/>
        <v>0</v>
      </c>
      <c r="L671" s="51">
        <f t="shared" si="5"/>
        <v>0</v>
      </c>
      <c r="M671" s="51">
        <f t="shared" si="4"/>
        <v>0</v>
      </c>
      <c r="N671" s="67"/>
    </row>
    <row r="672" ht="15.75" customHeight="1">
      <c r="A672" s="1"/>
      <c r="B672" s="69"/>
      <c r="D672" s="70"/>
      <c r="E672" s="71"/>
      <c r="F672" s="72"/>
      <c r="G672" s="75"/>
      <c r="H672" s="73"/>
      <c r="I672" s="51">
        <f t="shared" si="1"/>
        <v>0</v>
      </c>
      <c r="J672" s="76"/>
      <c r="K672" s="51">
        <f t="shared" si="2"/>
        <v>0</v>
      </c>
      <c r="L672" s="51">
        <f t="shared" si="5"/>
        <v>0</v>
      </c>
      <c r="M672" s="51">
        <f t="shared" si="4"/>
        <v>0</v>
      </c>
      <c r="N672" s="67"/>
    </row>
    <row r="673" ht="15.75" customHeight="1">
      <c r="A673" s="1"/>
      <c r="B673" s="69"/>
      <c r="D673" s="70"/>
      <c r="E673" s="71"/>
      <c r="F673" s="72"/>
      <c r="G673" s="75"/>
      <c r="H673" s="73"/>
      <c r="I673" s="51">
        <f t="shared" si="1"/>
        <v>0</v>
      </c>
      <c r="J673" s="76"/>
      <c r="K673" s="51">
        <f t="shared" si="2"/>
        <v>0</v>
      </c>
      <c r="L673" s="51">
        <f t="shared" si="5"/>
        <v>0</v>
      </c>
      <c r="M673" s="51">
        <f t="shared" si="4"/>
        <v>0</v>
      </c>
      <c r="N673" s="67"/>
    </row>
    <row r="674" ht="15.75" customHeight="1">
      <c r="A674" s="1"/>
      <c r="B674" s="69"/>
      <c r="D674" s="70"/>
      <c r="E674" s="71"/>
      <c r="F674" s="72"/>
      <c r="G674" s="75"/>
      <c r="H674" s="73"/>
      <c r="I674" s="51">
        <f t="shared" si="1"/>
        <v>0</v>
      </c>
      <c r="J674" s="76"/>
      <c r="K674" s="51">
        <f t="shared" si="2"/>
        <v>0</v>
      </c>
      <c r="L674" s="51">
        <f t="shared" si="5"/>
        <v>0</v>
      </c>
      <c r="M674" s="51">
        <f t="shared" si="4"/>
        <v>0</v>
      </c>
      <c r="N674" s="67"/>
    </row>
    <row r="675" ht="15.75" customHeight="1">
      <c r="A675" s="1"/>
      <c r="B675" s="69"/>
      <c r="D675" s="70"/>
      <c r="E675" s="71"/>
      <c r="F675" s="72"/>
      <c r="G675" s="75"/>
      <c r="H675" s="73"/>
      <c r="I675" s="51">
        <f t="shared" si="1"/>
        <v>0</v>
      </c>
      <c r="J675" s="76"/>
      <c r="K675" s="51">
        <f t="shared" si="2"/>
        <v>0</v>
      </c>
      <c r="L675" s="51">
        <f t="shared" si="5"/>
        <v>0</v>
      </c>
      <c r="M675" s="51">
        <f t="shared" si="4"/>
        <v>0</v>
      </c>
      <c r="N675" s="67"/>
    </row>
    <row r="676" ht="15.75" customHeight="1">
      <c r="A676" s="1"/>
      <c r="B676" s="69"/>
      <c r="D676" s="70"/>
      <c r="E676" s="71"/>
      <c r="F676" s="72"/>
      <c r="G676" s="75"/>
      <c r="H676" s="73"/>
      <c r="I676" s="51">
        <f t="shared" si="1"/>
        <v>0</v>
      </c>
      <c r="J676" s="76"/>
      <c r="K676" s="51">
        <f t="shared" si="2"/>
        <v>0</v>
      </c>
      <c r="L676" s="51">
        <f t="shared" si="5"/>
        <v>0</v>
      </c>
      <c r="M676" s="51">
        <f t="shared" si="4"/>
        <v>0</v>
      </c>
      <c r="N676" s="67"/>
    </row>
    <row r="677" ht="15.75" customHeight="1">
      <c r="A677" s="1"/>
      <c r="B677" s="69"/>
      <c r="D677" s="70"/>
      <c r="E677" s="71"/>
      <c r="F677" s="72"/>
      <c r="G677" s="75"/>
      <c r="H677" s="73"/>
      <c r="I677" s="51">
        <f t="shared" si="1"/>
        <v>0</v>
      </c>
      <c r="J677" s="76"/>
      <c r="K677" s="51">
        <f t="shared" si="2"/>
        <v>0</v>
      </c>
      <c r="L677" s="51">
        <f t="shared" si="5"/>
        <v>0</v>
      </c>
      <c r="M677" s="51">
        <f t="shared" si="4"/>
        <v>0</v>
      </c>
      <c r="N677" s="67"/>
    </row>
    <row r="678" ht="15.75" customHeight="1">
      <c r="A678" s="1"/>
      <c r="B678" s="69"/>
      <c r="D678" s="70"/>
      <c r="E678" s="71"/>
      <c r="F678" s="72"/>
      <c r="G678" s="75"/>
      <c r="H678" s="73"/>
      <c r="I678" s="51">
        <f t="shared" si="1"/>
        <v>0</v>
      </c>
      <c r="J678" s="76"/>
      <c r="K678" s="51">
        <f t="shared" si="2"/>
        <v>0</v>
      </c>
      <c r="L678" s="51">
        <f t="shared" si="5"/>
        <v>0</v>
      </c>
      <c r="M678" s="51">
        <f t="shared" si="4"/>
        <v>0</v>
      </c>
      <c r="N678" s="67"/>
    </row>
    <row r="679" ht="15.75" customHeight="1">
      <c r="A679" s="1"/>
      <c r="B679" s="69"/>
      <c r="D679" s="70"/>
      <c r="E679" s="71"/>
      <c r="F679" s="72"/>
      <c r="G679" s="75"/>
      <c r="H679" s="73"/>
      <c r="I679" s="51">
        <f t="shared" si="1"/>
        <v>0</v>
      </c>
      <c r="J679" s="76"/>
      <c r="K679" s="51">
        <f t="shared" si="2"/>
        <v>0</v>
      </c>
      <c r="L679" s="51">
        <f t="shared" si="5"/>
        <v>0</v>
      </c>
      <c r="M679" s="51">
        <f t="shared" si="4"/>
        <v>0</v>
      </c>
      <c r="N679" s="67"/>
    </row>
    <row r="680" ht="15.75" customHeight="1">
      <c r="A680" s="1"/>
      <c r="B680" s="69"/>
      <c r="D680" s="70"/>
      <c r="E680" s="71"/>
      <c r="F680" s="72"/>
      <c r="G680" s="75"/>
      <c r="H680" s="73"/>
      <c r="I680" s="51">
        <f t="shared" si="1"/>
        <v>0</v>
      </c>
      <c r="J680" s="76"/>
      <c r="K680" s="51">
        <f t="shared" si="2"/>
        <v>0</v>
      </c>
      <c r="L680" s="51">
        <f t="shared" si="5"/>
        <v>0</v>
      </c>
      <c r="M680" s="51">
        <f t="shared" si="4"/>
        <v>0</v>
      </c>
      <c r="N680" s="67"/>
    </row>
    <row r="681" ht="15.75" customHeight="1">
      <c r="A681" s="1"/>
      <c r="B681" s="69"/>
      <c r="D681" s="70"/>
      <c r="E681" s="71"/>
      <c r="F681" s="72"/>
      <c r="G681" s="75"/>
      <c r="H681" s="73"/>
      <c r="I681" s="51">
        <f t="shared" si="1"/>
        <v>0</v>
      </c>
      <c r="J681" s="76"/>
      <c r="K681" s="51">
        <f t="shared" si="2"/>
        <v>0</v>
      </c>
      <c r="L681" s="51">
        <f t="shared" si="5"/>
        <v>0</v>
      </c>
      <c r="M681" s="51">
        <f t="shared" si="4"/>
        <v>0</v>
      </c>
      <c r="N681" s="67"/>
    </row>
    <row r="682" ht="15.75" customHeight="1">
      <c r="A682" s="1"/>
      <c r="B682" s="69"/>
      <c r="D682" s="70"/>
      <c r="E682" s="71"/>
      <c r="F682" s="72"/>
      <c r="G682" s="75"/>
      <c r="H682" s="73"/>
      <c r="I682" s="51">
        <f t="shared" si="1"/>
        <v>0</v>
      </c>
      <c r="J682" s="76"/>
      <c r="K682" s="51">
        <f t="shared" si="2"/>
        <v>0</v>
      </c>
      <c r="L682" s="51">
        <f t="shared" si="5"/>
        <v>0</v>
      </c>
      <c r="M682" s="51">
        <f t="shared" si="4"/>
        <v>0</v>
      </c>
      <c r="N682" s="67"/>
    </row>
    <row r="683" ht="15.75" customHeight="1">
      <c r="A683" s="1"/>
      <c r="B683" s="69"/>
      <c r="D683" s="70"/>
      <c r="E683" s="71"/>
      <c r="F683" s="72"/>
      <c r="G683" s="75"/>
      <c r="H683" s="73"/>
      <c r="I683" s="51">
        <f t="shared" si="1"/>
        <v>0</v>
      </c>
      <c r="J683" s="76"/>
      <c r="K683" s="51">
        <f t="shared" si="2"/>
        <v>0</v>
      </c>
      <c r="L683" s="51">
        <f t="shared" si="5"/>
        <v>0</v>
      </c>
      <c r="M683" s="51">
        <f t="shared" si="4"/>
        <v>0</v>
      </c>
      <c r="N683" s="67"/>
    </row>
    <row r="684" ht="15.75" customHeight="1">
      <c r="A684" s="1"/>
      <c r="B684" s="69"/>
      <c r="D684" s="70"/>
      <c r="E684" s="71"/>
      <c r="F684" s="72"/>
      <c r="G684" s="75"/>
      <c r="H684" s="73"/>
      <c r="I684" s="51">
        <f t="shared" si="1"/>
        <v>0</v>
      </c>
      <c r="J684" s="76"/>
      <c r="K684" s="51">
        <f t="shared" si="2"/>
        <v>0</v>
      </c>
      <c r="L684" s="51">
        <f t="shared" si="5"/>
        <v>0</v>
      </c>
      <c r="M684" s="51">
        <f t="shared" si="4"/>
        <v>0</v>
      </c>
      <c r="N684" s="67"/>
    </row>
    <row r="685" ht="15.75" customHeight="1">
      <c r="A685" s="1"/>
      <c r="B685" s="69"/>
      <c r="D685" s="70"/>
      <c r="E685" s="71"/>
      <c r="F685" s="72"/>
      <c r="G685" s="75"/>
      <c r="H685" s="73"/>
      <c r="I685" s="51">
        <f t="shared" si="1"/>
        <v>0</v>
      </c>
      <c r="J685" s="76"/>
      <c r="K685" s="51">
        <f t="shared" si="2"/>
        <v>0</v>
      </c>
      <c r="L685" s="51">
        <f t="shared" si="5"/>
        <v>0</v>
      </c>
      <c r="M685" s="51">
        <f t="shared" si="4"/>
        <v>0</v>
      </c>
      <c r="N685" s="67"/>
    </row>
    <row r="686" ht="15.75" customHeight="1">
      <c r="A686" s="1"/>
      <c r="B686" s="69"/>
      <c r="D686" s="70"/>
      <c r="E686" s="71"/>
      <c r="F686" s="72"/>
      <c r="G686" s="75"/>
      <c r="H686" s="73"/>
      <c r="I686" s="51">
        <f t="shared" si="1"/>
        <v>0</v>
      </c>
      <c r="J686" s="76"/>
      <c r="K686" s="51">
        <f t="shared" si="2"/>
        <v>0</v>
      </c>
      <c r="L686" s="51">
        <f t="shared" si="5"/>
        <v>0</v>
      </c>
      <c r="M686" s="51">
        <f t="shared" si="4"/>
        <v>0</v>
      </c>
      <c r="N686" s="67"/>
    </row>
    <row r="687" ht="15.75" customHeight="1">
      <c r="A687" s="1"/>
      <c r="B687" s="69"/>
      <c r="D687" s="70"/>
      <c r="E687" s="71"/>
      <c r="F687" s="72"/>
      <c r="G687" s="75"/>
      <c r="H687" s="73"/>
      <c r="I687" s="51">
        <f t="shared" si="1"/>
        <v>0</v>
      </c>
      <c r="J687" s="76"/>
      <c r="K687" s="51">
        <f t="shared" si="2"/>
        <v>0</v>
      </c>
      <c r="L687" s="51">
        <f t="shared" si="5"/>
        <v>0</v>
      </c>
      <c r="M687" s="51">
        <f t="shared" si="4"/>
        <v>0</v>
      </c>
      <c r="N687" s="67"/>
    </row>
    <row r="688" ht="15.75" customHeight="1">
      <c r="A688" s="1"/>
      <c r="B688" s="69"/>
      <c r="D688" s="70"/>
      <c r="E688" s="71"/>
      <c r="F688" s="72"/>
      <c r="G688" s="75"/>
      <c r="H688" s="73"/>
      <c r="I688" s="51">
        <f t="shared" si="1"/>
        <v>0</v>
      </c>
      <c r="J688" s="76"/>
      <c r="K688" s="51">
        <f t="shared" si="2"/>
        <v>0</v>
      </c>
      <c r="L688" s="51">
        <f t="shared" si="5"/>
        <v>0</v>
      </c>
      <c r="M688" s="51">
        <f t="shared" si="4"/>
        <v>0</v>
      </c>
      <c r="N688" s="67"/>
    </row>
    <row r="689" ht="15.75" customHeight="1">
      <c r="A689" s="1"/>
      <c r="B689" s="69"/>
      <c r="D689" s="70"/>
      <c r="E689" s="71"/>
      <c r="F689" s="72"/>
      <c r="G689" s="75"/>
      <c r="H689" s="73"/>
      <c r="I689" s="51">
        <f t="shared" si="1"/>
        <v>0</v>
      </c>
      <c r="J689" s="76"/>
      <c r="K689" s="51">
        <f t="shared" si="2"/>
        <v>0</v>
      </c>
      <c r="L689" s="51">
        <f t="shared" si="5"/>
        <v>0</v>
      </c>
      <c r="M689" s="51">
        <f t="shared" si="4"/>
        <v>0</v>
      </c>
      <c r="N689" s="67"/>
    </row>
    <row r="690" ht="15.75" customHeight="1">
      <c r="A690" s="1"/>
      <c r="B690" s="69"/>
      <c r="D690" s="70"/>
      <c r="E690" s="71"/>
      <c r="F690" s="72"/>
      <c r="G690" s="75"/>
      <c r="H690" s="73"/>
      <c r="I690" s="51">
        <f t="shared" si="1"/>
        <v>0</v>
      </c>
      <c r="J690" s="76"/>
      <c r="K690" s="51">
        <f t="shared" si="2"/>
        <v>0</v>
      </c>
      <c r="L690" s="51">
        <f t="shared" si="5"/>
        <v>0</v>
      </c>
      <c r="M690" s="51">
        <f t="shared" si="4"/>
        <v>0</v>
      </c>
      <c r="N690" s="67"/>
    </row>
    <row r="691" ht="15.75" customHeight="1">
      <c r="A691" s="1"/>
      <c r="B691" s="69"/>
      <c r="D691" s="70"/>
      <c r="E691" s="71"/>
      <c r="F691" s="72"/>
      <c r="G691" s="75"/>
      <c r="H691" s="73"/>
      <c r="I691" s="51">
        <f t="shared" si="1"/>
        <v>0</v>
      </c>
      <c r="J691" s="76"/>
      <c r="K691" s="51">
        <f t="shared" si="2"/>
        <v>0</v>
      </c>
      <c r="L691" s="51">
        <f t="shared" si="5"/>
        <v>0</v>
      </c>
      <c r="M691" s="51">
        <f t="shared" si="4"/>
        <v>0</v>
      </c>
      <c r="N691" s="67"/>
    </row>
    <row r="692" ht="15.75" customHeight="1">
      <c r="A692" s="1"/>
      <c r="B692" s="69"/>
      <c r="D692" s="70"/>
      <c r="E692" s="71"/>
      <c r="F692" s="72"/>
      <c r="G692" s="75"/>
      <c r="H692" s="73"/>
      <c r="I692" s="51">
        <f t="shared" si="1"/>
        <v>0</v>
      </c>
      <c r="J692" s="76"/>
      <c r="K692" s="51">
        <f t="shared" si="2"/>
        <v>0</v>
      </c>
      <c r="L692" s="51">
        <f t="shared" si="5"/>
        <v>0</v>
      </c>
      <c r="M692" s="51">
        <f t="shared" si="4"/>
        <v>0</v>
      </c>
      <c r="N692" s="67"/>
    </row>
    <row r="693" ht="15.75" customHeight="1">
      <c r="A693" s="1"/>
      <c r="B693" s="69"/>
      <c r="D693" s="70"/>
      <c r="E693" s="71"/>
      <c r="F693" s="72"/>
      <c r="G693" s="75"/>
      <c r="H693" s="73"/>
      <c r="I693" s="51">
        <f t="shared" si="1"/>
        <v>0</v>
      </c>
      <c r="J693" s="76"/>
      <c r="K693" s="51">
        <f t="shared" si="2"/>
        <v>0</v>
      </c>
      <c r="L693" s="51">
        <f t="shared" si="5"/>
        <v>0</v>
      </c>
      <c r="M693" s="51">
        <f t="shared" si="4"/>
        <v>0</v>
      </c>
      <c r="N693" s="67"/>
    </row>
    <row r="694" ht="15.75" customHeight="1">
      <c r="A694" s="1"/>
      <c r="B694" s="69"/>
      <c r="D694" s="70"/>
      <c r="E694" s="71"/>
      <c r="F694" s="72"/>
      <c r="G694" s="75"/>
      <c r="H694" s="73"/>
      <c r="I694" s="51">
        <f t="shared" si="1"/>
        <v>0</v>
      </c>
      <c r="J694" s="76"/>
      <c r="K694" s="51">
        <f t="shared" si="2"/>
        <v>0</v>
      </c>
      <c r="L694" s="51">
        <f t="shared" si="5"/>
        <v>0</v>
      </c>
      <c r="M694" s="51">
        <f t="shared" si="4"/>
        <v>0</v>
      </c>
      <c r="N694" s="67"/>
    </row>
    <row r="695" ht="15.75" customHeight="1">
      <c r="A695" s="1"/>
      <c r="B695" s="69"/>
      <c r="D695" s="70"/>
      <c r="E695" s="71"/>
      <c r="F695" s="72"/>
      <c r="G695" s="75"/>
      <c r="H695" s="73"/>
      <c r="I695" s="51">
        <f t="shared" si="1"/>
        <v>0</v>
      </c>
      <c r="J695" s="76"/>
      <c r="K695" s="51">
        <f t="shared" si="2"/>
        <v>0</v>
      </c>
      <c r="L695" s="51">
        <f t="shared" si="5"/>
        <v>0</v>
      </c>
      <c r="M695" s="51">
        <f t="shared" si="4"/>
        <v>0</v>
      </c>
      <c r="N695" s="67"/>
    </row>
    <row r="696" ht="15.75" customHeight="1">
      <c r="A696" s="1"/>
      <c r="B696" s="69"/>
      <c r="D696" s="70"/>
      <c r="E696" s="71"/>
      <c r="F696" s="72"/>
      <c r="G696" s="75"/>
      <c r="H696" s="73"/>
      <c r="I696" s="51">
        <f t="shared" si="1"/>
        <v>0</v>
      </c>
      <c r="J696" s="76"/>
      <c r="K696" s="51">
        <f t="shared" si="2"/>
        <v>0</v>
      </c>
      <c r="L696" s="51">
        <f t="shared" si="5"/>
        <v>0</v>
      </c>
      <c r="M696" s="51">
        <f t="shared" si="4"/>
        <v>0</v>
      </c>
      <c r="N696" s="67"/>
    </row>
    <row r="697" ht="15.75" customHeight="1">
      <c r="A697" s="1"/>
      <c r="B697" s="69"/>
      <c r="D697" s="70"/>
      <c r="E697" s="71"/>
      <c r="F697" s="72"/>
      <c r="G697" s="75"/>
      <c r="H697" s="73"/>
      <c r="I697" s="51">
        <f t="shared" si="1"/>
        <v>0</v>
      </c>
      <c r="J697" s="76"/>
      <c r="K697" s="51">
        <f t="shared" si="2"/>
        <v>0</v>
      </c>
      <c r="L697" s="51">
        <f t="shared" si="5"/>
        <v>0</v>
      </c>
      <c r="M697" s="51">
        <f t="shared" si="4"/>
        <v>0</v>
      </c>
      <c r="N697" s="67"/>
    </row>
    <row r="698" ht="15.75" customHeight="1">
      <c r="A698" s="1"/>
      <c r="B698" s="69"/>
      <c r="D698" s="70"/>
      <c r="E698" s="71"/>
      <c r="F698" s="72"/>
      <c r="G698" s="75"/>
      <c r="H698" s="73"/>
      <c r="I698" s="51">
        <f t="shared" si="1"/>
        <v>0</v>
      </c>
      <c r="J698" s="76"/>
      <c r="K698" s="51">
        <f t="shared" si="2"/>
        <v>0</v>
      </c>
      <c r="L698" s="51">
        <f t="shared" si="5"/>
        <v>0</v>
      </c>
      <c r="M698" s="51">
        <f t="shared" si="4"/>
        <v>0</v>
      </c>
      <c r="N698" s="67"/>
    </row>
    <row r="699" ht="15.75" customHeight="1">
      <c r="A699" s="1"/>
      <c r="B699" s="69"/>
      <c r="D699" s="70"/>
      <c r="E699" s="71"/>
      <c r="F699" s="72"/>
      <c r="G699" s="75"/>
      <c r="H699" s="73"/>
      <c r="I699" s="51">
        <f t="shared" si="1"/>
        <v>0</v>
      </c>
      <c r="J699" s="76"/>
      <c r="K699" s="51">
        <f t="shared" si="2"/>
        <v>0</v>
      </c>
      <c r="L699" s="51">
        <f t="shared" si="5"/>
        <v>0</v>
      </c>
      <c r="M699" s="51">
        <f t="shared" si="4"/>
        <v>0</v>
      </c>
      <c r="N699" s="67"/>
    </row>
    <row r="700" ht="15.75" customHeight="1">
      <c r="A700" s="1"/>
      <c r="B700" s="69"/>
      <c r="D700" s="70"/>
      <c r="E700" s="71"/>
      <c r="F700" s="72"/>
      <c r="G700" s="75"/>
      <c r="H700" s="73"/>
      <c r="I700" s="51">
        <f t="shared" si="1"/>
        <v>0</v>
      </c>
      <c r="J700" s="76"/>
      <c r="K700" s="51">
        <f t="shared" si="2"/>
        <v>0</v>
      </c>
      <c r="L700" s="51">
        <f t="shared" si="5"/>
        <v>0</v>
      </c>
      <c r="M700" s="51">
        <f t="shared" si="4"/>
        <v>0</v>
      </c>
      <c r="N700" s="67"/>
    </row>
    <row r="701" ht="15.75" customHeight="1">
      <c r="A701" s="1"/>
      <c r="B701" s="69"/>
      <c r="D701" s="70"/>
      <c r="E701" s="71"/>
      <c r="F701" s="72"/>
      <c r="G701" s="75"/>
      <c r="H701" s="73"/>
      <c r="I701" s="51">
        <f t="shared" si="1"/>
        <v>0</v>
      </c>
      <c r="J701" s="76"/>
      <c r="K701" s="51">
        <f t="shared" si="2"/>
        <v>0</v>
      </c>
      <c r="L701" s="51">
        <f t="shared" si="5"/>
        <v>0</v>
      </c>
      <c r="M701" s="51">
        <f t="shared" si="4"/>
        <v>0</v>
      </c>
      <c r="N701" s="67"/>
    </row>
    <row r="702" ht="15.75" customHeight="1">
      <c r="A702" s="1"/>
      <c r="B702" s="69"/>
      <c r="D702" s="70"/>
      <c r="E702" s="71"/>
      <c r="F702" s="72"/>
      <c r="G702" s="75"/>
      <c r="H702" s="73"/>
      <c r="I702" s="51">
        <f t="shared" si="1"/>
        <v>0</v>
      </c>
      <c r="J702" s="76"/>
      <c r="K702" s="51">
        <f t="shared" si="2"/>
        <v>0</v>
      </c>
      <c r="L702" s="51">
        <f t="shared" si="5"/>
        <v>0</v>
      </c>
      <c r="M702" s="51">
        <f t="shared" si="4"/>
        <v>0</v>
      </c>
      <c r="N702" s="67"/>
    </row>
    <row r="703" ht="15.75" customHeight="1">
      <c r="A703" s="1"/>
      <c r="B703" s="69"/>
      <c r="D703" s="70"/>
      <c r="E703" s="71"/>
      <c r="F703" s="72"/>
      <c r="G703" s="75"/>
      <c r="H703" s="73"/>
      <c r="I703" s="51">
        <f t="shared" si="1"/>
        <v>0</v>
      </c>
      <c r="J703" s="76"/>
      <c r="K703" s="51">
        <f t="shared" si="2"/>
        <v>0</v>
      </c>
      <c r="L703" s="51">
        <f t="shared" si="5"/>
        <v>0</v>
      </c>
      <c r="M703" s="51">
        <f t="shared" si="4"/>
        <v>0</v>
      </c>
      <c r="N703" s="67"/>
    </row>
    <row r="704" ht="15.75" customHeight="1">
      <c r="A704" s="1"/>
      <c r="B704" s="69"/>
      <c r="D704" s="70"/>
      <c r="E704" s="71"/>
      <c r="F704" s="72"/>
      <c r="G704" s="75"/>
      <c r="H704" s="73"/>
      <c r="I704" s="51">
        <f t="shared" si="1"/>
        <v>0</v>
      </c>
      <c r="J704" s="76"/>
      <c r="K704" s="51">
        <f t="shared" si="2"/>
        <v>0</v>
      </c>
      <c r="L704" s="51">
        <f t="shared" si="5"/>
        <v>0</v>
      </c>
      <c r="M704" s="51">
        <f t="shared" si="4"/>
        <v>0</v>
      </c>
      <c r="N704" s="67"/>
    </row>
    <row r="705" ht="15.75" customHeight="1">
      <c r="A705" s="1"/>
      <c r="B705" s="69"/>
      <c r="D705" s="70"/>
      <c r="E705" s="71"/>
      <c r="F705" s="72"/>
      <c r="G705" s="75"/>
      <c r="H705" s="73"/>
      <c r="I705" s="51">
        <f t="shared" si="1"/>
        <v>0</v>
      </c>
      <c r="J705" s="76"/>
      <c r="K705" s="51">
        <f t="shared" si="2"/>
        <v>0</v>
      </c>
      <c r="L705" s="51">
        <f t="shared" si="5"/>
        <v>0</v>
      </c>
      <c r="M705" s="51">
        <f t="shared" si="4"/>
        <v>0</v>
      </c>
      <c r="N705" s="67"/>
    </row>
    <row r="706" ht="15.75" customHeight="1">
      <c r="A706" s="1"/>
      <c r="B706" s="69"/>
      <c r="D706" s="70"/>
      <c r="E706" s="71"/>
      <c r="F706" s="72"/>
      <c r="G706" s="75"/>
      <c r="H706" s="73"/>
      <c r="I706" s="51">
        <f t="shared" si="1"/>
        <v>0</v>
      </c>
      <c r="J706" s="76"/>
      <c r="K706" s="51">
        <f t="shared" si="2"/>
        <v>0</v>
      </c>
      <c r="L706" s="51">
        <f t="shared" si="5"/>
        <v>0</v>
      </c>
      <c r="M706" s="51">
        <f t="shared" si="4"/>
        <v>0</v>
      </c>
      <c r="N706" s="67"/>
    </row>
    <row r="707" ht="15.75" customHeight="1">
      <c r="A707" s="1"/>
      <c r="B707" s="69"/>
      <c r="D707" s="70"/>
      <c r="E707" s="71"/>
      <c r="F707" s="72"/>
      <c r="G707" s="75"/>
      <c r="H707" s="73"/>
      <c r="I707" s="51">
        <f t="shared" si="1"/>
        <v>0</v>
      </c>
      <c r="J707" s="76"/>
      <c r="K707" s="51">
        <f t="shared" si="2"/>
        <v>0</v>
      </c>
      <c r="L707" s="51">
        <f t="shared" si="5"/>
        <v>0</v>
      </c>
      <c r="M707" s="51">
        <f t="shared" si="4"/>
        <v>0</v>
      </c>
      <c r="N707" s="67"/>
    </row>
    <row r="708" ht="15.75" customHeight="1">
      <c r="A708" s="1"/>
      <c r="B708" s="69"/>
      <c r="D708" s="70"/>
      <c r="E708" s="71"/>
      <c r="F708" s="72"/>
      <c r="G708" s="75"/>
      <c r="H708" s="73"/>
      <c r="I708" s="51">
        <f t="shared" si="1"/>
        <v>0</v>
      </c>
      <c r="J708" s="76"/>
      <c r="K708" s="51">
        <f t="shared" si="2"/>
        <v>0</v>
      </c>
      <c r="L708" s="51">
        <f t="shared" si="5"/>
        <v>0</v>
      </c>
      <c r="M708" s="51">
        <f t="shared" si="4"/>
        <v>0</v>
      </c>
      <c r="N708" s="67"/>
    </row>
    <row r="709" ht="15.75" customHeight="1">
      <c r="A709" s="1"/>
      <c r="B709" s="69"/>
      <c r="D709" s="70"/>
      <c r="E709" s="71"/>
      <c r="F709" s="72"/>
      <c r="G709" s="75"/>
      <c r="H709" s="73"/>
      <c r="I709" s="51">
        <f t="shared" si="1"/>
        <v>0</v>
      </c>
      <c r="J709" s="76"/>
      <c r="K709" s="51">
        <f t="shared" si="2"/>
        <v>0</v>
      </c>
      <c r="L709" s="51">
        <f t="shared" si="5"/>
        <v>0</v>
      </c>
      <c r="M709" s="51">
        <f t="shared" si="4"/>
        <v>0</v>
      </c>
      <c r="N709" s="67"/>
    </row>
    <row r="710" ht="15.75" customHeight="1">
      <c r="A710" s="1"/>
      <c r="B710" s="69"/>
      <c r="D710" s="70"/>
      <c r="E710" s="71"/>
      <c r="F710" s="72"/>
      <c r="G710" s="75"/>
      <c r="H710" s="73"/>
      <c r="I710" s="51">
        <f t="shared" si="1"/>
        <v>0</v>
      </c>
      <c r="J710" s="76"/>
      <c r="K710" s="51">
        <f t="shared" si="2"/>
        <v>0</v>
      </c>
      <c r="L710" s="51">
        <f t="shared" si="5"/>
        <v>0</v>
      </c>
      <c r="M710" s="51">
        <f t="shared" si="4"/>
        <v>0</v>
      </c>
      <c r="N710" s="67"/>
    </row>
    <row r="711" ht="15.75" customHeight="1">
      <c r="A711" s="1"/>
      <c r="B711" s="69"/>
      <c r="D711" s="70"/>
      <c r="E711" s="71"/>
      <c r="F711" s="72"/>
      <c r="G711" s="75"/>
      <c r="H711" s="73"/>
      <c r="I711" s="51">
        <f t="shared" si="1"/>
        <v>0</v>
      </c>
      <c r="J711" s="76"/>
      <c r="K711" s="51">
        <f t="shared" si="2"/>
        <v>0</v>
      </c>
      <c r="L711" s="51">
        <f t="shared" si="5"/>
        <v>0</v>
      </c>
      <c r="M711" s="51">
        <f t="shared" si="4"/>
        <v>0</v>
      </c>
      <c r="N711" s="67"/>
    </row>
    <row r="712" ht="15.75" customHeight="1">
      <c r="A712" s="1"/>
      <c r="B712" s="69"/>
      <c r="D712" s="70"/>
      <c r="E712" s="71"/>
      <c r="F712" s="72"/>
      <c r="G712" s="75"/>
      <c r="H712" s="73"/>
      <c r="I712" s="51">
        <f t="shared" si="1"/>
        <v>0</v>
      </c>
      <c r="J712" s="76"/>
      <c r="K712" s="51">
        <f t="shared" si="2"/>
        <v>0</v>
      </c>
      <c r="L712" s="51">
        <f t="shared" si="5"/>
        <v>0</v>
      </c>
      <c r="M712" s="51">
        <f t="shared" si="4"/>
        <v>0</v>
      </c>
      <c r="N712" s="67"/>
    </row>
    <row r="713" ht="15.75" customHeight="1">
      <c r="A713" s="1"/>
      <c r="B713" s="69"/>
      <c r="D713" s="70"/>
      <c r="E713" s="71"/>
      <c r="F713" s="72"/>
      <c r="G713" s="75"/>
      <c r="H713" s="73"/>
      <c r="I713" s="51">
        <f t="shared" si="1"/>
        <v>0</v>
      </c>
      <c r="J713" s="76"/>
      <c r="K713" s="51">
        <f t="shared" si="2"/>
        <v>0</v>
      </c>
      <c r="L713" s="51">
        <f t="shared" si="5"/>
        <v>0</v>
      </c>
      <c r="M713" s="51">
        <f t="shared" si="4"/>
        <v>0</v>
      </c>
      <c r="N713" s="67"/>
    </row>
    <row r="714" ht="15.75" customHeight="1">
      <c r="A714" s="1"/>
      <c r="B714" s="69"/>
      <c r="D714" s="70"/>
      <c r="E714" s="71"/>
      <c r="F714" s="72"/>
      <c r="G714" s="75"/>
      <c r="H714" s="73"/>
      <c r="I714" s="51">
        <f t="shared" si="1"/>
        <v>0</v>
      </c>
      <c r="J714" s="76"/>
      <c r="K714" s="51">
        <f t="shared" si="2"/>
        <v>0</v>
      </c>
      <c r="L714" s="51">
        <f t="shared" si="5"/>
        <v>0</v>
      </c>
      <c r="M714" s="51">
        <f t="shared" si="4"/>
        <v>0</v>
      </c>
      <c r="N714" s="67"/>
    </row>
    <row r="715" ht="15.75" customHeight="1">
      <c r="A715" s="1"/>
      <c r="B715" s="69"/>
      <c r="D715" s="70"/>
      <c r="E715" s="71"/>
      <c r="F715" s="72"/>
      <c r="G715" s="75"/>
      <c r="H715" s="73"/>
      <c r="I715" s="51">
        <f t="shared" si="1"/>
        <v>0</v>
      </c>
      <c r="J715" s="76"/>
      <c r="K715" s="51">
        <f t="shared" si="2"/>
        <v>0</v>
      </c>
      <c r="L715" s="51">
        <f t="shared" si="5"/>
        <v>0</v>
      </c>
      <c r="M715" s="51">
        <f t="shared" si="4"/>
        <v>0</v>
      </c>
      <c r="N715" s="67"/>
    </row>
    <row r="716" ht="15.75" customHeight="1">
      <c r="A716" s="1"/>
      <c r="B716" s="69"/>
      <c r="D716" s="70"/>
      <c r="E716" s="71"/>
      <c r="F716" s="72"/>
      <c r="G716" s="75"/>
      <c r="H716" s="73"/>
      <c r="I716" s="51">
        <f t="shared" si="1"/>
        <v>0</v>
      </c>
      <c r="J716" s="76"/>
      <c r="K716" s="51">
        <f t="shared" si="2"/>
        <v>0</v>
      </c>
      <c r="L716" s="51">
        <f t="shared" si="5"/>
        <v>0</v>
      </c>
      <c r="M716" s="51">
        <f t="shared" si="4"/>
        <v>0</v>
      </c>
      <c r="N716" s="67"/>
    </row>
    <row r="717" ht="15.75" customHeight="1">
      <c r="A717" s="1"/>
      <c r="B717" s="69"/>
      <c r="D717" s="70"/>
      <c r="E717" s="71"/>
      <c r="F717" s="72"/>
      <c r="G717" s="75"/>
      <c r="H717" s="73"/>
      <c r="I717" s="51">
        <f t="shared" si="1"/>
        <v>0</v>
      </c>
      <c r="J717" s="76"/>
      <c r="K717" s="51">
        <f t="shared" si="2"/>
        <v>0</v>
      </c>
      <c r="L717" s="51">
        <f t="shared" si="5"/>
        <v>0</v>
      </c>
      <c r="M717" s="51">
        <f t="shared" si="4"/>
        <v>0</v>
      </c>
      <c r="N717" s="67"/>
    </row>
    <row r="718" ht="15.75" customHeight="1">
      <c r="A718" s="1"/>
      <c r="B718" s="69"/>
      <c r="D718" s="70"/>
      <c r="E718" s="71"/>
      <c r="F718" s="72"/>
      <c r="G718" s="75"/>
      <c r="H718" s="73"/>
      <c r="I718" s="51">
        <f t="shared" si="1"/>
        <v>0</v>
      </c>
      <c r="J718" s="76"/>
      <c r="K718" s="51">
        <f t="shared" si="2"/>
        <v>0</v>
      </c>
      <c r="L718" s="51">
        <f t="shared" si="5"/>
        <v>0</v>
      </c>
      <c r="M718" s="51">
        <f t="shared" si="4"/>
        <v>0</v>
      </c>
      <c r="N718" s="67"/>
    </row>
    <row r="719" ht="15.75" customHeight="1">
      <c r="A719" s="1"/>
      <c r="B719" s="69"/>
      <c r="D719" s="70"/>
      <c r="E719" s="71"/>
      <c r="F719" s="72"/>
      <c r="G719" s="75"/>
      <c r="H719" s="73"/>
      <c r="I719" s="51">
        <f t="shared" si="1"/>
        <v>0</v>
      </c>
      <c r="J719" s="76"/>
      <c r="K719" s="51">
        <f t="shared" si="2"/>
        <v>0</v>
      </c>
      <c r="L719" s="51">
        <f t="shared" si="5"/>
        <v>0</v>
      </c>
      <c r="M719" s="51">
        <f t="shared" si="4"/>
        <v>0</v>
      </c>
      <c r="N719" s="67"/>
    </row>
    <row r="720" ht="15.75" customHeight="1">
      <c r="A720" s="1"/>
      <c r="B720" s="69"/>
      <c r="D720" s="70"/>
      <c r="E720" s="71"/>
      <c r="F720" s="72"/>
      <c r="G720" s="75"/>
      <c r="H720" s="73"/>
      <c r="I720" s="51">
        <f t="shared" si="1"/>
        <v>0</v>
      </c>
      <c r="J720" s="76"/>
      <c r="K720" s="51">
        <f t="shared" si="2"/>
        <v>0</v>
      </c>
      <c r="L720" s="51">
        <f t="shared" si="5"/>
        <v>0</v>
      </c>
      <c r="M720" s="51">
        <f t="shared" si="4"/>
        <v>0</v>
      </c>
      <c r="N720" s="67"/>
    </row>
    <row r="721" ht="15.75" customHeight="1">
      <c r="A721" s="1"/>
      <c r="B721" s="69"/>
      <c r="D721" s="70"/>
      <c r="E721" s="71"/>
      <c r="F721" s="72"/>
      <c r="G721" s="75"/>
      <c r="H721" s="73"/>
      <c r="I721" s="51">
        <f t="shared" si="1"/>
        <v>0</v>
      </c>
      <c r="J721" s="76"/>
      <c r="K721" s="51">
        <f t="shared" si="2"/>
        <v>0</v>
      </c>
      <c r="L721" s="51">
        <f t="shared" si="5"/>
        <v>0</v>
      </c>
      <c r="M721" s="51">
        <f t="shared" si="4"/>
        <v>0</v>
      </c>
      <c r="N721" s="67"/>
    </row>
    <row r="722" ht="15.75" customHeight="1">
      <c r="A722" s="1"/>
      <c r="B722" s="69"/>
      <c r="D722" s="70"/>
      <c r="E722" s="71"/>
      <c r="F722" s="72"/>
      <c r="G722" s="75"/>
      <c r="H722" s="73"/>
      <c r="I722" s="51">
        <f t="shared" si="1"/>
        <v>0</v>
      </c>
      <c r="J722" s="76"/>
      <c r="K722" s="51">
        <f t="shared" si="2"/>
        <v>0</v>
      </c>
      <c r="L722" s="51">
        <f t="shared" si="5"/>
        <v>0</v>
      </c>
      <c r="M722" s="51">
        <f t="shared" si="4"/>
        <v>0</v>
      </c>
      <c r="N722" s="67"/>
    </row>
    <row r="723" ht="15.75" customHeight="1">
      <c r="A723" s="1"/>
      <c r="B723" s="69"/>
      <c r="D723" s="70"/>
      <c r="E723" s="71"/>
      <c r="F723" s="72"/>
      <c r="G723" s="75"/>
      <c r="H723" s="73"/>
      <c r="I723" s="51">
        <f t="shared" si="1"/>
        <v>0</v>
      </c>
      <c r="J723" s="76"/>
      <c r="K723" s="51">
        <f t="shared" si="2"/>
        <v>0</v>
      </c>
      <c r="L723" s="51">
        <f t="shared" si="5"/>
        <v>0</v>
      </c>
      <c r="M723" s="51">
        <f t="shared" si="4"/>
        <v>0</v>
      </c>
      <c r="N723" s="67"/>
    </row>
    <row r="724" ht="15.75" customHeight="1">
      <c r="A724" s="1"/>
      <c r="B724" s="69"/>
      <c r="D724" s="70"/>
      <c r="E724" s="71"/>
      <c r="F724" s="72"/>
      <c r="G724" s="75"/>
      <c r="H724" s="73"/>
      <c r="I724" s="51">
        <f t="shared" si="1"/>
        <v>0</v>
      </c>
      <c r="J724" s="76"/>
      <c r="K724" s="51">
        <f t="shared" si="2"/>
        <v>0</v>
      </c>
      <c r="L724" s="51">
        <f t="shared" si="5"/>
        <v>0</v>
      </c>
      <c r="M724" s="51">
        <f t="shared" si="4"/>
        <v>0</v>
      </c>
      <c r="N724" s="67"/>
    </row>
    <row r="725" ht="15.75" customHeight="1">
      <c r="A725" s="1"/>
      <c r="B725" s="69"/>
      <c r="D725" s="70"/>
      <c r="E725" s="71"/>
      <c r="F725" s="72"/>
      <c r="G725" s="75"/>
      <c r="H725" s="73"/>
      <c r="I725" s="51">
        <f t="shared" si="1"/>
        <v>0</v>
      </c>
      <c r="J725" s="76"/>
      <c r="K725" s="51">
        <f t="shared" si="2"/>
        <v>0</v>
      </c>
      <c r="L725" s="51">
        <f t="shared" si="5"/>
        <v>0</v>
      </c>
      <c r="M725" s="51">
        <f t="shared" si="4"/>
        <v>0</v>
      </c>
      <c r="N725" s="67"/>
    </row>
    <row r="726" ht="15.75" customHeight="1">
      <c r="A726" s="1"/>
      <c r="B726" s="69"/>
      <c r="D726" s="70"/>
      <c r="E726" s="71"/>
      <c r="F726" s="72"/>
      <c r="G726" s="75"/>
      <c r="H726" s="73"/>
      <c r="I726" s="51">
        <f t="shared" si="1"/>
        <v>0</v>
      </c>
      <c r="J726" s="76"/>
      <c r="K726" s="51">
        <f t="shared" si="2"/>
        <v>0</v>
      </c>
      <c r="L726" s="51">
        <f t="shared" si="5"/>
        <v>0</v>
      </c>
      <c r="M726" s="51">
        <f t="shared" si="4"/>
        <v>0</v>
      </c>
      <c r="N726" s="67"/>
    </row>
    <row r="727" ht="15.75" customHeight="1">
      <c r="A727" s="1"/>
      <c r="B727" s="69"/>
      <c r="D727" s="70"/>
      <c r="E727" s="71"/>
      <c r="F727" s="72"/>
      <c r="G727" s="75"/>
      <c r="H727" s="73"/>
      <c r="I727" s="51">
        <f t="shared" si="1"/>
        <v>0</v>
      </c>
      <c r="J727" s="76"/>
      <c r="K727" s="51">
        <f t="shared" si="2"/>
        <v>0</v>
      </c>
      <c r="L727" s="51">
        <f t="shared" si="5"/>
        <v>0</v>
      </c>
      <c r="M727" s="51">
        <f t="shared" si="4"/>
        <v>0</v>
      </c>
      <c r="N727" s="67"/>
    </row>
    <row r="728" ht="15.75" customHeight="1">
      <c r="A728" s="1"/>
      <c r="B728" s="69"/>
      <c r="D728" s="70"/>
      <c r="E728" s="71"/>
      <c r="F728" s="72"/>
      <c r="G728" s="75"/>
      <c r="H728" s="73"/>
      <c r="I728" s="51">
        <f t="shared" si="1"/>
        <v>0</v>
      </c>
      <c r="J728" s="76"/>
      <c r="K728" s="51">
        <f t="shared" si="2"/>
        <v>0</v>
      </c>
      <c r="L728" s="51">
        <f t="shared" si="5"/>
        <v>0</v>
      </c>
      <c r="M728" s="51">
        <f t="shared" si="4"/>
        <v>0</v>
      </c>
      <c r="N728" s="67"/>
    </row>
    <row r="729" ht="15.75" customHeight="1">
      <c r="A729" s="1"/>
      <c r="B729" s="69"/>
      <c r="D729" s="70"/>
      <c r="E729" s="71"/>
      <c r="F729" s="72"/>
      <c r="G729" s="75"/>
      <c r="H729" s="73"/>
      <c r="I729" s="51">
        <f t="shared" si="1"/>
        <v>0</v>
      </c>
      <c r="J729" s="76"/>
      <c r="K729" s="51">
        <f t="shared" si="2"/>
        <v>0</v>
      </c>
      <c r="L729" s="51">
        <f t="shared" si="5"/>
        <v>0</v>
      </c>
      <c r="M729" s="51">
        <f t="shared" si="4"/>
        <v>0</v>
      </c>
      <c r="N729" s="67"/>
    </row>
    <row r="730" ht="15.75" customHeight="1">
      <c r="A730" s="1"/>
      <c r="B730" s="69"/>
      <c r="D730" s="70"/>
      <c r="E730" s="71"/>
      <c r="F730" s="72"/>
      <c r="G730" s="75"/>
      <c r="H730" s="73"/>
      <c r="I730" s="51">
        <f t="shared" si="1"/>
        <v>0</v>
      </c>
      <c r="J730" s="76"/>
      <c r="K730" s="51">
        <f t="shared" si="2"/>
        <v>0</v>
      </c>
      <c r="L730" s="51">
        <f t="shared" si="5"/>
        <v>0</v>
      </c>
      <c r="M730" s="51">
        <f t="shared" si="4"/>
        <v>0</v>
      </c>
      <c r="N730" s="67"/>
    </row>
    <row r="731" ht="15.75" customHeight="1">
      <c r="A731" s="1"/>
      <c r="B731" s="69"/>
      <c r="D731" s="70"/>
      <c r="E731" s="71"/>
      <c r="F731" s="72"/>
      <c r="G731" s="75"/>
      <c r="H731" s="73"/>
      <c r="I731" s="51">
        <f t="shared" si="1"/>
        <v>0</v>
      </c>
      <c r="J731" s="76"/>
      <c r="K731" s="51">
        <f t="shared" si="2"/>
        <v>0</v>
      </c>
      <c r="L731" s="51">
        <f t="shared" si="5"/>
        <v>0</v>
      </c>
      <c r="M731" s="51">
        <f t="shared" si="4"/>
        <v>0</v>
      </c>
      <c r="N731" s="67"/>
    </row>
    <row r="732" ht="15.75" customHeight="1">
      <c r="A732" s="1"/>
      <c r="B732" s="69"/>
      <c r="D732" s="70"/>
      <c r="E732" s="71"/>
      <c r="F732" s="72"/>
      <c r="G732" s="75"/>
      <c r="H732" s="73"/>
      <c r="I732" s="51">
        <f t="shared" si="1"/>
        <v>0</v>
      </c>
      <c r="J732" s="76"/>
      <c r="K732" s="51">
        <f t="shared" si="2"/>
        <v>0</v>
      </c>
      <c r="L732" s="51">
        <f t="shared" si="5"/>
        <v>0</v>
      </c>
      <c r="M732" s="51">
        <f t="shared" si="4"/>
        <v>0</v>
      </c>
      <c r="N732" s="67"/>
    </row>
    <row r="733" ht="15.75" customHeight="1">
      <c r="A733" s="1"/>
      <c r="B733" s="69"/>
      <c r="D733" s="70"/>
      <c r="E733" s="71"/>
      <c r="F733" s="72"/>
      <c r="G733" s="75"/>
      <c r="H733" s="73"/>
      <c r="I733" s="51">
        <f t="shared" si="1"/>
        <v>0</v>
      </c>
      <c r="J733" s="76"/>
      <c r="K733" s="51">
        <f t="shared" si="2"/>
        <v>0</v>
      </c>
      <c r="L733" s="51">
        <f t="shared" si="5"/>
        <v>0</v>
      </c>
      <c r="M733" s="51">
        <f t="shared" si="4"/>
        <v>0</v>
      </c>
      <c r="N733" s="67"/>
    </row>
    <row r="734" ht="15.75" customHeight="1">
      <c r="A734" s="1"/>
      <c r="B734" s="69"/>
      <c r="D734" s="70"/>
      <c r="E734" s="71"/>
      <c r="F734" s="72"/>
      <c r="G734" s="75"/>
      <c r="H734" s="73"/>
      <c r="I734" s="51">
        <f t="shared" si="1"/>
        <v>0</v>
      </c>
      <c r="J734" s="76"/>
      <c r="K734" s="51">
        <f t="shared" si="2"/>
        <v>0</v>
      </c>
      <c r="L734" s="51">
        <f t="shared" si="5"/>
        <v>0</v>
      </c>
      <c r="M734" s="51">
        <f t="shared" si="4"/>
        <v>0</v>
      </c>
      <c r="N734" s="67"/>
    </row>
    <row r="735" ht="15.75" customHeight="1">
      <c r="A735" s="1"/>
      <c r="B735" s="69"/>
      <c r="D735" s="70"/>
      <c r="E735" s="71"/>
      <c r="F735" s="72"/>
      <c r="G735" s="75"/>
      <c r="H735" s="73"/>
      <c r="I735" s="51">
        <f t="shared" si="1"/>
        <v>0</v>
      </c>
      <c r="J735" s="76"/>
      <c r="K735" s="51">
        <f t="shared" si="2"/>
        <v>0</v>
      </c>
      <c r="L735" s="51">
        <f t="shared" si="5"/>
        <v>0</v>
      </c>
      <c r="M735" s="51">
        <f t="shared" si="4"/>
        <v>0</v>
      </c>
      <c r="N735" s="67"/>
    </row>
    <row r="736" ht="15.75" customHeight="1">
      <c r="A736" s="1"/>
      <c r="B736" s="69"/>
      <c r="D736" s="70"/>
      <c r="E736" s="71"/>
      <c r="F736" s="72"/>
      <c r="G736" s="75"/>
      <c r="H736" s="73"/>
      <c r="I736" s="51">
        <f t="shared" si="1"/>
        <v>0</v>
      </c>
      <c r="J736" s="76"/>
      <c r="K736" s="51">
        <f t="shared" si="2"/>
        <v>0</v>
      </c>
      <c r="L736" s="51">
        <f t="shared" si="5"/>
        <v>0</v>
      </c>
      <c r="M736" s="51">
        <f t="shared" si="4"/>
        <v>0</v>
      </c>
      <c r="N736" s="67"/>
    </row>
    <row r="737" ht="15.75" customHeight="1">
      <c r="A737" s="1"/>
      <c r="B737" s="69"/>
      <c r="D737" s="70"/>
      <c r="E737" s="71"/>
      <c r="F737" s="72"/>
      <c r="G737" s="75"/>
      <c r="H737" s="73"/>
      <c r="I737" s="51">
        <f t="shared" si="1"/>
        <v>0</v>
      </c>
      <c r="J737" s="76"/>
      <c r="K737" s="51">
        <f t="shared" si="2"/>
        <v>0</v>
      </c>
      <c r="L737" s="51">
        <f t="shared" si="5"/>
        <v>0</v>
      </c>
      <c r="M737" s="51">
        <f t="shared" si="4"/>
        <v>0</v>
      </c>
      <c r="N737" s="67"/>
    </row>
    <row r="738" ht="15.75" customHeight="1">
      <c r="A738" s="1"/>
      <c r="B738" s="69"/>
      <c r="D738" s="70"/>
      <c r="E738" s="71"/>
      <c r="F738" s="72"/>
      <c r="G738" s="75"/>
      <c r="H738" s="73"/>
      <c r="I738" s="51">
        <f t="shared" si="1"/>
        <v>0</v>
      </c>
      <c r="J738" s="76"/>
      <c r="K738" s="51">
        <f t="shared" si="2"/>
        <v>0</v>
      </c>
      <c r="L738" s="51">
        <f t="shared" si="5"/>
        <v>0</v>
      </c>
      <c r="M738" s="51">
        <f t="shared" si="4"/>
        <v>0</v>
      </c>
      <c r="N738" s="67"/>
    </row>
    <row r="739" ht="15.75" customHeight="1">
      <c r="A739" s="1"/>
      <c r="B739" s="69"/>
      <c r="D739" s="70"/>
      <c r="E739" s="71"/>
      <c r="F739" s="72"/>
      <c r="G739" s="75"/>
      <c r="H739" s="73"/>
      <c r="I739" s="51">
        <f t="shared" si="1"/>
        <v>0</v>
      </c>
      <c r="J739" s="76"/>
      <c r="K739" s="51">
        <f t="shared" si="2"/>
        <v>0</v>
      </c>
      <c r="L739" s="51">
        <f t="shared" si="5"/>
        <v>0</v>
      </c>
      <c r="M739" s="51">
        <f t="shared" si="4"/>
        <v>0</v>
      </c>
      <c r="N739" s="67"/>
    </row>
    <row r="740" ht="15.75" customHeight="1">
      <c r="A740" s="1"/>
      <c r="B740" s="69"/>
      <c r="D740" s="70"/>
      <c r="E740" s="71"/>
      <c r="F740" s="72"/>
      <c r="G740" s="75"/>
      <c r="H740" s="73"/>
      <c r="I740" s="51">
        <f t="shared" si="1"/>
        <v>0</v>
      </c>
      <c r="J740" s="76"/>
      <c r="K740" s="51">
        <f t="shared" si="2"/>
        <v>0</v>
      </c>
      <c r="L740" s="51">
        <f t="shared" si="5"/>
        <v>0</v>
      </c>
      <c r="M740" s="51">
        <f t="shared" si="4"/>
        <v>0</v>
      </c>
      <c r="N740" s="67"/>
    </row>
    <row r="741" ht="15.75" customHeight="1">
      <c r="A741" s="1"/>
      <c r="B741" s="69"/>
      <c r="D741" s="70"/>
      <c r="E741" s="71"/>
      <c r="F741" s="72"/>
      <c r="G741" s="75"/>
      <c r="H741" s="73"/>
      <c r="I741" s="51">
        <f t="shared" si="1"/>
        <v>0</v>
      </c>
      <c r="J741" s="76"/>
      <c r="K741" s="51">
        <f t="shared" si="2"/>
        <v>0</v>
      </c>
      <c r="L741" s="51">
        <f t="shared" si="5"/>
        <v>0</v>
      </c>
      <c r="M741" s="51">
        <f t="shared" si="4"/>
        <v>0</v>
      </c>
      <c r="N741" s="67"/>
    </row>
    <row r="742" ht="15.75" customHeight="1">
      <c r="A742" s="1"/>
      <c r="B742" s="69"/>
      <c r="D742" s="70"/>
      <c r="E742" s="71"/>
      <c r="F742" s="72"/>
      <c r="G742" s="75"/>
      <c r="H742" s="73"/>
      <c r="I742" s="51">
        <f t="shared" si="1"/>
        <v>0</v>
      </c>
      <c r="J742" s="76"/>
      <c r="K742" s="51">
        <f t="shared" si="2"/>
        <v>0</v>
      </c>
      <c r="L742" s="51">
        <f t="shared" si="5"/>
        <v>0</v>
      </c>
      <c r="M742" s="51">
        <f t="shared" si="4"/>
        <v>0</v>
      </c>
      <c r="N742" s="67"/>
    </row>
    <row r="743" ht="15.75" customHeight="1">
      <c r="A743" s="1"/>
      <c r="B743" s="69"/>
      <c r="D743" s="70"/>
      <c r="E743" s="71"/>
      <c r="F743" s="72"/>
      <c r="G743" s="75"/>
      <c r="H743" s="73"/>
      <c r="I743" s="51">
        <f t="shared" si="1"/>
        <v>0</v>
      </c>
      <c r="J743" s="76"/>
      <c r="K743" s="51">
        <f t="shared" si="2"/>
        <v>0</v>
      </c>
      <c r="L743" s="51">
        <f t="shared" si="5"/>
        <v>0</v>
      </c>
      <c r="M743" s="51">
        <f t="shared" si="4"/>
        <v>0</v>
      </c>
      <c r="N743" s="67"/>
    </row>
    <row r="744" ht="15.75" customHeight="1">
      <c r="A744" s="1"/>
      <c r="B744" s="69"/>
      <c r="D744" s="70"/>
      <c r="E744" s="71"/>
      <c r="F744" s="72"/>
      <c r="G744" s="75"/>
      <c r="H744" s="73"/>
      <c r="I744" s="51">
        <f t="shared" si="1"/>
        <v>0</v>
      </c>
      <c r="J744" s="76"/>
      <c r="K744" s="51">
        <f t="shared" si="2"/>
        <v>0</v>
      </c>
      <c r="L744" s="51">
        <f t="shared" si="5"/>
        <v>0</v>
      </c>
      <c r="M744" s="51">
        <f t="shared" si="4"/>
        <v>0</v>
      </c>
      <c r="N744" s="67"/>
    </row>
    <row r="745" ht="15.75" customHeight="1">
      <c r="A745" s="1"/>
      <c r="B745" s="69"/>
      <c r="D745" s="70"/>
      <c r="E745" s="71"/>
      <c r="F745" s="72"/>
      <c r="G745" s="75"/>
      <c r="H745" s="73"/>
      <c r="I745" s="51">
        <f t="shared" si="1"/>
        <v>0</v>
      </c>
      <c r="J745" s="76"/>
      <c r="K745" s="51">
        <f t="shared" si="2"/>
        <v>0</v>
      </c>
      <c r="L745" s="51">
        <f t="shared" si="5"/>
        <v>0</v>
      </c>
      <c r="M745" s="51">
        <f t="shared" si="4"/>
        <v>0</v>
      </c>
      <c r="N745" s="67"/>
    </row>
    <row r="746" ht="15.75" customHeight="1">
      <c r="A746" s="1"/>
      <c r="B746" s="69"/>
      <c r="D746" s="70"/>
      <c r="E746" s="71"/>
      <c r="F746" s="72"/>
      <c r="G746" s="75"/>
      <c r="H746" s="73"/>
      <c r="I746" s="51">
        <f t="shared" si="1"/>
        <v>0</v>
      </c>
      <c r="J746" s="76"/>
      <c r="K746" s="51">
        <f t="shared" si="2"/>
        <v>0</v>
      </c>
      <c r="L746" s="51">
        <f t="shared" si="5"/>
        <v>0</v>
      </c>
      <c r="M746" s="51">
        <f t="shared" si="4"/>
        <v>0</v>
      </c>
      <c r="N746" s="67"/>
    </row>
    <row r="747" ht="15.75" customHeight="1">
      <c r="A747" s="1"/>
      <c r="B747" s="69"/>
      <c r="D747" s="70"/>
      <c r="E747" s="71"/>
      <c r="F747" s="72"/>
      <c r="G747" s="75"/>
      <c r="H747" s="73"/>
      <c r="I747" s="51">
        <f t="shared" si="1"/>
        <v>0</v>
      </c>
      <c r="J747" s="76"/>
      <c r="K747" s="51">
        <f t="shared" si="2"/>
        <v>0</v>
      </c>
      <c r="L747" s="51">
        <f t="shared" si="5"/>
        <v>0</v>
      </c>
      <c r="M747" s="51">
        <f t="shared" si="4"/>
        <v>0</v>
      </c>
      <c r="N747" s="67"/>
    </row>
    <row r="748" ht="15.75" customHeight="1">
      <c r="A748" s="1"/>
      <c r="B748" s="69"/>
      <c r="D748" s="70"/>
      <c r="E748" s="71"/>
      <c r="F748" s="72"/>
      <c r="G748" s="75"/>
      <c r="H748" s="73"/>
      <c r="I748" s="51">
        <f t="shared" si="1"/>
        <v>0</v>
      </c>
      <c r="J748" s="76"/>
      <c r="K748" s="51">
        <f t="shared" si="2"/>
        <v>0</v>
      </c>
      <c r="L748" s="51">
        <f t="shared" si="5"/>
        <v>0</v>
      </c>
      <c r="M748" s="51">
        <f t="shared" si="4"/>
        <v>0</v>
      </c>
      <c r="N748" s="67"/>
    </row>
    <row r="749" ht="15.75" customHeight="1">
      <c r="A749" s="1"/>
      <c r="B749" s="69"/>
      <c r="D749" s="70"/>
      <c r="E749" s="71"/>
      <c r="F749" s="72"/>
      <c r="G749" s="75"/>
      <c r="H749" s="73"/>
      <c r="I749" s="51">
        <f t="shared" si="1"/>
        <v>0</v>
      </c>
      <c r="J749" s="76"/>
      <c r="K749" s="51">
        <f t="shared" si="2"/>
        <v>0</v>
      </c>
      <c r="L749" s="51">
        <f t="shared" si="5"/>
        <v>0</v>
      </c>
      <c r="M749" s="51">
        <f t="shared" si="4"/>
        <v>0</v>
      </c>
      <c r="N749" s="67"/>
    </row>
    <row r="750" ht="15.75" customHeight="1">
      <c r="A750" s="1"/>
      <c r="B750" s="69"/>
      <c r="D750" s="70"/>
      <c r="E750" s="71"/>
      <c r="F750" s="72"/>
      <c r="G750" s="75"/>
      <c r="H750" s="73"/>
      <c r="I750" s="51">
        <f t="shared" si="1"/>
        <v>0</v>
      </c>
      <c r="J750" s="76"/>
      <c r="K750" s="51">
        <f t="shared" si="2"/>
        <v>0</v>
      </c>
      <c r="L750" s="51">
        <f t="shared" si="5"/>
        <v>0</v>
      </c>
      <c r="M750" s="51">
        <f t="shared" si="4"/>
        <v>0</v>
      </c>
      <c r="N750" s="67"/>
    </row>
    <row r="751" ht="15.75" customHeight="1">
      <c r="A751" s="1"/>
      <c r="B751" s="69"/>
      <c r="D751" s="70"/>
      <c r="E751" s="71"/>
      <c r="F751" s="72"/>
      <c r="G751" s="75"/>
      <c r="H751" s="73"/>
      <c r="I751" s="51">
        <f t="shared" si="1"/>
        <v>0</v>
      </c>
      <c r="J751" s="76"/>
      <c r="K751" s="51">
        <f t="shared" si="2"/>
        <v>0</v>
      </c>
      <c r="L751" s="51">
        <f t="shared" si="5"/>
        <v>0</v>
      </c>
      <c r="M751" s="51">
        <f t="shared" si="4"/>
        <v>0</v>
      </c>
      <c r="N751" s="67"/>
    </row>
    <row r="752" ht="15.75" customHeight="1">
      <c r="A752" s="1"/>
      <c r="B752" s="69"/>
      <c r="D752" s="70"/>
      <c r="E752" s="71"/>
      <c r="F752" s="72"/>
      <c r="G752" s="75"/>
      <c r="H752" s="73"/>
      <c r="I752" s="51">
        <f t="shared" si="1"/>
        <v>0</v>
      </c>
      <c r="J752" s="76"/>
      <c r="K752" s="51">
        <f t="shared" si="2"/>
        <v>0</v>
      </c>
      <c r="L752" s="51">
        <f t="shared" si="5"/>
        <v>0</v>
      </c>
      <c r="M752" s="51">
        <f t="shared" si="4"/>
        <v>0</v>
      </c>
      <c r="N752" s="67"/>
    </row>
    <row r="753" ht="15.75" customHeight="1">
      <c r="A753" s="1"/>
      <c r="B753" s="69"/>
      <c r="D753" s="70"/>
      <c r="E753" s="71"/>
      <c r="F753" s="72"/>
      <c r="G753" s="75"/>
      <c r="H753" s="73"/>
      <c r="I753" s="51">
        <f t="shared" si="1"/>
        <v>0</v>
      </c>
      <c r="J753" s="76"/>
      <c r="K753" s="51">
        <f t="shared" si="2"/>
        <v>0</v>
      </c>
      <c r="L753" s="51">
        <f t="shared" si="5"/>
        <v>0</v>
      </c>
      <c r="M753" s="51">
        <f t="shared" si="4"/>
        <v>0</v>
      </c>
      <c r="N753" s="67"/>
    </row>
    <row r="754" ht="15.75" customHeight="1">
      <c r="A754" s="1"/>
      <c r="B754" s="69"/>
      <c r="D754" s="70"/>
      <c r="E754" s="71"/>
      <c r="F754" s="72"/>
      <c r="G754" s="75"/>
      <c r="H754" s="73"/>
      <c r="I754" s="51">
        <f t="shared" si="1"/>
        <v>0</v>
      </c>
      <c r="J754" s="76"/>
      <c r="K754" s="51">
        <f t="shared" si="2"/>
        <v>0</v>
      </c>
      <c r="L754" s="51">
        <f t="shared" si="5"/>
        <v>0</v>
      </c>
      <c r="M754" s="51">
        <f t="shared" si="4"/>
        <v>0</v>
      </c>
      <c r="N754" s="67"/>
    </row>
    <row r="755" ht="15.75" customHeight="1">
      <c r="A755" s="1"/>
      <c r="B755" s="69"/>
      <c r="D755" s="70"/>
      <c r="E755" s="71"/>
      <c r="F755" s="72"/>
      <c r="G755" s="75"/>
      <c r="H755" s="73"/>
      <c r="I755" s="51">
        <f t="shared" si="1"/>
        <v>0</v>
      </c>
      <c r="J755" s="76"/>
      <c r="K755" s="51">
        <f t="shared" si="2"/>
        <v>0</v>
      </c>
      <c r="L755" s="51">
        <f t="shared" si="5"/>
        <v>0</v>
      </c>
      <c r="M755" s="51">
        <f t="shared" si="4"/>
        <v>0</v>
      </c>
      <c r="N755" s="67"/>
    </row>
    <row r="756" ht="15.75" customHeight="1">
      <c r="A756" s="1"/>
      <c r="B756" s="69"/>
      <c r="D756" s="70"/>
      <c r="E756" s="71"/>
      <c r="F756" s="72"/>
      <c r="G756" s="75"/>
      <c r="H756" s="73"/>
      <c r="I756" s="51">
        <f t="shared" si="1"/>
        <v>0</v>
      </c>
      <c r="J756" s="76"/>
      <c r="K756" s="51">
        <f t="shared" si="2"/>
        <v>0</v>
      </c>
      <c r="L756" s="51">
        <f t="shared" si="5"/>
        <v>0</v>
      </c>
      <c r="M756" s="51">
        <f t="shared" si="4"/>
        <v>0</v>
      </c>
      <c r="N756" s="67"/>
    </row>
    <row r="757" ht="15.75" customHeight="1">
      <c r="A757" s="1"/>
      <c r="B757" s="69"/>
      <c r="D757" s="70"/>
      <c r="E757" s="71"/>
      <c r="F757" s="72"/>
      <c r="G757" s="75"/>
      <c r="H757" s="73"/>
      <c r="I757" s="51">
        <f t="shared" si="1"/>
        <v>0</v>
      </c>
      <c r="J757" s="76"/>
      <c r="K757" s="51">
        <f t="shared" si="2"/>
        <v>0</v>
      </c>
      <c r="L757" s="51">
        <f t="shared" si="5"/>
        <v>0</v>
      </c>
      <c r="M757" s="51">
        <f t="shared" si="4"/>
        <v>0</v>
      </c>
      <c r="N757" s="67"/>
    </row>
    <row r="758" ht="15.75" customHeight="1">
      <c r="A758" s="1"/>
      <c r="B758" s="69"/>
      <c r="D758" s="70"/>
      <c r="E758" s="71"/>
      <c r="F758" s="72"/>
      <c r="G758" s="75"/>
      <c r="H758" s="73"/>
      <c r="I758" s="51">
        <f t="shared" si="1"/>
        <v>0</v>
      </c>
      <c r="J758" s="76"/>
      <c r="K758" s="51">
        <f t="shared" si="2"/>
        <v>0</v>
      </c>
      <c r="L758" s="51">
        <f t="shared" si="5"/>
        <v>0</v>
      </c>
      <c r="M758" s="51">
        <f t="shared" si="4"/>
        <v>0</v>
      </c>
      <c r="N758" s="67"/>
    </row>
    <row r="759" ht="15.75" customHeight="1">
      <c r="A759" s="1"/>
      <c r="B759" s="69"/>
      <c r="D759" s="70"/>
      <c r="E759" s="71"/>
      <c r="F759" s="72"/>
      <c r="G759" s="75"/>
      <c r="H759" s="73"/>
      <c r="I759" s="51">
        <f t="shared" si="1"/>
        <v>0</v>
      </c>
      <c r="J759" s="76"/>
      <c r="K759" s="51">
        <f t="shared" si="2"/>
        <v>0</v>
      </c>
      <c r="L759" s="51">
        <f t="shared" si="5"/>
        <v>0</v>
      </c>
      <c r="M759" s="51">
        <f t="shared" si="4"/>
        <v>0</v>
      </c>
      <c r="N759" s="67"/>
    </row>
    <row r="760" ht="15.75" customHeight="1">
      <c r="A760" s="1"/>
      <c r="B760" s="69"/>
      <c r="D760" s="70"/>
      <c r="E760" s="71"/>
      <c r="F760" s="72"/>
      <c r="G760" s="75"/>
      <c r="H760" s="73"/>
      <c r="I760" s="51">
        <f t="shared" si="1"/>
        <v>0</v>
      </c>
      <c r="J760" s="76"/>
      <c r="K760" s="51">
        <f t="shared" si="2"/>
        <v>0</v>
      </c>
      <c r="L760" s="51">
        <f t="shared" si="5"/>
        <v>0</v>
      </c>
      <c r="M760" s="51">
        <f t="shared" si="4"/>
        <v>0</v>
      </c>
      <c r="N760" s="67"/>
    </row>
    <row r="761" ht="15.75" customHeight="1">
      <c r="A761" s="1"/>
      <c r="B761" s="69"/>
      <c r="D761" s="70"/>
      <c r="E761" s="71"/>
      <c r="F761" s="72"/>
      <c r="G761" s="75"/>
      <c r="H761" s="73"/>
      <c r="I761" s="51">
        <f t="shared" si="1"/>
        <v>0</v>
      </c>
      <c r="J761" s="76"/>
      <c r="K761" s="51">
        <f t="shared" si="2"/>
        <v>0</v>
      </c>
      <c r="L761" s="51">
        <f t="shared" si="5"/>
        <v>0</v>
      </c>
      <c r="M761" s="51">
        <f t="shared" si="4"/>
        <v>0</v>
      </c>
      <c r="N761" s="67"/>
    </row>
    <row r="762" ht="15.75" customHeight="1">
      <c r="A762" s="1"/>
      <c r="B762" s="69"/>
      <c r="D762" s="70"/>
      <c r="E762" s="71"/>
      <c r="F762" s="72"/>
      <c r="G762" s="75"/>
      <c r="H762" s="73"/>
      <c r="I762" s="51">
        <f t="shared" si="1"/>
        <v>0</v>
      </c>
      <c r="J762" s="76"/>
      <c r="K762" s="51">
        <f t="shared" si="2"/>
        <v>0</v>
      </c>
      <c r="L762" s="51">
        <f t="shared" si="5"/>
        <v>0</v>
      </c>
      <c r="M762" s="51">
        <f t="shared" si="4"/>
        <v>0</v>
      </c>
      <c r="N762" s="67"/>
    </row>
    <row r="763" ht="15.75" customHeight="1">
      <c r="A763" s="1"/>
      <c r="B763" s="69"/>
      <c r="D763" s="70"/>
      <c r="E763" s="71"/>
      <c r="F763" s="72"/>
      <c r="G763" s="75"/>
      <c r="H763" s="73"/>
      <c r="I763" s="51">
        <f t="shared" si="1"/>
        <v>0</v>
      </c>
      <c r="J763" s="76"/>
      <c r="K763" s="51">
        <f t="shared" si="2"/>
        <v>0</v>
      </c>
      <c r="L763" s="51">
        <f t="shared" si="5"/>
        <v>0</v>
      </c>
      <c r="M763" s="51">
        <f t="shared" si="4"/>
        <v>0</v>
      </c>
      <c r="N763" s="67"/>
    </row>
    <row r="764" ht="15.75" customHeight="1">
      <c r="A764" s="1"/>
      <c r="B764" s="69"/>
      <c r="D764" s="70"/>
      <c r="E764" s="71"/>
      <c r="F764" s="72"/>
      <c r="G764" s="75"/>
      <c r="H764" s="73"/>
      <c r="I764" s="51">
        <f t="shared" si="1"/>
        <v>0</v>
      </c>
      <c r="J764" s="76"/>
      <c r="K764" s="51">
        <f t="shared" si="2"/>
        <v>0</v>
      </c>
      <c r="L764" s="51">
        <f t="shared" si="5"/>
        <v>0</v>
      </c>
      <c r="M764" s="51">
        <f t="shared" si="4"/>
        <v>0</v>
      </c>
      <c r="N764" s="67"/>
    </row>
    <row r="765" ht="15.75" customHeight="1">
      <c r="A765" s="1"/>
      <c r="B765" s="69"/>
      <c r="D765" s="70"/>
      <c r="E765" s="71"/>
      <c r="F765" s="72"/>
      <c r="G765" s="75"/>
      <c r="H765" s="73"/>
      <c r="I765" s="51">
        <f t="shared" si="1"/>
        <v>0</v>
      </c>
      <c r="J765" s="76"/>
      <c r="K765" s="51">
        <f t="shared" si="2"/>
        <v>0</v>
      </c>
      <c r="L765" s="51">
        <f t="shared" si="5"/>
        <v>0</v>
      </c>
      <c r="M765" s="51">
        <f t="shared" si="4"/>
        <v>0</v>
      </c>
      <c r="N765" s="67"/>
    </row>
    <row r="766" ht="15.75" customHeight="1">
      <c r="A766" s="1"/>
      <c r="B766" s="69"/>
      <c r="D766" s="70"/>
      <c r="E766" s="71"/>
      <c r="F766" s="72"/>
      <c r="G766" s="75"/>
      <c r="H766" s="73"/>
      <c r="I766" s="51">
        <f t="shared" si="1"/>
        <v>0</v>
      </c>
      <c r="J766" s="76"/>
      <c r="K766" s="51">
        <f t="shared" si="2"/>
        <v>0</v>
      </c>
      <c r="L766" s="51">
        <f t="shared" si="5"/>
        <v>0</v>
      </c>
      <c r="M766" s="51">
        <f t="shared" si="4"/>
        <v>0</v>
      </c>
      <c r="N766" s="67"/>
    </row>
    <row r="767" ht="15.75" customHeight="1">
      <c r="A767" s="1"/>
      <c r="B767" s="69"/>
      <c r="D767" s="70"/>
      <c r="E767" s="71"/>
      <c r="F767" s="72"/>
      <c r="G767" s="75"/>
      <c r="H767" s="73"/>
      <c r="I767" s="51">
        <f t="shared" si="1"/>
        <v>0</v>
      </c>
      <c r="J767" s="76"/>
      <c r="K767" s="51">
        <f t="shared" si="2"/>
        <v>0</v>
      </c>
      <c r="L767" s="51">
        <f t="shared" si="5"/>
        <v>0</v>
      </c>
      <c r="M767" s="51">
        <f t="shared" si="4"/>
        <v>0</v>
      </c>
      <c r="N767" s="67"/>
    </row>
    <row r="768" ht="15.75" customHeight="1">
      <c r="A768" s="1"/>
      <c r="B768" s="69"/>
      <c r="D768" s="70"/>
      <c r="E768" s="71"/>
      <c r="F768" s="72"/>
      <c r="G768" s="75"/>
      <c r="H768" s="73"/>
      <c r="I768" s="51">
        <f t="shared" si="1"/>
        <v>0</v>
      </c>
      <c r="J768" s="76"/>
      <c r="K768" s="51">
        <f t="shared" si="2"/>
        <v>0</v>
      </c>
      <c r="L768" s="51">
        <f t="shared" si="5"/>
        <v>0</v>
      </c>
      <c r="M768" s="51">
        <f t="shared" si="4"/>
        <v>0</v>
      </c>
      <c r="N768" s="67"/>
    </row>
    <row r="769" ht="15.75" customHeight="1">
      <c r="A769" s="1"/>
      <c r="B769" s="69"/>
      <c r="D769" s="70"/>
      <c r="E769" s="71"/>
      <c r="F769" s="72"/>
      <c r="G769" s="75"/>
      <c r="H769" s="73"/>
      <c r="I769" s="51">
        <f t="shared" si="1"/>
        <v>0</v>
      </c>
      <c r="J769" s="76"/>
      <c r="K769" s="51">
        <f t="shared" si="2"/>
        <v>0</v>
      </c>
      <c r="L769" s="51">
        <f t="shared" si="5"/>
        <v>0</v>
      </c>
      <c r="M769" s="51">
        <f t="shared" si="4"/>
        <v>0</v>
      </c>
      <c r="N769" s="67"/>
    </row>
    <row r="770" ht="15.75" customHeight="1">
      <c r="A770" s="1"/>
      <c r="B770" s="69"/>
      <c r="D770" s="70"/>
      <c r="E770" s="71"/>
      <c r="F770" s="72"/>
      <c r="G770" s="75"/>
      <c r="H770" s="73"/>
      <c r="I770" s="51">
        <f t="shared" si="1"/>
        <v>0</v>
      </c>
      <c r="J770" s="76"/>
      <c r="K770" s="51">
        <f t="shared" si="2"/>
        <v>0</v>
      </c>
      <c r="L770" s="51">
        <f t="shared" si="5"/>
        <v>0</v>
      </c>
      <c r="M770" s="51">
        <f t="shared" si="4"/>
        <v>0</v>
      </c>
      <c r="N770" s="67"/>
    </row>
    <row r="771" ht="15.75" customHeight="1">
      <c r="A771" s="1"/>
      <c r="B771" s="69"/>
      <c r="D771" s="70"/>
      <c r="E771" s="71"/>
      <c r="F771" s="72"/>
      <c r="G771" s="75"/>
      <c r="H771" s="73"/>
      <c r="I771" s="51">
        <f t="shared" si="1"/>
        <v>0</v>
      </c>
      <c r="J771" s="76"/>
      <c r="K771" s="51">
        <f t="shared" si="2"/>
        <v>0</v>
      </c>
      <c r="L771" s="51">
        <f t="shared" si="5"/>
        <v>0</v>
      </c>
      <c r="M771" s="51">
        <f t="shared" si="4"/>
        <v>0</v>
      </c>
      <c r="N771" s="67"/>
    </row>
    <row r="772" ht="15.75" customHeight="1">
      <c r="A772" s="1"/>
      <c r="B772" s="69"/>
      <c r="D772" s="70"/>
      <c r="E772" s="71"/>
      <c r="F772" s="72"/>
      <c r="G772" s="75"/>
      <c r="H772" s="73"/>
      <c r="I772" s="51">
        <f t="shared" si="1"/>
        <v>0</v>
      </c>
      <c r="J772" s="76"/>
      <c r="K772" s="51">
        <f t="shared" si="2"/>
        <v>0</v>
      </c>
      <c r="L772" s="51">
        <f t="shared" si="5"/>
        <v>0</v>
      </c>
      <c r="M772" s="51">
        <f t="shared" si="4"/>
        <v>0</v>
      </c>
      <c r="N772" s="67"/>
    </row>
    <row r="773" ht="15.75" customHeight="1">
      <c r="A773" s="1"/>
      <c r="B773" s="69"/>
      <c r="D773" s="70"/>
      <c r="E773" s="71"/>
      <c r="F773" s="72"/>
      <c r="G773" s="75"/>
      <c r="H773" s="73"/>
      <c r="I773" s="51">
        <f t="shared" si="1"/>
        <v>0</v>
      </c>
      <c r="J773" s="76"/>
      <c r="K773" s="51">
        <f t="shared" si="2"/>
        <v>0</v>
      </c>
      <c r="L773" s="51">
        <f t="shared" si="5"/>
        <v>0</v>
      </c>
      <c r="M773" s="51">
        <f t="shared" si="4"/>
        <v>0</v>
      </c>
      <c r="N773" s="67"/>
    </row>
    <row r="774" ht="15.75" customHeight="1">
      <c r="A774" s="1"/>
      <c r="B774" s="69"/>
      <c r="D774" s="70"/>
      <c r="E774" s="71"/>
      <c r="F774" s="72"/>
      <c r="G774" s="75"/>
      <c r="H774" s="73"/>
      <c r="I774" s="51">
        <f t="shared" si="1"/>
        <v>0</v>
      </c>
      <c r="J774" s="76"/>
      <c r="K774" s="51">
        <f t="shared" si="2"/>
        <v>0</v>
      </c>
      <c r="L774" s="51">
        <f t="shared" si="5"/>
        <v>0</v>
      </c>
      <c r="M774" s="51">
        <f t="shared" si="4"/>
        <v>0</v>
      </c>
      <c r="N774" s="67"/>
    </row>
    <row r="775" ht="15.75" customHeight="1">
      <c r="A775" s="1"/>
      <c r="B775" s="69"/>
      <c r="D775" s="70"/>
      <c r="E775" s="71"/>
      <c r="F775" s="72"/>
      <c r="G775" s="75"/>
      <c r="H775" s="73"/>
      <c r="I775" s="51">
        <f t="shared" si="1"/>
        <v>0</v>
      </c>
      <c r="J775" s="76"/>
      <c r="K775" s="51">
        <f t="shared" si="2"/>
        <v>0</v>
      </c>
      <c r="L775" s="51">
        <f t="shared" si="5"/>
        <v>0</v>
      </c>
      <c r="M775" s="51">
        <f t="shared" si="4"/>
        <v>0</v>
      </c>
      <c r="N775" s="67"/>
    </row>
    <row r="776" ht="15.75" customHeight="1">
      <c r="A776" s="1"/>
      <c r="B776" s="69"/>
      <c r="D776" s="70"/>
      <c r="E776" s="71"/>
      <c r="F776" s="72"/>
      <c r="G776" s="75"/>
      <c r="H776" s="73"/>
      <c r="I776" s="51">
        <f t="shared" si="1"/>
        <v>0</v>
      </c>
      <c r="J776" s="76"/>
      <c r="K776" s="51">
        <f t="shared" si="2"/>
        <v>0</v>
      </c>
      <c r="L776" s="51">
        <f t="shared" si="5"/>
        <v>0</v>
      </c>
      <c r="M776" s="51">
        <f t="shared" si="4"/>
        <v>0</v>
      </c>
      <c r="N776" s="67"/>
    </row>
    <row r="777" ht="15.75" customHeight="1">
      <c r="A777" s="1"/>
      <c r="B777" s="69"/>
      <c r="D777" s="70"/>
      <c r="E777" s="71"/>
      <c r="F777" s="72"/>
      <c r="G777" s="75"/>
      <c r="H777" s="73"/>
      <c r="I777" s="51">
        <f t="shared" si="1"/>
        <v>0</v>
      </c>
      <c r="J777" s="76"/>
      <c r="K777" s="51">
        <f t="shared" si="2"/>
        <v>0</v>
      </c>
      <c r="L777" s="51">
        <f t="shared" si="5"/>
        <v>0</v>
      </c>
      <c r="M777" s="51">
        <f t="shared" si="4"/>
        <v>0</v>
      </c>
      <c r="N777" s="67"/>
    </row>
    <row r="778" ht="15.75" customHeight="1">
      <c r="A778" s="1"/>
      <c r="B778" s="69"/>
      <c r="D778" s="70"/>
      <c r="E778" s="71"/>
      <c r="F778" s="72"/>
      <c r="G778" s="75"/>
      <c r="H778" s="73"/>
      <c r="I778" s="51">
        <f t="shared" si="1"/>
        <v>0</v>
      </c>
      <c r="J778" s="76"/>
      <c r="K778" s="51">
        <f t="shared" si="2"/>
        <v>0</v>
      </c>
      <c r="L778" s="51">
        <f t="shared" si="5"/>
        <v>0</v>
      </c>
      <c r="M778" s="51">
        <f t="shared" si="4"/>
        <v>0</v>
      </c>
      <c r="N778" s="67"/>
    </row>
    <row r="779" ht="15.75" customHeight="1">
      <c r="A779" s="1"/>
      <c r="B779" s="69"/>
      <c r="D779" s="70"/>
      <c r="E779" s="71"/>
      <c r="F779" s="72"/>
      <c r="G779" s="75"/>
      <c r="H779" s="73"/>
      <c r="I779" s="51">
        <f t="shared" si="1"/>
        <v>0</v>
      </c>
      <c r="J779" s="76"/>
      <c r="K779" s="51">
        <f t="shared" si="2"/>
        <v>0</v>
      </c>
      <c r="L779" s="51">
        <f t="shared" si="5"/>
        <v>0</v>
      </c>
      <c r="M779" s="51">
        <f t="shared" si="4"/>
        <v>0</v>
      </c>
      <c r="N779" s="67"/>
    </row>
    <row r="780" ht="15.75" customHeight="1">
      <c r="A780" s="1"/>
      <c r="B780" s="69"/>
      <c r="D780" s="70"/>
      <c r="E780" s="71"/>
      <c r="F780" s="72"/>
      <c r="G780" s="75"/>
      <c r="H780" s="73"/>
      <c r="I780" s="51">
        <f t="shared" si="1"/>
        <v>0</v>
      </c>
      <c r="J780" s="76"/>
      <c r="K780" s="51">
        <f t="shared" si="2"/>
        <v>0</v>
      </c>
      <c r="L780" s="51">
        <f t="shared" si="5"/>
        <v>0</v>
      </c>
      <c r="M780" s="51">
        <f t="shared" si="4"/>
        <v>0</v>
      </c>
      <c r="N780" s="67"/>
    </row>
    <row r="781" ht="15.75" customHeight="1">
      <c r="A781" s="1"/>
      <c r="B781" s="69"/>
      <c r="D781" s="70"/>
      <c r="E781" s="71"/>
      <c r="F781" s="72"/>
      <c r="G781" s="75"/>
      <c r="H781" s="73"/>
      <c r="I781" s="51">
        <f t="shared" si="1"/>
        <v>0</v>
      </c>
      <c r="J781" s="76"/>
      <c r="K781" s="51">
        <f t="shared" si="2"/>
        <v>0</v>
      </c>
      <c r="L781" s="51">
        <f t="shared" si="5"/>
        <v>0</v>
      </c>
      <c r="M781" s="51">
        <f t="shared" si="4"/>
        <v>0</v>
      </c>
      <c r="N781" s="67"/>
    </row>
    <row r="782" ht="15.75" customHeight="1">
      <c r="A782" s="1"/>
      <c r="B782" s="69"/>
      <c r="D782" s="70"/>
      <c r="E782" s="71"/>
      <c r="F782" s="72"/>
      <c r="G782" s="75"/>
      <c r="H782" s="73"/>
      <c r="I782" s="51">
        <f t="shared" si="1"/>
        <v>0</v>
      </c>
      <c r="J782" s="76"/>
      <c r="K782" s="51">
        <f t="shared" si="2"/>
        <v>0</v>
      </c>
      <c r="L782" s="51">
        <f t="shared" si="5"/>
        <v>0</v>
      </c>
      <c r="M782" s="51">
        <f t="shared" si="4"/>
        <v>0</v>
      </c>
      <c r="N782" s="67"/>
    </row>
    <row r="783" ht="15.75" customHeight="1">
      <c r="A783" s="1"/>
      <c r="B783" s="69"/>
      <c r="D783" s="70"/>
      <c r="E783" s="71"/>
      <c r="F783" s="72"/>
      <c r="G783" s="75"/>
      <c r="H783" s="73"/>
      <c r="I783" s="51">
        <f t="shared" si="1"/>
        <v>0</v>
      </c>
      <c r="J783" s="76"/>
      <c r="K783" s="51">
        <f t="shared" si="2"/>
        <v>0</v>
      </c>
      <c r="L783" s="51">
        <f t="shared" si="5"/>
        <v>0</v>
      </c>
      <c r="M783" s="51">
        <f t="shared" si="4"/>
        <v>0</v>
      </c>
      <c r="N783" s="67"/>
    </row>
    <row r="784" ht="15.75" customHeight="1">
      <c r="A784" s="1"/>
      <c r="B784" s="69"/>
      <c r="D784" s="70"/>
      <c r="E784" s="71"/>
      <c r="F784" s="72"/>
      <c r="G784" s="75"/>
      <c r="H784" s="73"/>
      <c r="I784" s="51">
        <f t="shared" si="1"/>
        <v>0</v>
      </c>
      <c r="J784" s="76"/>
      <c r="K784" s="51">
        <f t="shared" si="2"/>
        <v>0</v>
      </c>
      <c r="L784" s="51">
        <f t="shared" si="5"/>
        <v>0</v>
      </c>
      <c r="M784" s="51">
        <f t="shared" si="4"/>
        <v>0</v>
      </c>
      <c r="N784" s="67"/>
    </row>
    <row r="785" ht="15.75" customHeight="1">
      <c r="A785" s="1"/>
      <c r="B785" s="69"/>
      <c r="D785" s="70"/>
      <c r="E785" s="71"/>
      <c r="F785" s="72"/>
      <c r="G785" s="75"/>
      <c r="H785" s="73"/>
      <c r="I785" s="51">
        <f t="shared" si="1"/>
        <v>0</v>
      </c>
      <c r="J785" s="76"/>
      <c r="K785" s="51">
        <f t="shared" si="2"/>
        <v>0</v>
      </c>
      <c r="L785" s="51">
        <f t="shared" si="5"/>
        <v>0</v>
      </c>
      <c r="M785" s="51">
        <f t="shared" si="4"/>
        <v>0</v>
      </c>
      <c r="N785" s="67"/>
    </row>
    <row r="786" ht="15.75" customHeight="1">
      <c r="A786" s="1"/>
      <c r="B786" s="69"/>
      <c r="D786" s="70"/>
      <c r="E786" s="71"/>
      <c r="F786" s="72"/>
      <c r="G786" s="75"/>
      <c r="H786" s="73"/>
      <c r="I786" s="51">
        <f t="shared" si="1"/>
        <v>0</v>
      </c>
      <c r="J786" s="76"/>
      <c r="K786" s="51">
        <f t="shared" si="2"/>
        <v>0</v>
      </c>
      <c r="L786" s="51">
        <f t="shared" si="5"/>
        <v>0</v>
      </c>
      <c r="M786" s="51">
        <f t="shared" si="4"/>
        <v>0</v>
      </c>
      <c r="N786" s="67"/>
    </row>
    <row r="787" ht="15.75" customHeight="1">
      <c r="A787" s="1"/>
      <c r="B787" s="69"/>
      <c r="D787" s="70"/>
      <c r="E787" s="71"/>
      <c r="F787" s="72"/>
      <c r="G787" s="75"/>
      <c r="H787" s="73"/>
      <c r="I787" s="51">
        <f t="shared" si="1"/>
        <v>0</v>
      </c>
      <c r="J787" s="76"/>
      <c r="K787" s="51">
        <f t="shared" si="2"/>
        <v>0</v>
      </c>
      <c r="L787" s="51">
        <f t="shared" si="5"/>
        <v>0</v>
      </c>
      <c r="M787" s="51">
        <f t="shared" si="4"/>
        <v>0</v>
      </c>
      <c r="N787" s="67"/>
    </row>
    <row r="788" ht="15.75" customHeight="1">
      <c r="A788" s="1"/>
      <c r="B788" s="69"/>
      <c r="D788" s="70"/>
      <c r="E788" s="71"/>
      <c r="F788" s="72"/>
      <c r="G788" s="75"/>
      <c r="H788" s="73"/>
      <c r="I788" s="51">
        <f t="shared" si="1"/>
        <v>0</v>
      </c>
      <c r="J788" s="76"/>
      <c r="K788" s="51">
        <f t="shared" si="2"/>
        <v>0</v>
      </c>
      <c r="L788" s="51">
        <f t="shared" si="5"/>
        <v>0</v>
      </c>
      <c r="M788" s="51">
        <f t="shared" si="4"/>
        <v>0</v>
      </c>
      <c r="N788" s="67"/>
    </row>
    <row r="789" ht="15.75" customHeight="1">
      <c r="A789" s="1"/>
      <c r="B789" s="69"/>
      <c r="D789" s="70"/>
      <c r="E789" s="71"/>
      <c r="F789" s="72"/>
      <c r="G789" s="75"/>
      <c r="H789" s="73"/>
      <c r="I789" s="51">
        <f t="shared" si="1"/>
        <v>0</v>
      </c>
      <c r="J789" s="76"/>
      <c r="K789" s="51">
        <f t="shared" si="2"/>
        <v>0</v>
      </c>
      <c r="L789" s="51">
        <f t="shared" si="5"/>
        <v>0</v>
      </c>
      <c r="M789" s="51">
        <f t="shared" si="4"/>
        <v>0</v>
      </c>
      <c r="N789" s="67"/>
    </row>
    <row r="790" ht="15.75" customHeight="1">
      <c r="A790" s="1"/>
      <c r="B790" s="69"/>
      <c r="D790" s="70"/>
      <c r="E790" s="71"/>
      <c r="F790" s="72"/>
      <c r="G790" s="75"/>
      <c r="H790" s="73"/>
      <c r="I790" s="51">
        <f t="shared" si="1"/>
        <v>0</v>
      </c>
      <c r="J790" s="76"/>
      <c r="K790" s="51">
        <f t="shared" si="2"/>
        <v>0</v>
      </c>
      <c r="L790" s="51">
        <f t="shared" si="5"/>
        <v>0</v>
      </c>
      <c r="M790" s="51">
        <f t="shared" si="4"/>
        <v>0</v>
      </c>
      <c r="N790" s="67"/>
    </row>
    <row r="791" ht="15.75" customHeight="1">
      <c r="A791" s="1"/>
      <c r="B791" s="69"/>
      <c r="D791" s="70"/>
      <c r="E791" s="71"/>
      <c r="F791" s="72"/>
      <c r="G791" s="75"/>
      <c r="H791" s="73"/>
      <c r="I791" s="51">
        <f t="shared" si="1"/>
        <v>0</v>
      </c>
      <c r="J791" s="76"/>
      <c r="K791" s="51">
        <f t="shared" si="2"/>
        <v>0</v>
      </c>
      <c r="L791" s="51">
        <f t="shared" si="5"/>
        <v>0</v>
      </c>
      <c r="M791" s="51">
        <f t="shared" si="4"/>
        <v>0</v>
      </c>
      <c r="N791" s="67"/>
    </row>
    <row r="792" ht="15.75" customHeight="1">
      <c r="A792" s="1"/>
      <c r="B792" s="69"/>
      <c r="D792" s="70"/>
      <c r="E792" s="71"/>
      <c r="F792" s="72"/>
      <c r="G792" s="75"/>
      <c r="H792" s="73"/>
      <c r="I792" s="51">
        <f t="shared" si="1"/>
        <v>0</v>
      </c>
      <c r="J792" s="76"/>
      <c r="K792" s="51">
        <f t="shared" si="2"/>
        <v>0</v>
      </c>
      <c r="L792" s="51">
        <f t="shared" si="5"/>
        <v>0</v>
      </c>
      <c r="M792" s="51">
        <f t="shared" si="4"/>
        <v>0</v>
      </c>
      <c r="N792" s="67"/>
    </row>
    <row r="793" ht="15.75" customHeight="1">
      <c r="A793" s="1"/>
      <c r="B793" s="69"/>
      <c r="D793" s="70"/>
      <c r="E793" s="71"/>
      <c r="F793" s="72"/>
      <c r="G793" s="75"/>
      <c r="H793" s="73"/>
      <c r="I793" s="51">
        <f t="shared" si="1"/>
        <v>0</v>
      </c>
      <c r="J793" s="76"/>
      <c r="K793" s="51">
        <f t="shared" si="2"/>
        <v>0</v>
      </c>
      <c r="L793" s="51">
        <f t="shared" si="5"/>
        <v>0</v>
      </c>
      <c r="M793" s="51">
        <f t="shared" si="4"/>
        <v>0</v>
      </c>
      <c r="N793" s="67"/>
    </row>
    <row r="794" ht="15.75" customHeight="1">
      <c r="A794" s="1"/>
      <c r="B794" s="69"/>
      <c r="D794" s="70"/>
      <c r="E794" s="71"/>
      <c r="F794" s="72"/>
      <c r="G794" s="75"/>
      <c r="H794" s="73"/>
      <c r="I794" s="51">
        <f t="shared" si="1"/>
        <v>0</v>
      </c>
      <c r="J794" s="76"/>
      <c r="K794" s="51">
        <f t="shared" si="2"/>
        <v>0</v>
      </c>
      <c r="L794" s="51">
        <f t="shared" si="5"/>
        <v>0</v>
      </c>
      <c r="M794" s="51">
        <f t="shared" si="4"/>
        <v>0</v>
      </c>
      <c r="N794" s="67"/>
    </row>
    <row r="795" ht="15.75" customHeight="1">
      <c r="A795" s="1"/>
      <c r="B795" s="69"/>
      <c r="D795" s="70"/>
      <c r="E795" s="71"/>
      <c r="F795" s="72"/>
      <c r="G795" s="75"/>
      <c r="H795" s="73"/>
      <c r="I795" s="51">
        <f t="shared" si="1"/>
        <v>0</v>
      </c>
      <c r="J795" s="76"/>
      <c r="K795" s="51">
        <f t="shared" si="2"/>
        <v>0</v>
      </c>
      <c r="L795" s="51">
        <f t="shared" si="5"/>
        <v>0</v>
      </c>
      <c r="M795" s="51">
        <f t="shared" si="4"/>
        <v>0</v>
      </c>
      <c r="N795" s="67"/>
    </row>
    <row r="796" ht="15.75" customHeight="1">
      <c r="A796" s="1"/>
      <c r="B796" s="69"/>
      <c r="D796" s="70"/>
      <c r="E796" s="71"/>
      <c r="F796" s="72"/>
      <c r="G796" s="75"/>
      <c r="H796" s="73"/>
      <c r="I796" s="51">
        <f t="shared" si="1"/>
        <v>0</v>
      </c>
      <c r="J796" s="76"/>
      <c r="K796" s="51">
        <f t="shared" si="2"/>
        <v>0</v>
      </c>
      <c r="L796" s="51">
        <f t="shared" si="5"/>
        <v>0</v>
      </c>
      <c r="M796" s="51">
        <f t="shared" si="4"/>
        <v>0</v>
      </c>
      <c r="N796" s="67"/>
    </row>
    <row r="797" ht="15.75" customHeight="1">
      <c r="A797" s="1"/>
      <c r="B797" s="69"/>
      <c r="D797" s="70"/>
      <c r="E797" s="71"/>
      <c r="F797" s="72"/>
      <c r="G797" s="75"/>
      <c r="H797" s="73"/>
      <c r="I797" s="51">
        <f t="shared" si="1"/>
        <v>0</v>
      </c>
      <c r="J797" s="76"/>
      <c r="K797" s="51">
        <f t="shared" si="2"/>
        <v>0</v>
      </c>
      <c r="L797" s="51">
        <f t="shared" si="5"/>
        <v>0</v>
      </c>
      <c r="M797" s="51">
        <f t="shared" si="4"/>
        <v>0</v>
      </c>
      <c r="N797" s="67"/>
    </row>
    <row r="798" ht="15.75" customHeight="1">
      <c r="A798" s="1"/>
      <c r="B798" s="69"/>
      <c r="D798" s="70"/>
      <c r="E798" s="71"/>
      <c r="F798" s="72"/>
      <c r="G798" s="75"/>
      <c r="H798" s="73"/>
      <c r="I798" s="51">
        <f t="shared" si="1"/>
        <v>0</v>
      </c>
      <c r="J798" s="76"/>
      <c r="K798" s="51">
        <f t="shared" si="2"/>
        <v>0</v>
      </c>
      <c r="L798" s="51">
        <f t="shared" si="5"/>
        <v>0</v>
      </c>
      <c r="M798" s="51">
        <f t="shared" si="4"/>
        <v>0</v>
      </c>
      <c r="N798" s="67"/>
    </row>
    <row r="799" ht="15.75" customHeight="1">
      <c r="A799" s="1"/>
      <c r="B799" s="69"/>
      <c r="D799" s="70"/>
      <c r="E799" s="71"/>
      <c r="F799" s="72"/>
      <c r="G799" s="75"/>
      <c r="H799" s="73"/>
      <c r="I799" s="51">
        <f t="shared" si="1"/>
        <v>0</v>
      </c>
      <c r="J799" s="76"/>
      <c r="K799" s="51">
        <f t="shared" si="2"/>
        <v>0</v>
      </c>
      <c r="L799" s="51">
        <f t="shared" si="5"/>
        <v>0</v>
      </c>
      <c r="M799" s="51">
        <f t="shared" si="4"/>
        <v>0</v>
      </c>
      <c r="N799" s="67"/>
    </row>
    <row r="800" ht="15.75" customHeight="1">
      <c r="A800" s="1"/>
      <c r="B800" s="69"/>
      <c r="D800" s="70"/>
      <c r="E800" s="71"/>
      <c r="F800" s="72"/>
      <c r="G800" s="75"/>
      <c r="H800" s="73"/>
      <c r="I800" s="51">
        <f t="shared" si="1"/>
        <v>0</v>
      </c>
      <c r="J800" s="76"/>
      <c r="K800" s="51">
        <f t="shared" si="2"/>
        <v>0</v>
      </c>
      <c r="L800" s="51">
        <f t="shared" si="5"/>
        <v>0</v>
      </c>
      <c r="M800" s="51">
        <f t="shared" si="4"/>
        <v>0</v>
      </c>
      <c r="N800" s="67"/>
    </row>
    <row r="801" ht="15.75" customHeight="1">
      <c r="A801" s="1"/>
      <c r="B801" s="69"/>
      <c r="D801" s="70"/>
      <c r="E801" s="71"/>
      <c r="F801" s="72"/>
      <c r="G801" s="75"/>
      <c r="H801" s="73"/>
      <c r="I801" s="51">
        <f t="shared" si="1"/>
        <v>0</v>
      </c>
      <c r="J801" s="76"/>
      <c r="K801" s="51">
        <f t="shared" si="2"/>
        <v>0</v>
      </c>
      <c r="L801" s="51">
        <f t="shared" si="5"/>
        <v>0</v>
      </c>
      <c r="M801" s="51">
        <f t="shared" si="4"/>
        <v>0</v>
      </c>
      <c r="N801" s="67"/>
    </row>
    <row r="802" ht="15.75" customHeight="1">
      <c r="A802" s="1"/>
      <c r="B802" s="69"/>
      <c r="D802" s="70"/>
      <c r="E802" s="71"/>
      <c r="F802" s="72"/>
      <c r="G802" s="75"/>
      <c r="H802" s="73"/>
      <c r="I802" s="51">
        <f t="shared" si="1"/>
        <v>0</v>
      </c>
      <c r="J802" s="76"/>
      <c r="K802" s="51">
        <f t="shared" si="2"/>
        <v>0</v>
      </c>
      <c r="L802" s="51">
        <f t="shared" si="5"/>
        <v>0</v>
      </c>
      <c r="M802" s="51">
        <f t="shared" si="4"/>
        <v>0</v>
      </c>
      <c r="N802" s="67"/>
    </row>
    <row r="803" ht="15.75" customHeight="1">
      <c r="A803" s="1"/>
      <c r="B803" s="69"/>
      <c r="D803" s="70"/>
      <c r="E803" s="71"/>
      <c r="F803" s="72"/>
      <c r="G803" s="75"/>
      <c r="H803" s="73"/>
      <c r="I803" s="51">
        <f t="shared" si="1"/>
        <v>0</v>
      </c>
      <c r="J803" s="76"/>
      <c r="K803" s="51">
        <f t="shared" si="2"/>
        <v>0</v>
      </c>
      <c r="L803" s="51">
        <f t="shared" si="5"/>
        <v>0</v>
      </c>
      <c r="M803" s="51">
        <f t="shared" si="4"/>
        <v>0</v>
      </c>
      <c r="N803" s="67"/>
    </row>
    <row r="804" ht="15.75" customHeight="1">
      <c r="A804" s="1"/>
      <c r="B804" s="69"/>
      <c r="D804" s="70"/>
      <c r="E804" s="71"/>
      <c r="F804" s="72"/>
      <c r="G804" s="75"/>
      <c r="H804" s="73"/>
      <c r="I804" s="51">
        <f t="shared" si="1"/>
        <v>0</v>
      </c>
      <c r="J804" s="76"/>
      <c r="K804" s="51">
        <f t="shared" si="2"/>
        <v>0</v>
      </c>
      <c r="L804" s="51">
        <f t="shared" si="5"/>
        <v>0</v>
      </c>
      <c r="M804" s="51">
        <f t="shared" si="4"/>
        <v>0</v>
      </c>
      <c r="N804" s="67"/>
    </row>
    <row r="805" ht="15.75" customHeight="1">
      <c r="A805" s="1"/>
      <c r="B805" s="69"/>
      <c r="D805" s="70"/>
      <c r="E805" s="71"/>
      <c r="F805" s="72"/>
      <c r="G805" s="75"/>
      <c r="H805" s="73"/>
      <c r="I805" s="51">
        <f t="shared" si="1"/>
        <v>0</v>
      </c>
      <c r="J805" s="76"/>
      <c r="K805" s="51">
        <f t="shared" si="2"/>
        <v>0</v>
      </c>
      <c r="L805" s="51">
        <f t="shared" si="5"/>
        <v>0</v>
      </c>
      <c r="M805" s="51">
        <f t="shared" si="4"/>
        <v>0</v>
      </c>
      <c r="N805" s="67"/>
    </row>
    <row r="806" ht="15.75" customHeight="1">
      <c r="A806" s="1"/>
      <c r="B806" s="69"/>
      <c r="D806" s="70"/>
      <c r="E806" s="71"/>
      <c r="F806" s="72"/>
      <c r="G806" s="75"/>
      <c r="H806" s="73"/>
      <c r="I806" s="51">
        <f t="shared" si="1"/>
        <v>0</v>
      </c>
      <c r="J806" s="76"/>
      <c r="K806" s="51">
        <f t="shared" si="2"/>
        <v>0</v>
      </c>
      <c r="L806" s="51">
        <f t="shared" si="5"/>
        <v>0</v>
      </c>
      <c r="M806" s="51">
        <f t="shared" si="4"/>
        <v>0</v>
      </c>
      <c r="N806" s="67"/>
    </row>
    <row r="807" ht="15.75" customHeight="1">
      <c r="A807" s="1"/>
      <c r="B807" s="69"/>
      <c r="D807" s="70"/>
      <c r="E807" s="71"/>
      <c r="F807" s="72"/>
      <c r="G807" s="75"/>
      <c r="H807" s="73"/>
      <c r="I807" s="51">
        <f t="shared" si="1"/>
        <v>0</v>
      </c>
      <c r="J807" s="76"/>
      <c r="K807" s="51">
        <f t="shared" si="2"/>
        <v>0</v>
      </c>
      <c r="L807" s="51">
        <f t="shared" si="5"/>
        <v>0</v>
      </c>
      <c r="M807" s="51">
        <f t="shared" si="4"/>
        <v>0</v>
      </c>
      <c r="N807" s="67"/>
    </row>
    <row r="808" ht="15.75" customHeight="1">
      <c r="A808" s="1"/>
      <c r="B808" s="69"/>
      <c r="D808" s="70"/>
      <c r="E808" s="71"/>
      <c r="F808" s="72"/>
      <c r="G808" s="75"/>
      <c r="H808" s="73"/>
      <c r="I808" s="51">
        <f t="shared" si="1"/>
        <v>0</v>
      </c>
      <c r="J808" s="76"/>
      <c r="K808" s="51">
        <f t="shared" si="2"/>
        <v>0</v>
      </c>
      <c r="L808" s="51">
        <f t="shared" si="5"/>
        <v>0</v>
      </c>
      <c r="M808" s="51">
        <f t="shared" si="4"/>
        <v>0</v>
      </c>
      <c r="N808" s="67"/>
    </row>
    <row r="809" ht="15.75" customHeight="1">
      <c r="A809" s="1"/>
      <c r="B809" s="69"/>
      <c r="D809" s="70"/>
      <c r="E809" s="71"/>
      <c r="F809" s="72"/>
      <c r="G809" s="75"/>
      <c r="H809" s="73"/>
      <c r="I809" s="51">
        <f t="shared" si="1"/>
        <v>0</v>
      </c>
      <c r="J809" s="76"/>
      <c r="K809" s="51">
        <f t="shared" si="2"/>
        <v>0</v>
      </c>
      <c r="L809" s="51">
        <f t="shared" si="5"/>
        <v>0</v>
      </c>
      <c r="M809" s="51">
        <f t="shared" si="4"/>
        <v>0</v>
      </c>
      <c r="N809" s="67"/>
    </row>
    <row r="810" ht="15.75" customHeight="1">
      <c r="A810" s="1"/>
      <c r="B810" s="69"/>
      <c r="D810" s="70"/>
      <c r="E810" s="71"/>
      <c r="F810" s="72"/>
      <c r="G810" s="75"/>
      <c r="H810" s="73"/>
      <c r="I810" s="51">
        <f t="shared" si="1"/>
        <v>0</v>
      </c>
      <c r="J810" s="76"/>
      <c r="K810" s="51">
        <f t="shared" si="2"/>
        <v>0</v>
      </c>
      <c r="L810" s="51">
        <f t="shared" si="5"/>
        <v>0</v>
      </c>
      <c r="M810" s="51">
        <f t="shared" si="4"/>
        <v>0</v>
      </c>
      <c r="N810" s="67"/>
    </row>
    <row r="811" ht="15.75" customHeight="1">
      <c r="A811" s="1"/>
      <c r="B811" s="69"/>
      <c r="D811" s="70"/>
      <c r="E811" s="71"/>
      <c r="F811" s="72"/>
      <c r="G811" s="75"/>
      <c r="H811" s="73"/>
      <c r="I811" s="51">
        <f t="shared" si="1"/>
        <v>0</v>
      </c>
      <c r="J811" s="76"/>
      <c r="K811" s="51">
        <f t="shared" si="2"/>
        <v>0</v>
      </c>
      <c r="L811" s="51">
        <f t="shared" si="5"/>
        <v>0</v>
      </c>
      <c r="M811" s="51">
        <f t="shared" si="4"/>
        <v>0</v>
      </c>
      <c r="N811" s="67"/>
    </row>
    <row r="812" ht="15.75" customHeight="1">
      <c r="A812" s="1"/>
      <c r="B812" s="69"/>
      <c r="D812" s="70"/>
      <c r="E812" s="71"/>
      <c r="F812" s="72"/>
      <c r="G812" s="75"/>
      <c r="H812" s="73"/>
      <c r="I812" s="51">
        <f t="shared" si="1"/>
        <v>0</v>
      </c>
      <c r="J812" s="76"/>
      <c r="K812" s="51">
        <f t="shared" si="2"/>
        <v>0</v>
      </c>
      <c r="L812" s="51">
        <f t="shared" si="5"/>
        <v>0</v>
      </c>
      <c r="M812" s="51">
        <f t="shared" si="4"/>
        <v>0</v>
      </c>
      <c r="N812" s="67"/>
    </row>
    <row r="813" ht="15.75" customHeight="1">
      <c r="A813" s="1"/>
      <c r="B813" s="69"/>
      <c r="D813" s="70"/>
      <c r="E813" s="71"/>
      <c r="F813" s="72"/>
      <c r="G813" s="75"/>
      <c r="H813" s="73"/>
      <c r="I813" s="51">
        <f t="shared" si="1"/>
        <v>0</v>
      </c>
      <c r="J813" s="76"/>
      <c r="K813" s="51">
        <f t="shared" si="2"/>
        <v>0</v>
      </c>
      <c r="L813" s="51">
        <f t="shared" si="5"/>
        <v>0</v>
      </c>
      <c r="M813" s="51">
        <f t="shared" si="4"/>
        <v>0</v>
      </c>
      <c r="N813" s="67"/>
    </row>
    <row r="814" ht="15.75" customHeight="1">
      <c r="A814" s="1"/>
      <c r="B814" s="69"/>
      <c r="D814" s="70"/>
      <c r="E814" s="71"/>
      <c r="F814" s="72"/>
      <c r="G814" s="75"/>
      <c r="H814" s="73"/>
      <c r="I814" s="51">
        <f t="shared" si="1"/>
        <v>0</v>
      </c>
      <c r="J814" s="76"/>
      <c r="K814" s="51">
        <f t="shared" si="2"/>
        <v>0</v>
      </c>
      <c r="L814" s="51">
        <f t="shared" si="5"/>
        <v>0</v>
      </c>
      <c r="M814" s="51">
        <f t="shared" si="4"/>
        <v>0</v>
      </c>
      <c r="N814" s="67"/>
    </row>
    <row r="815" ht="15.75" customHeight="1">
      <c r="A815" s="1"/>
      <c r="B815" s="69"/>
      <c r="D815" s="70"/>
      <c r="E815" s="71"/>
      <c r="F815" s="72"/>
      <c r="G815" s="75"/>
      <c r="H815" s="73"/>
      <c r="I815" s="51">
        <f t="shared" si="1"/>
        <v>0</v>
      </c>
      <c r="J815" s="76"/>
      <c r="K815" s="51">
        <f t="shared" si="2"/>
        <v>0</v>
      </c>
      <c r="L815" s="51">
        <f t="shared" si="5"/>
        <v>0</v>
      </c>
      <c r="M815" s="51">
        <f t="shared" si="4"/>
        <v>0</v>
      </c>
      <c r="N815" s="67"/>
    </row>
    <row r="816" ht="15.75" customHeight="1">
      <c r="A816" s="1"/>
      <c r="B816" s="69"/>
      <c r="D816" s="70"/>
      <c r="E816" s="71"/>
      <c r="F816" s="72"/>
      <c r="G816" s="75"/>
      <c r="H816" s="73"/>
      <c r="I816" s="51">
        <f t="shared" si="1"/>
        <v>0</v>
      </c>
      <c r="J816" s="76"/>
      <c r="K816" s="51">
        <f t="shared" si="2"/>
        <v>0</v>
      </c>
      <c r="L816" s="51">
        <f t="shared" si="5"/>
        <v>0</v>
      </c>
      <c r="M816" s="51">
        <f t="shared" si="4"/>
        <v>0</v>
      </c>
      <c r="N816" s="67"/>
    </row>
    <row r="817" ht="15.75" customHeight="1">
      <c r="A817" s="1"/>
      <c r="B817" s="69"/>
      <c r="D817" s="70"/>
      <c r="E817" s="71"/>
      <c r="F817" s="72"/>
      <c r="G817" s="75"/>
      <c r="H817" s="73"/>
      <c r="I817" s="51">
        <f t="shared" si="1"/>
        <v>0</v>
      </c>
      <c r="J817" s="76"/>
      <c r="K817" s="51">
        <f t="shared" si="2"/>
        <v>0</v>
      </c>
      <c r="L817" s="51">
        <f t="shared" si="5"/>
        <v>0</v>
      </c>
      <c r="M817" s="51">
        <f t="shared" si="4"/>
        <v>0</v>
      </c>
      <c r="N817" s="67"/>
    </row>
    <row r="818" ht="15.75" customHeight="1">
      <c r="A818" s="1"/>
      <c r="B818" s="69"/>
      <c r="D818" s="70"/>
      <c r="E818" s="71"/>
      <c r="F818" s="72"/>
      <c r="G818" s="75"/>
      <c r="H818" s="73"/>
      <c r="I818" s="51">
        <f t="shared" si="1"/>
        <v>0</v>
      </c>
      <c r="J818" s="76"/>
      <c r="K818" s="51">
        <f t="shared" si="2"/>
        <v>0</v>
      </c>
      <c r="L818" s="51">
        <f t="shared" si="5"/>
        <v>0</v>
      </c>
      <c r="M818" s="51">
        <f t="shared" si="4"/>
        <v>0</v>
      </c>
      <c r="N818" s="67"/>
    </row>
    <row r="819" ht="15.75" customHeight="1">
      <c r="A819" s="1"/>
      <c r="B819" s="69"/>
      <c r="D819" s="70"/>
      <c r="E819" s="71"/>
      <c r="F819" s="72"/>
      <c r="G819" s="75"/>
      <c r="H819" s="73"/>
      <c r="I819" s="51">
        <f t="shared" si="1"/>
        <v>0</v>
      </c>
      <c r="J819" s="76"/>
      <c r="K819" s="51">
        <f t="shared" si="2"/>
        <v>0</v>
      </c>
      <c r="L819" s="51">
        <f t="shared" si="5"/>
        <v>0</v>
      </c>
      <c r="M819" s="51">
        <f t="shared" si="4"/>
        <v>0</v>
      </c>
      <c r="N819" s="67"/>
    </row>
    <row r="820" ht="15.75" customHeight="1">
      <c r="A820" s="1"/>
      <c r="B820" s="69"/>
      <c r="D820" s="70"/>
      <c r="E820" s="71"/>
      <c r="F820" s="72"/>
      <c r="G820" s="75"/>
      <c r="H820" s="73"/>
      <c r="I820" s="51">
        <f t="shared" si="1"/>
        <v>0</v>
      </c>
      <c r="J820" s="76"/>
      <c r="K820" s="51">
        <f t="shared" si="2"/>
        <v>0</v>
      </c>
      <c r="L820" s="51">
        <f t="shared" si="5"/>
        <v>0</v>
      </c>
      <c r="M820" s="51">
        <f t="shared" si="4"/>
        <v>0</v>
      </c>
      <c r="N820" s="67"/>
    </row>
    <row r="821" ht="15.75" customHeight="1">
      <c r="A821" s="1"/>
      <c r="B821" s="69"/>
      <c r="D821" s="70"/>
      <c r="E821" s="71"/>
      <c r="F821" s="72"/>
      <c r="G821" s="75"/>
      <c r="H821" s="73"/>
      <c r="I821" s="51">
        <f t="shared" si="1"/>
        <v>0</v>
      </c>
      <c r="J821" s="76"/>
      <c r="K821" s="51">
        <f t="shared" si="2"/>
        <v>0</v>
      </c>
      <c r="L821" s="51">
        <f t="shared" si="5"/>
        <v>0</v>
      </c>
      <c r="M821" s="51">
        <f t="shared" si="4"/>
        <v>0</v>
      </c>
      <c r="N821" s="67"/>
    </row>
    <row r="822" ht="15.75" customHeight="1">
      <c r="A822" s="1"/>
      <c r="B822" s="69"/>
      <c r="D822" s="70"/>
      <c r="E822" s="71"/>
      <c r="F822" s="72"/>
      <c r="G822" s="75"/>
      <c r="H822" s="73"/>
      <c r="I822" s="51">
        <f t="shared" si="1"/>
        <v>0</v>
      </c>
      <c r="J822" s="76"/>
      <c r="K822" s="51">
        <f t="shared" si="2"/>
        <v>0</v>
      </c>
      <c r="L822" s="51">
        <f t="shared" si="5"/>
        <v>0</v>
      </c>
      <c r="M822" s="51">
        <f t="shared" si="4"/>
        <v>0</v>
      </c>
      <c r="N822" s="67"/>
    </row>
    <row r="823" ht="15.75" customHeight="1">
      <c r="A823" s="1"/>
      <c r="B823" s="69"/>
      <c r="D823" s="70"/>
      <c r="E823" s="71"/>
      <c r="F823" s="72"/>
      <c r="G823" s="75"/>
      <c r="H823" s="73"/>
      <c r="I823" s="51">
        <f t="shared" si="1"/>
        <v>0</v>
      </c>
      <c r="J823" s="76"/>
      <c r="K823" s="51">
        <f t="shared" si="2"/>
        <v>0</v>
      </c>
      <c r="L823" s="51">
        <f t="shared" si="5"/>
        <v>0</v>
      </c>
      <c r="M823" s="51">
        <f t="shared" si="4"/>
        <v>0</v>
      </c>
      <c r="N823" s="67"/>
    </row>
    <row r="824" ht="15.75" customHeight="1">
      <c r="A824" s="1"/>
      <c r="B824" s="69"/>
      <c r="D824" s="70"/>
      <c r="E824" s="71"/>
      <c r="F824" s="72"/>
      <c r="G824" s="75"/>
      <c r="H824" s="73"/>
      <c r="I824" s="51">
        <f t="shared" si="1"/>
        <v>0</v>
      </c>
      <c r="J824" s="76"/>
      <c r="K824" s="51">
        <f t="shared" si="2"/>
        <v>0</v>
      </c>
      <c r="L824" s="51">
        <f t="shared" si="5"/>
        <v>0</v>
      </c>
      <c r="M824" s="51">
        <f t="shared" si="4"/>
        <v>0</v>
      </c>
      <c r="N824" s="67"/>
    </row>
    <row r="825" ht="15.75" customHeight="1">
      <c r="A825" s="1"/>
      <c r="B825" s="69"/>
      <c r="D825" s="70"/>
      <c r="E825" s="71"/>
      <c r="F825" s="72"/>
      <c r="G825" s="75"/>
      <c r="H825" s="73"/>
      <c r="I825" s="51">
        <f t="shared" si="1"/>
        <v>0</v>
      </c>
      <c r="J825" s="76"/>
      <c r="K825" s="51">
        <f t="shared" si="2"/>
        <v>0</v>
      </c>
      <c r="L825" s="51">
        <f t="shared" si="5"/>
        <v>0</v>
      </c>
      <c r="M825" s="51">
        <f t="shared" si="4"/>
        <v>0</v>
      </c>
      <c r="N825" s="67"/>
    </row>
    <row r="826" ht="15.75" customHeight="1">
      <c r="A826" s="1"/>
      <c r="B826" s="69"/>
      <c r="D826" s="70"/>
      <c r="E826" s="71"/>
      <c r="F826" s="72"/>
      <c r="G826" s="75"/>
      <c r="H826" s="73"/>
      <c r="I826" s="51">
        <f t="shared" si="1"/>
        <v>0</v>
      </c>
      <c r="J826" s="76"/>
      <c r="K826" s="51">
        <f t="shared" si="2"/>
        <v>0</v>
      </c>
      <c r="L826" s="51">
        <f t="shared" si="5"/>
        <v>0</v>
      </c>
      <c r="M826" s="51">
        <f t="shared" si="4"/>
        <v>0</v>
      </c>
      <c r="N826" s="67"/>
    </row>
    <row r="827" ht="15.75" customHeight="1">
      <c r="A827" s="1"/>
      <c r="B827" s="69"/>
      <c r="D827" s="70"/>
      <c r="E827" s="71"/>
      <c r="F827" s="72"/>
      <c r="G827" s="75"/>
      <c r="H827" s="73"/>
      <c r="I827" s="51">
        <f t="shared" si="1"/>
        <v>0</v>
      </c>
      <c r="J827" s="76"/>
      <c r="K827" s="51">
        <f t="shared" si="2"/>
        <v>0</v>
      </c>
      <c r="L827" s="51">
        <f t="shared" si="5"/>
        <v>0</v>
      </c>
      <c r="M827" s="51">
        <f t="shared" si="4"/>
        <v>0</v>
      </c>
      <c r="N827" s="67"/>
    </row>
    <row r="828" ht="15.75" customHeight="1">
      <c r="A828" s="1"/>
      <c r="B828" s="69"/>
      <c r="D828" s="70"/>
      <c r="E828" s="71"/>
      <c r="F828" s="72"/>
      <c r="G828" s="75"/>
      <c r="H828" s="73"/>
      <c r="I828" s="51">
        <f t="shared" si="1"/>
        <v>0</v>
      </c>
      <c r="J828" s="76"/>
      <c r="K828" s="51">
        <f t="shared" si="2"/>
        <v>0</v>
      </c>
      <c r="L828" s="51">
        <f t="shared" si="5"/>
        <v>0</v>
      </c>
      <c r="M828" s="51">
        <f t="shared" si="4"/>
        <v>0</v>
      </c>
      <c r="N828" s="67"/>
    </row>
    <row r="829" ht="15.75" customHeight="1">
      <c r="A829" s="1"/>
      <c r="B829" s="69"/>
      <c r="D829" s="70"/>
      <c r="E829" s="71"/>
      <c r="F829" s="72"/>
      <c r="G829" s="75"/>
      <c r="H829" s="73"/>
      <c r="I829" s="51">
        <f t="shared" si="1"/>
        <v>0</v>
      </c>
      <c r="J829" s="76"/>
      <c r="K829" s="51">
        <f t="shared" si="2"/>
        <v>0</v>
      </c>
      <c r="L829" s="51">
        <f t="shared" si="5"/>
        <v>0</v>
      </c>
      <c r="M829" s="51">
        <f t="shared" si="4"/>
        <v>0</v>
      </c>
      <c r="N829" s="67"/>
    </row>
    <row r="830" ht="15.75" customHeight="1">
      <c r="A830" s="1"/>
      <c r="B830" s="69"/>
      <c r="D830" s="70"/>
      <c r="E830" s="71"/>
      <c r="F830" s="72"/>
      <c r="G830" s="75"/>
      <c r="H830" s="73"/>
      <c r="I830" s="51">
        <f t="shared" si="1"/>
        <v>0</v>
      </c>
      <c r="J830" s="76"/>
      <c r="K830" s="51">
        <f t="shared" si="2"/>
        <v>0</v>
      </c>
      <c r="L830" s="51">
        <f t="shared" si="5"/>
        <v>0</v>
      </c>
      <c r="M830" s="51">
        <f t="shared" si="4"/>
        <v>0</v>
      </c>
      <c r="N830" s="67"/>
    </row>
    <row r="831" ht="15.75" customHeight="1">
      <c r="A831" s="1"/>
      <c r="B831" s="69"/>
      <c r="D831" s="70"/>
      <c r="E831" s="71"/>
      <c r="F831" s="72"/>
      <c r="G831" s="75"/>
      <c r="H831" s="73"/>
      <c r="I831" s="51">
        <f t="shared" si="1"/>
        <v>0</v>
      </c>
      <c r="J831" s="76"/>
      <c r="K831" s="51">
        <f t="shared" si="2"/>
        <v>0</v>
      </c>
      <c r="L831" s="51">
        <f t="shared" si="5"/>
        <v>0</v>
      </c>
      <c r="M831" s="51">
        <f t="shared" si="4"/>
        <v>0</v>
      </c>
      <c r="N831" s="67"/>
    </row>
    <row r="832" ht="15.75" customHeight="1">
      <c r="A832" s="1"/>
      <c r="B832" s="69"/>
      <c r="D832" s="70"/>
      <c r="E832" s="71"/>
      <c r="F832" s="72"/>
      <c r="G832" s="75"/>
      <c r="H832" s="73"/>
      <c r="I832" s="51">
        <f t="shared" si="1"/>
        <v>0</v>
      </c>
      <c r="J832" s="76"/>
      <c r="K832" s="51">
        <f t="shared" si="2"/>
        <v>0</v>
      </c>
      <c r="L832" s="51">
        <f t="shared" si="5"/>
        <v>0</v>
      </c>
      <c r="M832" s="51">
        <f t="shared" si="4"/>
        <v>0</v>
      </c>
      <c r="N832" s="67"/>
    </row>
    <row r="833" ht="15.75" customHeight="1">
      <c r="A833" s="1"/>
      <c r="B833" s="69"/>
      <c r="D833" s="70"/>
      <c r="E833" s="71"/>
      <c r="F833" s="72"/>
      <c r="G833" s="75"/>
      <c r="H833" s="73"/>
      <c r="I833" s="51">
        <f t="shared" si="1"/>
        <v>0</v>
      </c>
      <c r="J833" s="76"/>
      <c r="K833" s="51">
        <f t="shared" si="2"/>
        <v>0</v>
      </c>
      <c r="L833" s="51">
        <f t="shared" si="5"/>
        <v>0</v>
      </c>
      <c r="M833" s="51">
        <f t="shared" si="4"/>
        <v>0</v>
      </c>
      <c r="N833" s="67"/>
    </row>
    <row r="834" ht="15.75" customHeight="1">
      <c r="A834" s="1"/>
      <c r="B834" s="69"/>
      <c r="D834" s="70"/>
      <c r="E834" s="71"/>
      <c r="F834" s="72"/>
      <c r="G834" s="75"/>
      <c r="H834" s="73"/>
      <c r="I834" s="51">
        <f t="shared" si="1"/>
        <v>0</v>
      </c>
      <c r="J834" s="76"/>
      <c r="K834" s="51">
        <f t="shared" si="2"/>
        <v>0</v>
      </c>
      <c r="L834" s="51">
        <f t="shared" si="5"/>
        <v>0</v>
      </c>
      <c r="M834" s="51">
        <f t="shared" si="4"/>
        <v>0</v>
      </c>
      <c r="N834" s="67"/>
    </row>
    <row r="835" ht="15.75" customHeight="1">
      <c r="A835" s="1"/>
      <c r="B835" s="69"/>
      <c r="D835" s="70"/>
      <c r="E835" s="71"/>
      <c r="F835" s="72"/>
      <c r="G835" s="75"/>
      <c r="H835" s="73"/>
      <c r="I835" s="51">
        <f t="shared" si="1"/>
        <v>0</v>
      </c>
      <c r="J835" s="76"/>
      <c r="K835" s="51">
        <f t="shared" si="2"/>
        <v>0</v>
      </c>
      <c r="L835" s="51">
        <f t="shared" si="5"/>
        <v>0</v>
      </c>
      <c r="M835" s="51">
        <f t="shared" si="4"/>
        <v>0</v>
      </c>
      <c r="N835" s="67"/>
    </row>
    <row r="836" ht="15.75" customHeight="1">
      <c r="A836" s="1"/>
      <c r="B836" s="69"/>
      <c r="D836" s="70"/>
      <c r="E836" s="71"/>
      <c r="F836" s="72"/>
      <c r="G836" s="75"/>
      <c r="H836" s="73"/>
      <c r="I836" s="51">
        <f t="shared" si="1"/>
        <v>0</v>
      </c>
      <c r="J836" s="76"/>
      <c r="K836" s="51">
        <f t="shared" si="2"/>
        <v>0</v>
      </c>
      <c r="L836" s="51">
        <f t="shared" si="5"/>
        <v>0</v>
      </c>
      <c r="M836" s="51">
        <f t="shared" si="4"/>
        <v>0</v>
      </c>
      <c r="N836" s="67"/>
    </row>
    <row r="837" ht="15.75" customHeight="1">
      <c r="A837" s="1"/>
      <c r="B837" s="69"/>
      <c r="D837" s="70"/>
      <c r="E837" s="71"/>
      <c r="F837" s="72"/>
      <c r="G837" s="75"/>
      <c r="H837" s="73"/>
      <c r="I837" s="51">
        <f t="shared" si="1"/>
        <v>0</v>
      </c>
      <c r="J837" s="76"/>
      <c r="K837" s="51">
        <f t="shared" si="2"/>
        <v>0</v>
      </c>
      <c r="L837" s="51">
        <f t="shared" si="5"/>
        <v>0</v>
      </c>
      <c r="M837" s="51">
        <f t="shared" si="4"/>
        <v>0</v>
      </c>
      <c r="N837" s="67"/>
    </row>
    <row r="838" ht="15.75" customHeight="1">
      <c r="A838" s="1"/>
      <c r="B838" s="69"/>
      <c r="D838" s="70"/>
      <c r="E838" s="71"/>
      <c r="F838" s="72"/>
      <c r="G838" s="75"/>
      <c r="H838" s="73"/>
      <c r="I838" s="51">
        <f t="shared" si="1"/>
        <v>0</v>
      </c>
      <c r="J838" s="76"/>
      <c r="K838" s="51">
        <f t="shared" si="2"/>
        <v>0</v>
      </c>
      <c r="L838" s="51">
        <f t="shared" si="5"/>
        <v>0</v>
      </c>
      <c r="M838" s="51">
        <f t="shared" si="4"/>
        <v>0</v>
      </c>
      <c r="N838" s="67"/>
    </row>
    <row r="839" ht="15.75" customHeight="1">
      <c r="A839" s="1"/>
      <c r="B839" s="69"/>
      <c r="D839" s="70"/>
      <c r="E839" s="71"/>
      <c r="F839" s="72"/>
      <c r="G839" s="75"/>
      <c r="H839" s="73"/>
      <c r="I839" s="51">
        <f t="shared" si="1"/>
        <v>0</v>
      </c>
      <c r="J839" s="76"/>
      <c r="K839" s="51">
        <f t="shared" si="2"/>
        <v>0</v>
      </c>
      <c r="L839" s="51">
        <f t="shared" si="5"/>
        <v>0</v>
      </c>
      <c r="M839" s="51">
        <f t="shared" si="4"/>
        <v>0</v>
      </c>
      <c r="N839" s="67"/>
    </row>
    <row r="840" ht="15.75" customHeight="1">
      <c r="A840" s="1"/>
      <c r="B840" s="69"/>
      <c r="D840" s="70"/>
      <c r="E840" s="71"/>
      <c r="F840" s="72"/>
      <c r="G840" s="75"/>
      <c r="H840" s="73"/>
      <c r="I840" s="51">
        <f t="shared" si="1"/>
        <v>0</v>
      </c>
      <c r="J840" s="76"/>
      <c r="K840" s="51">
        <f t="shared" si="2"/>
        <v>0</v>
      </c>
      <c r="L840" s="51">
        <f t="shared" si="5"/>
        <v>0</v>
      </c>
      <c r="M840" s="51">
        <f t="shared" si="4"/>
        <v>0</v>
      </c>
      <c r="N840" s="67"/>
    </row>
    <row r="841" ht="15.75" customHeight="1">
      <c r="A841" s="1"/>
      <c r="B841" s="69"/>
      <c r="D841" s="70"/>
      <c r="E841" s="71"/>
      <c r="F841" s="72"/>
      <c r="G841" s="75"/>
      <c r="H841" s="73"/>
      <c r="I841" s="51">
        <f t="shared" si="1"/>
        <v>0</v>
      </c>
      <c r="J841" s="76"/>
      <c r="K841" s="51">
        <f t="shared" si="2"/>
        <v>0</v>
      </c>
      <c r="L841" s="51">
        <f t="shared" si="5"/>
        <v>0</v>
      </c>
      <c r="M841" s="51">
        <f t="shared" si="4"/>
        <v>0</v>
      </c>
      <c r="N841" s="67"/>
    </row>
    <row r="842" ht="15.75" customHeight="1">
      <c r="A842" s="1"/>
      <c r="B842" s="69"/>
      <c r="D842" s="70"/>
      <c r="E842" s="71"/>
      <c r="F842" s="72"/>
      <c r="G842" s="75"/>
      <c r="H842" s="73"/>
      <c r="I842" s="51">
        <f t="shared" si="1"/>
        <v>0</v>
      </c>
      <c r="J842" s="76"/>
      <c r="K842" s="51">
        <f t="shared" si="2"/>
        <v>0</v>
      </c>
      <c r="L842" s="51">
        <f t="shared" si="5"/>
        <v>0</v>
      </c>
      <c r="M842" s="51">
        <f t="shared" si="4"/>
        <v>0</v>
      </c>
      <c r="N842" s="67"/>
    </row>
    <row r="843" ht="15.75" customHeight="1">
      <c r="A843" s="1"/>
      <c r="B843" s="69"/>
      <c r="D843" s="70"/>
      <c r="E843" s="71"/>
      <c r="F843" s="72"/>
      <c r="G843" s="75"/>
      <c r="H843" s="73"/>
      <c r="I843" s="51">
        <f t="shared" si="1"/>
        <v>0</v>
      </c>
      <c r="J843" s="76"/>
      <c r="K843" s="51">
        <f t="shared" si="2"/>
        <v>0</v>
      </c>
      <c r="L843" s="51">
        <f t="shared" si="5"/>
        <v>0</v>
      </c>
      <c r="M843" s="51">
        <f t="shared" si="4"/>
        <v>0</v>
      </c>
      <c r="N843" s="67"/>
    </row>
    <row r="844" ht="15.75" customHeight="1">
      <c r="A844" s="1"/>
      <c r="B844" s="69"/>
      <c r="D844" s="70"/>
      <c r="E844" s="71"/>
      <c r="F844" s="72"/>
      <c r="G844" s="75"/>
      <c r="H844" s="73"/>
      <c r="I844" s="51">
        <f t="shared" si="1"/>
        <v>0</v>
      </c>
      <c r="J844" s="76"/>
      <c r="K844" s="51">
        <f t="shared" si="2"/>
        <v>0</v>
      </c>
      <c r="L844" s="51">
        <f t="shared" si="5"/>
        <v>0</v>
      </c>
      <c r="M844" s="51">
        <f t="shared" si="4"/>
        <v>0</v>
      </c>
      <c r="N844" s="67"/>
    </row>
    <row r="845" ht="15.75" customHeight="1">
      <c r="A845" s="1"/>
      <c r="B845" s="69"/>
      <c r="D845" s="70"/>
      <c r="E845" s="71"/>
      <c r="F845" s="72"/>
      <c r="G845" s="75"/>
      <c r="H845" s="73"/>
      <c r="I845" s="51">
        <f t="shared" si="1"/>
        <v>0</v>
      </c>
      <c r="J845" s="76"/>
      <c r="K845" s="51">
        <f t="shared" si="2"/>
        <v>0</v>
      </c>
      <c r="L845" s="51">
        <f t="shared" si="5"/>
        <v>0</v>
      </c>
      <c r="M845" s="51">
        <f t="shared" si="4"/>
        <v>0</v>
      </c>
      <c r="N845" s="67"/>
    </row>
    <row r="846" ht="15.75" customHeight="1">
      <c r="A846" s="1"/>
      <c r="B846" s="69"/>
      <c r="D846" s="70"/>
      <c r="E846" s="71"/>
      <c r="F846" s="72"/>
      <c r="G846" s="75"/>
      <c r="H846" s="73"/>
      <c r="I846" s="51">
        <f t="shared" si="1"/>
        <v>0</v>
      </c>
      <c r="J846" s="76"/>
      <c r="K846" s="51">
        <f t="shared" si="2"/>
        <v>0</v>
      </c>
      <c r="L846" s="51">
        <f t="shared" si="5"/>
        <v>0</v>
      </c>
      <c r="M846" s="51">
        <f t="shared" si="4"/>
        <v>0</v>
      </c>
      <c r="N846" s="67"/>
    </row>
    <row r="847" ht="15.75" customHeight="1">
      <c r="A847" s="1"/>
      <c r="B847" s="69"/>
      <c r="D847" s="70"/>
      <c r="E847" s="71"/>
      <c r="F847" s="72"/>
      <c r="G847" s="75"/>
      <c r="H847" s="73"/>
      <c r="I847" s="51">
        <f t="shared" si="1"/>
        <v>0</v>
      </c>
      <c r="J847" s="76"/>
      <c r="K847" s="51">
        <f t="shared" si="2"/>
        <v>0</v>
      </c>
      <c r="L847" s="51">
        <f t="shared" si="5"/>
        <v>0</v>
      </c>
      <c r="M847" s="51">
        <f t="shared" si="4"/>
        <v>0</v>
      </c>
      <c r="N847" s="67"/>
    </row>
    <row r="848" ht="15.75" customHeight="1">
      <c r="A848" s="1"/>
      <c r="B848" s="69"/>
      <c r="D848" s="70"/>
      <c r="E848" s="71"/>
      <c r="F848" s="72"/>
      <c r="G848" s="75"/>
      <c r="H848" s="73"/>
      <c r="I848" s="51">
        <f t="shared" si="1"/>
        <v>0</v>
      </c>
      <c r="J848" s="76"/>
      <c r="K848" s="51">
        <f t="shared" si="2"/>
        <v>0</v>
      </c>
      <c r="L848" s="51">
        <f t="shared" si="5"/>
        <v>0</v>
      </c>
      <c r="M848" s="51">
        <f t="shared" si="4"/>
        <v>0</v>
      </c>
      <c r="N848" s="67"/>
    </row>
    <row r="849" ht="15.75" customHeight="1">
      <c r="A849" s="1"/>
      <c r="B849" s="69"/>
      <c r="D849" s="70"/>
      <c r="E849" s="71"/>
      <c r="F849" s="72"/>
      <c r="G849" s="75"/>
      <c r="H849" s="73"/>
      <c r="I849" s="51">
        <f t="shared" si="1"/>
        <v>0</v>
      </c>
      <c r="J849" s="76"/>
      <c r="K849" s="51">
        <f t="shared" si="2"/>
        <v>0</v>
      </c>
      <c r="L849" s="51">
        <f t="shared" si="5"/>
        <v>0</v>
      </c>
      <c r="M849" s="51">
        <f t="shared" si="4"/>
        <v>0</v>
      </c>
      <c r="N849" s="67"/>
    </row>
    <row r="850" ht="15.75" customHeight="1">
      <c r="A850" s="1"/>
      <c r="B850" s="69"/>
      <c r="D850" s="70"/>
      <c r="E850" s="71"/>
      <c r="F850" s="72"/>
      <c r="G850" s="75"/>
      <c r="H850" s="73"/>
      <c r="I850" s="51">
        <f t="shared" si="1"/>
        <v>0</v>
      </c>
      <c r="J850" s="76"/>
      <c r="K850" s="51">
        <f t="shared" si="2"/>
        <v>0</v>
      </c>
      <c r="L850" s="51">
        <f t="shared" si="5"/>
        <v>0</v>
      </c>
      <c r="M850" s="51">
        <f t="shared" si="4"/>
        <v>0</v>
      </c>
      <c r="N850" s="67"/>
    </row>
    <row r="851" ht="15.75" customHeight="1">
      <c r="A851" s="1"/>
      <c r="B851" s="69"/>
      <c r="D851" s="70"/>
      <c r="E851" s="71"/>
      <c r="F851" s="72"/>
      <c r="G851" s="75"/>
      <c r="H851" s="73"/>
      <c r="I851" s="51">
        <f t="shared" si="1"/>
        <v>0</v>
      </c>
      <c r="J851" s="76"/>
      <c r="K851" s="51">
        <f t="shared" si="2"/>
        <v>0</v>
      </c>
      <c r="L851" s="51">
        <f t="shared" si="5"/>
        <v>0</v>
      </c>
      <c r="M851" s="51">
        <f t="shared" si="4"/>
        <v>0</v>
      </c>
      <c r="N851" s="67"/>
    </row>
    <row r="852" ht="15.75" customHeight="1">
      <c r="A852" s="1"/>
      <c r="B852" s="69"/>
      <c r="D852" s="70"/>
      <c r="E852" s="71"/>
      <c r="F852" s="72"/>
      <c r="G852" s="75"/>
      <c r="H852" s="73"/>
      <c r="I852" s="51">
        <f t="shared" si="1"/>
        <v>0</v>
      </c>
      <c r="J852" s="76"/>
      <c r="K852" s="51">
        <f t="shared" si="2"/>
        <v>0</v>
      </c>
      <c r="L852" s="51">
        <f t="shared" si="5"/>
        <v>0</v>
      </c>
      <c r="M852" s="51">
        <f t="shared" si="4"/>
        <v>0</v>
      </c>
      <c r="N852" s="67"/>
    </row>
    <row r="853" ht="15.75" customHeight="1">
      <c r="A853" s="1"/>
      <c r="B853" s="69"/>
      <c r="D853" s="70"/>
      <c r="E853" s="71"/>
      <c r="F853" s="72"/>
      <c r="G853" s="75"/>
      <c r="H853" s="73"/>
      <c r="I853" s="51">
        <f t="shared" si="1"/>
        <v>0</v>
      </c>
      <c r="J853" s="76"/>
      <c r="K853" s="51">
        <f t="shared" si="2"/>
        <v>0</v>
      </c>
      <c r="L853" s="51">
        <f t="shared" si="5"/>
        <v>0</v>
      </c>
      <c r="M853" s="51">
        <f t="shared" si="4"/>
        <v>0</v>
      </c>
      <c r="N853" s="67"/>
    </row>
    <row r="854" ht="15.75" customHeight="1">
      <c r="A854" s="1"/>
      <c r="B854" s="69"/>
      <c r="D854" s="70"/>
      <c r="E854" s="71"/>
      <c r="F854" s="72"/>
      <c r="G854" s="75"/>
      <c r="H854" s="73"/>
      <c r="I854" s="51">
        <f t="shared" si="1"/>
        <v>0</v>
      </c>
      <c r="J854" s="76"/>
      <c r="K854" s="51">
        <f t="shared" si="2"/>
        <v>0</v>
      </c>
      <c r="L854" s="51">
        <f t="shared" si="5"/>
        <v>0</v>
      </c>
      <c r="M854" s="51">
        <f t="shared" si="4"/>
        <v>0</v>
      </c>
      <c r="N854" s="67"/>
    </row>
    <row r="855" ht="15.75" customHeight="1">
      <c r="A855" s="1"/>
      <c r="B855" s="69"/>
      <c r="D855" s="70"/>
      <c r="E855" s="71"/>
      <c r="F855" s="72"/>
      <c r="G855" s="75"/>
      <c r="H855" s="73"/>
      <c r="I855" s="51">
        <f t="shared" si="1"/>
        <v>0</v>
      </c>
      <c r="J855" s="76"/>
      <c r="K855" s="51">
        <f t="shared" si="2"/>
        <v>0</v>
      </c>
      <c r="L855" s="51">
        <f t="shared" si="5"/>
        <v>0</v>
      </c>
      <c r="M855" s="51">
        <f t="shared" si="4"/>
        <v>0</v>
      </c>
      <c r="N855" s="67"/>
    </row>
    <row r="856" ht="15.75" customHeight="1">
      <c r="A856" s="1"/>
      <c r="B856" s="69"/>
      <c r="D856" s="70"/>
      <c r="E856" s="71"/>
      <c r="F856" s="72"/>
      <c r="G856" s="75"/>
      <c r="H856" s="73"/>
      <c r="I856" s="51">
        <f t="shared" si="1"/>
        <v>0</v>
      </c>
      <c r="J856" s="76"/>
      <c r="K856" s="51">
        <f t="shared" si="2"/>
        <v>0</v>
      </c>
      <c r="L856" s="51">
        <f t="shared" si="5"/>
        <v>0</v>
      </c>
      <c r="M856" s="51">
        <f t="shared" si="4"/>
        <v>0</v>
      </c>
      <c r="N856" s="67"/>
    </row>
    <row r="857" ht="15.75" customHeight="1">
      <c r="A857" s="1"/>
      <c r="B857" s="69"/>
      <c r="D857" s="70"/>
      <c r="E857" s="71"/>
      <c r="F857" s="72"/>
      <c r="G857" s="75"/>
      <c r="H857" s="73"/>
      <c r="I857" s="51">
        <f t="shared" si="1"/>
        <v>0</v>
      </c>
      <c r="J857" s="76"/>
      <c r="K857" s="51">
        <f t="shared" si="2"/>
        <v>0</v>
      </c>
      <c r="L857" s="51">
        <f t="shared" si="5"/>
        <v>0</v>
      </c>
      <c r="M857" s="51">
        <f t="shared" si="4"/>
        <v>0</v>
      </c>
      <c r="N857" s="67"/>
    </row>
    <row r="858" ht="15.75" customHeight="1">
      <c r="A858" s="1"/>
      <c r="B858" s="69"/>
      <c r="D858" s="70"/>
      <c r="E858" s="71"/>
      <c r="F858" s="72"/>
      <c r="G858" s="75"/>
      <c r="H858" s="73"/>
      <c r="I858" s="51">
        <f t="shared" si="1"/>
        <v>0</v>
      </c>
      <c r="J858" s="76"/>
      <c r="K858" s="51">
        <f t="shared" si="2"/>
        <v>0</v>
      </c>
      <c r="L858" s="51">
        <f t="shared" si="5"/>
        <v>0</v>
      </c>
      <c r="M858" s="51">
        <f t="shared" si="4"/>
        <v>0</v>
      </c>
      <c r="N858" s="67"/>
    </row>
    <row r="859" ht="15.75" customHeight="1">
      <c r="A859" s="1"/>
      <c r="B859" s="69"/>
      <c r="D859" s="70"/>
      <c r="E859" s="71"/>
      <c r="F859" s="72"/>
      <c r="G859" s="75"/>
      <c r="H859" s="73"/>
      <c r="I859" s="51">
        <f t="shared" si="1"/>
        <v>0</v>
      </c>
      <c r="J859" s="76"/>
      <c r="K859" s="51">
        <f t="shared" si="2"/>
        <v>0</v>
      </c>
      <c r="L859" s="51">
        <f t="shared" si="5"/>
        <v>0</v>
      </c>
      <c r="M859" s="51">
        <f t="shared" si="4"/>
        <v>0</v>
      </c>
      <c r="N859" s="67"/>
    </row>
    <row r="860" ht="15.75" customHeight="1">
      <c r="A860" s="1"/>
      <c r="B860" s="69"/>
      <c r="D860" s="70"/>
      <c r="E860" s="71"/>
      <c r="F860" s="72"/>
      <c r="G860" s="75"/>
      <c r="H860" s="73"/>
      <c r="I860" s="51">
        <f t="shared" si="1"/>
        <v>0</v>
      </c>
      <c r="J860" s="76"/>
      <c r="K860" s="51">
        <f t="shared" si="2"/>
        <v>0</v>
      </c>
      <c r="L860" s="51">
        <f t="shared" si="5"/>
        <v>0</v>
      </c>
      <c r="M860" s="51">
        <f t="shared" si="4"/>
        <v>0</v>
      </c>
      <c r="N860" s="67"/>
    </row>
    <row r="861" ht="15.75" customHeight="1">
      <c r="A861" s="1"/>
      <c r="B861" s="69"/>
      <c r="D861" s="70"/>
      <c r="E861" s="71"/>
      <c r="F861" s="72"/>
      <c r="G861" s="75"/>
      <c r="H861" s="73"/>
      <c r="I861" s="51">
        <f t="shared" si="1"/>
        <v>0</v>
      </c>
      <c r="J861" s="76"/>
      <c r="K861" s="51">
        <f t="shared" si="2"/>
        <v>0</v>
      </c>
      <c r="L861" s="51">
        <f t="shared" si="5"/>
        <v>0</v>
      </c>
      <c r="M861" s="51">
        <f t="shared" si="4"/>
        <v>0</v>
      </c>
      <c r="N861" s="67"/>
    </row>
    <row r="862" ht="15.75" customHeight="1">
      <c r="A862" s="1"/>
      <c r="B862" s="69"/>
      <c r="D862" s="70"/>
      <c r="E862" s="71"/>
      <c r="F862" s="72"/>
      <c r="G862" s="75"/>
      <c r="H862" s="73"/>
      <c r="I862" s="51">
        <f t="shared" si="1"/>
        <v>0</v>
      </c>
      <c r="J862" s="76"/>
      <c r="K862" s="51">
        <f t="shared" si="2"/>
        <v>0</v>
      </c>
      <c r="L862" s="51">
        <f t="shared" si="5"/>
        <v>0</v>
      </c>
      <c r="M862" s="51">
        <f t="shared" si="4"/>
        <v>0</v>
      </c>
      <c r="N862" s="67"/>
    </row>
    <row r="863" ht="15.75" customHeight="1">
      <c r="A863" s="1"/>
      <c r="B863" s="69"/>
      <c r="D863" s="70"/>
      <c r="E863" s="71"/>
      <c r="F863" s="72"/>
      <c r="G863" s="75"/>
      <c r="H863" s="73"/>
      <c r="I863" s="51">
        <f t="shared" si="1"/>
        <v>0</v>
      </c>
      <c r="J863" s="76"/>
      <c r="K863" s="51">
        <f t="shared" si="2"/>
        <v>0</v>
      </c>
      <c r="L863" s="51">
        <f t="shared" si="5"/>
        <v>0</v>
      </c>
      <c r="M863" s="51">
        <f t="shared" si="4"/>
        <v>0</v>
      </c>
      <c r="N863" s="67"/>
    </row>
    <row r="864" ht="15.75" customHeight="1">
      <c r="A864" s="1"/>
      <c r="B864" s="69"/>
      <c r="D864" s="70"/>
      <c r="E864" s="71"/>
      <c r="F864" s="72"/>
      <c r="G864" s="75"/>
      <c r="H864" s="73"/>
      <c r="I864" s="51">
        <f t="shared" si="1"/>
        <v>0</v>
      </c>
      <c r="J864" s="76"/>
      <c r="K864" s="51">
        <f t="shared" si="2"/>
        <v>0</v>
      </c>
      <c r="L864" s="51">
        <f t="shared" si="5"/>
        <v>0</v>
      </c>
      <c r="M864" s="51">
        <f t="shared" si="4"/>
        <v>0</v>
      </c>
      <c r="N864" s="67"/>
    </row>
    <row r="865" ht="15.75" customHeight="1">
      <c r="A865" s="1"/>
      <c r="B865" s="69"/>
      <c r="D865" s="70"/>
      <c r="E865" s="71"/>
      <c r="F865" s="72"/>
      <c r="G865" s="75"/>
      <c r="H865" s="73"/>
      <c r="I865" s="51">
        <f t="shared" si="1"/>
        <v>0</v>
      </c>
      <c r="J865" s="76"/>
      <c r="K865" s="51">
        <f t="shared" si="2"/>
        <v>0</v>
      </c>
      <c r="L865" s="51">
        <f t="shared" si="5"/>
        <v>0</v>
      </c>
      <c r="M865" s="51">
        <f t="shared" si="4"/>
        <v>0</v>
      </c>
      <c r="N865" s="67"/>
    </row>
    <row r="866" ht="15.75" customHeight="1">
      <c r="A866" s="1"/>
      <c r="B866" s="69"/>
      <c r="D866" s="70"/>
      <c r="E866" s="71"/>
      <c r="F866" s="72"/>
      <c r="G866" s="75"/>
      <c r="H866" s="73"/>
      <c r="I866" s="51">
        <f t="shared" si="1"/>
        <v>0</v>
      </c>
      <c r="J866" s="76"/>
      <c r="K866" s="51">
        <f t="shared" si="2"/>
        <v>0</v>
      </c>
      <c r="L866" s="51">
        <f t="shared" si="5"/>
        <v>0</v>
      </c>
      <c r="M866" s="51">
        <f t="shared" si="4"/>
        <v>0</v>
      </c>
      <c r="N866" s="67"/>
    </row>
    <row r="867" ht="15.75" customHeight="1">
      <c r="A867" s="1"/>
      <c r="B867" s="69"/>
      <c r="D867" s="70"/>
      <c r="E867" s="71"/>
      <c r="F867" s="72"/>
      <c r="G867" s="75"/>
      <c r="H867" s="73"/>
      <c r="I867" s="51">
        <f t="shared" si="1"/>
        <v>0</v>
      </c>
      <c r="J867" s="76"/>
      <c r="K867" s="51">
        <f t="shared" si="2"/>
        <v>0</v>
      </c>
      <c r="L867" s="51">
        <f t="shared" si="5"/>
        <v>0</v>
      </c>
      <c r="M867" s="51">
        <f t="shared" si="4"/>
        <v>0</v>
      </c>
      <c r="N867" s="67"/>
    </row>
    <row r="868" ht="15.75" customHeight="1">
      <c r="A868" s="1"/>
      <c r="B868" s="69"/>
      <c r="D868" s="70"/>
      <c r="E868" s="71"/>
      <c r="F868" s="72"/>
      <c r="G868" s="75"/>
      <c r="H868" s="73"/>
      <c r="I868" s="51">
        <f t="shared" si="1"/>
        <v>0</v>
      </c>
      <c r="J868" s="76"/>
      <c r="K868" s="51">
        <f t="shared" si="2"/>
        <v>0</v>
      </c>
      <c r="L868" s="51">
        <f t="shared" si="5"/>
        <v>0</v>
      </c>
      <c r="M868" s="51">
        <f t="shared" si="4"/>
        <v>0</v>
      </c>
      <c r="N868" s="67"/>
    </row>
    <row r="869" ht="15.75" customHeight="1">
      <c r="A869" s="1"/>
      <c r="B869" s="69"/>
      <c r="D869" s="70"/>
      <c r="E869" s="71"/>
      <c r="F869" s="72"/>
      <c r="G869" s="75"/>
      <c r="H869" s="73"/>
      <c r="I869" s="51">
        <f t="shared" si="1"/>
        <v>0</v>
      </c>
      <c r="J869" s="76"/>
      <c r="K869" s="51">
        <f t="shared" si="2"/>
        <v>0</v>
      </c>
      <c r="L869" s="51">
        <f t="shared" si="5"/>
        <v>0</v>
      </c>
      <c r="M869" s="51">
        <f t="shared" si="4"/>
        <v>0</v>
      </c>
      <c r="N869" s="67"/>
    </row>
    <row r="870" ht="15.75" customHeight="1">
      <c r="A870" s="1"/>
      <c r="B870" s="69"/>
      <c r="D870" s="70"/>
      <c r="E870" s="71"/>
      <c r="F870" s="72"/>
      <c r="G870" s="75"/>
      <c r="H870" s="73"/>
      <c r="I870" s="51">
        <f t="shared" si="1"/>
        <v>0</v>
      </c>
      <c r="J870" s="76"/>
      <c r="K870" s="51">
        <f t="shared" si="2"/>
        <v>0</v>
      </c>
      <c r="L870" s="51">
        <f t="shared" si="5"/>
        <v>0</v>
      </c>
      <c r="M870" s="51">
        <f t="shared" si="4"/>
        <v>0</v>
      </c>
      <c r="N870" s="67"/>
    </row>
    <row r="871" ht="15.75" customHeight="1">
      <c r="A871" s="1"/>
      <c r="B871" s="69"/>
      <c r="D871" s="70"/>
      <c r="E871" s="71"/>
      <c r="F871" s="72"/>
      <c r="G871" s="75"/>
      <c r="H871" s="73"/>
      <c r="I871" s="51">
        <f t="shared" si="1"/>
        <v>0</v>
      </c>
      <c r="J871" s="76"/>
      <c r="K871" s="51">
        <f t="shared" si="2"/>
        <v>0</v>
      </c>
      <c r="L871" s="51">
        <f t="shared" si="5"/>
        <v>0</v>
      </c>
      <c r="M871" s="51">
        <f t="shared" si="4"/>
        <v>0</v>
      </c>
      <c r="N871" s="67"/>
    </row>
    <row r="872" ht="15.75" customHeight="1">
      <c r="A872" s="1"/>
      <c r="B872" s="69"/>
      <c r="D872" s="70"/>
      <c r="E872" s="71"/>
      <c r="F872" s="72"/>
      <c r="G872" s="75"/>
      <c r="H872" s="73"/>
      <c r="I872" s="51">
        <f t="shared" si="1"/>
        <v>0</v>
      </c>
      <c r="J872" s="76"/>
      <c r="K872" s="51">
        <f t="shared" si="2"/>
        <v>0</v>
      </c>
      <c r="L872" s="51">
        <f t="shared" si="5"/>
        <v>0</v>
      </c>
      <c r="M872" s="51">
        <f t="shared" si="4"/>
        <v>0</v>
      </c>
      <c r="N872" s="67"/>
    </row>
    <row r="873" ht="15.75" customHeight="1">
      <c r="A873" s="1"/>
      <c r="B873" s="69"/>
      <c r="D873" s="70"/>
      <c r="E873" s="71"/>
      <c r="F873" s="72"/>
      <c r="G873" s="75"/>
      <c r="H873" s="73"/>
      <c r="I873" s="51">
        <f t="shared" si="1"/>
        <v>0</v>
      </c>
      <c r="J873" s="76"/>
      <c r="K873" s="51">
        <f t="shared" si="2"/>
        <v>0</v>
      </c>
      <c r="L873" s="51">
        <f t="shared" si="5"/>
        <v>0</v>
      </c>
      <c r="M873" s="51">
        <f t="shared" si="4"/>
        <v>0</v>
      </c>
      <c r="N873" s="67"/>
    </row>
    <row r="874" ht="15.75" customHeight="1">
      <c r="A874" s="1"/>
      <c r="B874" s="69"/>
      <c r="D874" s="70"/>
      <c r="E874" s="71"/>
      <c r="F874" s="72"/>
      <c r="G874" s="75"/>
      <c r="H874" s="73"/>
      <c r="I874" s="51">
        <f t="shared" si="1"/>
        <v>0</v>
      </c>
      <c r="J874" s="76"/>
      <c r="K874" s="51">
        <f t="shared" si="2"/>
        <v>0</v>
      </c>
      <c r="L874" s="51">
        <f t="shared" si="5"/>
        <v>0</v>
      </c>
      <c r="M874" s="51">
        <f t="shared" si="4"/>
        <v>0</v>
      </c>
      <c r="N874" s="67"/>
    </row>
    <row r="875" ht="15.75" customHeight="1">
      <c r="A875" s="1"/>
      <c r="B875" s="69"/>
      <c r="D875" s="70"/>
      <c r="E875" s="71"/>
      <c r="F875" s="72"/>
      <c r="G875" s="75"/>
      <c r="H875" s="73"/>
      <c r="I875" s="51">
        <f t="shared" si="1"/>
        <v>0</v>
      </c>
      <c r="J875" s="76"/>
      <c r="K875" s="51">
        <f t="shared" si="2"/>
        <v>0</v>
      </c>
      <c r="L875" s="51">
        <f t="shared" si="5"/>
        <v>0</v>
      </c>
      <c r="M875" s="51">
        <f t="shared" si="4"/>
        <v>0</v>
      </c>
      <c r="N875" s="67"/>
    </row>
    <row r="876" ht="15.75" customHeight="1">
      <c r="A876" s="1"/>
      <c r="B876" s="69"/>
      <c r="D876" s="70"/>
      <c r="E876" s="71"/>
      <c r="F876" s="72"/>
      <c r="G876" s="75"/>
      <c r="H876" s="73"/>
      <c r="I876" s="51">
        <f t="shared" si="1"/>
        <v>0</v>
      </c>
      <c r="J876" s="76"/>
      <c r="K876" s="51">
        <f t="shared" si="2"/>
        <v>0</v>
      </c>
      <c r="L876" s="51">
        <f t="shared" si="5"/>
        <v>0</v>
      </c>
      <c r="M876" s="51">
        <f t="shared" si="4"/>
        <v>0</v>
      </c>
      <c r="N876" s="67"/>
    </row>
    <row r="877" ht="15.75" customHeight="1">
      <c r="A877" s="1"/>
      <c r="B877" s="69"/>
      <c r="D877" s="70"/>
      <c r="E877" s="71"/>
      <c r="F877" s="72"/>
      <c r="G877" s="75"/>
      <c r="H877" s="73"/>
      <c r="I877" s="51">
        <f t="shared" si="1"/>
        <v>0</v>
      </c>
      <c r="J877" s="76"/>
      <c r="K877" s="51">
        <f t="shared" si="2"/>
        <v>0</v>
      </c>
      <c r="L877" s="51">
        <f t="shared" si="5"/>
        <v>0</v>
      </c>
      <c r="M877" s="51">
        <f t="shared" si="4"/>
        <v>0</v>
      </c>
      <c r="N877" s="67"/>
    </row>
    <row r="878" ht="15.75" customHeight="1">
      <c r="A878" s="1"/>
      <c r="B878" s="69"/>
      <c r="D878" s="70"/>
      <c r="E878" s="71"/>
      <c r="F878" s="72"/>
      <c r="G878" s="75"/>
      <c r="H878" s="73"/>
      <c r="I878" s="51">
        <f t="shared" si="1"/>
        <v>0</v>
      </c>
      <c r="J878" s="76"/>
      <c r="K878" s="51">
        <f t="shared" si="2"/>
        <v>0</v>
      </c>
      <c r="L878" s="51">
        <f t="shared" si="5"/>
        <v>0</v>
      </c>
      <c r="M878" s="51">
        <f t="shared" si="4"/>
        <v>0</v>
      </c>
      <c r="N878" s="67"/>
    </row>
    <row r="879" ht="15.75" customHeight="1">
      <c r="A879" s="1"/>
      <c r="B879" s="69"/>
      <c r="D879" s="70"/>
      <c r="E879" s="71"/>
      <c r="F879" s="72"/>
      <c r="G879" s="75"/>
      <c r="H879" s="73"/>
      <c r="I879" s="51">
        <f t="shared" si="1"/>
        <v>0</v>
      </c>
      <c r="J879" s="76"/>
      <c r="K879" s="51">
        <f t="shared" si="2"/>
        <v>0</v>
      </c>
      <c r="L879" s="51">
        <f t="shared" si="5"/>
        <v>0</v>
      </c>
      <c r="M879" s="51">
        <f t="shared" si="4"/>
        <v>0</v>
      </c>
      <c r="N879" s="67"/>
    </row>
    <row r="880" ht="15.75" customHeight="1">
      <c r="A880" s="1"/>
      <c r="B880" s="69"/>
      <c r="D880" s="70"/>
      <c r="E880" s="71"/>
      <c r="F880" s="72"/>
      <c r="G880" s="75"/>
      <c r="H880" s="73"/>
      <c r="I880" s="51">
        <f t="shared" si="1"/>
        <v>0</v>
      </c>
      <c r="J880" s="76"/>
      <c r="K880" s="51">
        <f t="shared" si="2"/>
        <v>0</v>
      </c>
      <c r="L880" s="51">
        <f t="shared" si="5"/>
        <v>0</v>
      </c>
      <c r="M880" s="51">
        <f t="shared" si="4"/>
        <v>0</v>
      </c>
      <c r="N880" s="67"/>
    </row>
    <row r="881" ht="15.75" customHeight="1">
      <c r="A881" s="1"/>
      <c r="B881" s="69"/>
      <c r="D881" s="70"/>
      <c r="E881" s="71"/>
      <c r="F881" s="72"/>
      <c r="G881" s="75"/>
      <c r="H881" s="73"/>
      <c r="I881" s="51">
        <f t="shared" si="1"/>
        <v>0</v>
      </c>
      <c r="J881" s="76"/>
      <c r="K881" s="51">
        <f t="shared" si="2"/>
        <v>0</v>
      </c>
      <c r="L881" s="51">
        <f t="shared" si="5"/>
        <v>0</v>
      </c>
      <c r="M881" s="51">
        <f t="shared" si="4"/>
        <v>0</v>
      </c>
      <c r="N881" s="67"/>
    </row>
    <row r="882" ht="15.75" customHeight="1">
      <c r="A882" s="1"/>
      <c r="B882" s="69"/>
      <c r="D882" s="70"/>
      <c r="E882" s="71"/>
      <c r="F882" s="72"/>
      <c r="G882" s="75"/>
      <c r="H882" s="73"/>
      <c r="I882" s="51">
        <f t="shared" si="1"/>
        <v>0</v>
      </c>
      <c r="J882" s="76"/>
      <c r="K882" s="51">
        <f t="shared" si="2"/>
        <v>0</v>
      </c>
      <c r="L882" s="51">
        <f t="shared" si="5"/>
        <v>0</v>
      </c>
      <c r="M882" s="51">
        <f t="shared" si="4"/>
        <v>0</v>
      </c>
      <c r="N882" s="67"/>
    </row>
    <row r="883" ht="15.75" customHeight="1">
      <c r="A883" s="1"/>
      <c r="B883" s="69"/>
      <c r="D883" s="70"/>
      <c r="E883" s="71"/>
      <c r="F883" s="72"/>
      <c r="G883" s="75"/>
      <c r="H883" s="73"/>
      <c r="I883" s="51">
        <f t="shared" si="1"/>
        <v>0</v>
      </c>
      <c r="J883" s="76"/>
      <c r="K883" s="51">
        <f t="shared" si="2"/>
        <v>0</v>
      </c>
      <c r="L883" s="51">
        <f t="shared" si="5"/>
        <v>0</v>
      </c>
      <c r="M883" s="51">
        <f t="shared" si="4"/>
        <v>0</v>
      </c>
      <c r="N883" s="67"/>
    </row>
    <row r="884" ht="15.75" customHeight="1">
      <c r="A884" s="1"/>
      <c r="B884" s="69"/>
      <c r="D884" s="70"/>
      <c r="E884" s="71"/>
      <c r="F884" s="72"/>
      <c r="G884" s="75"/>
      <c r="H884" s="73"/>
      <c r="I884" s="51">
        <f t="shared" si="1"/>
        <v>0</v>
      </c>
      <c r="J884" s="76"/>
      <c r="K884" s="51">
        <f t="shared" si="2"/>
        <v>0</v>
      </c>
      <c r="L884" s="51">
        <f t="shared" si="5"/>
        <v>0</v>
      </c>
      <c r="M884" s="51">
        <f t="shared" si="4"/>
        <v>0</v>
      </c>
      <c r="N884" s="67"/>
    </row>
    <row r="885" ht="15.75" customHeight="1">
      <c r="A885" s="1"/>
      <c r="B885" s="69"/>
      <c r="D885" s="70"/>
      <c r="E885" s="71"/>
      <c r="F885" s="72"/>
      <c r="G885" s="75"/>
      <c r="H885" s="73"/>
      <c r="I885" s="51">
        <f t="shared" si="1"/>
        <v>0</v>
      </c>
      <c r="J885" s="76"/>
      <c r="K885" s="51">
        <f t="shared" si="2"/>
        <v>0</v>
      </c>
      <c r="L885" s="51">
        <f t="shared" si="5"/>
        <v>0</v>
      </c>
      <c r="M885" s="51">
        <f t="shared" si="4"/>
        <v>0</v>
      </c>
      <c r="N885" s="67"/>
    </row>
    <row r="886" ht="15.75" customHeight="1">
      <c r="A886" s="1"/>
      <c r="B886" s="69"/>
      <c r="D886" s="70"/>
      <c r="E886" s="71"/>
      <c r="F886" s="72"/>
      <c r="G886" s="75"/>
      <c r="H886" s="73"/>
      <c r="I886" s="51">
        <f t="shared" si="1"/>
        <v>0</v>
      </c>
      <c r="J886" s="76"/>
      <c r="K886" s="51">
        <f t="shared" si="2"/>
        <v>0</v>
      </c>
      <c r="L886" s="51">
        <f t="shared" si="5"/>
        <v>0</v>
      </c>
      <c r="M886" s="51">
        <f t="shared" si="4"/>
        <v>0</v>
      </c>
      <c r="N886" s="67"/>
    </row>
    <row r="887" ht="15.75" customHeight="1">
      <c r="A887" s="1"/>
      <c r="B887" s="69"/>
      <c r="D887" s="70"/>
      <c r="E887" s="71"/>
      <c r="F887" s="72"/>
      <c r="G887" s="75"/>
      <c r="H887" s="73"/>
      <c r="I887" s="51">
        <f t="shared" si="1"/>
        <v>0</v>
      </c>
      <c r="J887" s="76"/>
      <c r="K887" s="51">
        <f t="shared" si="2"/>
        <v>0</v>
      </c>
      <c r="L887" s="51">
        <f t="shared" si="5"/>
        <v>0</v>
      </c>
      <c r="M887" s="51">
        <f t="shared" si="4"/>
        <v>0</v>
      </c>
      <c r="N887" s="67"/>
    </row>
    <row r="888" ht="15.75" customHeight="1">
      <c r="A888" s="1"/>
      <c r="B888" s="69"/>
      <c r="D888" s="70"/>
      <c r="E888" s="71"/>
      <c r="F888" s="72"/>
      <c r="G888" s="75"/>
      <c r="H888" s="73"/>
      <c r="I888" s="51">
        <f t="shared" si="1"/>
        <v>0</v>
      </c>
      <c r="J888" s="76"/>
      <c r="K888" s="51">
        <f t="shared" si="2"/>
        <v>0</v>
      </c>
      <c r="L888" s="51">
        <f t="shared" si="5"/>
        <v>0</v>
      </c>
      <c r="M888" s="51">
        <f t="shared" si="4"/>
        <v>0</v>
      </c>
      <c r="N888" s="67"/>
    </row>
    <row r="889" ht="15.75" customHeight="1">
      <c r="A889" s="1"/>
      <c r="B889" s="69"/>
      <c r="D889" s="70"/>
      <c r="E889" s="71"/>
      <c r="F889" s="72"/>
      <c r="G889" s="75"/>
      <c r="H889" s="73"/>
      <c r="I889" s="51">
        <f t="shared" si="1"/>
        <v>0</v>
      </c>
      <c r="J889" s="76"/>
      <c r="K889" s="51">
        <f t="shared" si="2"/>
        <v>0</v>
      </c>
      <c r="L889" s="51">
        <f t="shared" si="5"/>
        <v>0</v>
      </c>
      <c r="M889" s="51">
        <f t="shared" si="4"/>
        <v>0</v>
      </c>
      <c r="N889" s="67"/>
    </row>
    <row r="890" ht="15.75" customHeight="1">
      <c r="A890" s="1"/>
      <c r="B890" s="69"/>
      <c r="D890" s="70"/>
      <c r="E890" s="71"/>
      <c r="F890" s="72"/>
      <c r="G890" s="75"/>
      <c r="H890" s="73"/>
      <c r="I890" s="51">
        <f t="shared" si="1"/>
        <v>0</v>
      </c>
      <c r="J890" s="76"/>
      <c r="K890" s="51">
        <f t="shared" si="2"/>
        <v>0</v>
      </c>
      <c r="L890" s="51">
        <f t="shared" si="5"/>
        <v>0</v>
      </c>
      <c r="M890" s="51">
        <f t="shared" si="4"/>
        <v>0</v>
      </c>
      <c r="N890" s="67"/>
    </row>
    <row r="891" ht="15.75" customHeight="1">
      <c r="A891" s="1"/>
      <c r="B891" s="69"/>
      <c r="D891" s="70"/>
      <c r="E891" s="71"/>
      <c r="F891" s="72"/>
      <c r="G891" s="75"/>
      <c r="H891" s="73"/>
      <c r="I891" s="51">
        <f t="shared" si="1"/>
        <v>0</v>
      </c>
      <c r="J891" s="76"/>
      <c r="K891" s="51">
        <f t="shared" si="2"/>
        <v>0</v>
      </c>
      <c r="L891" s="51">
        <f t="shared" si="5"/>
        <v>0</v>
      </c>
      <c r="M891" s="51">
        <f t="shared" si="4"/>
        <v>0</v>
      </c>
      <c r="N891" s="67"/>
    </row>
    <row r="892" ht="15.75" customHeight="1">
      <c r="A892" s="1"/>
      <c r="B892" s="69"/>
      <c r="D892" s="70"/>
      <c r="E892" s="71"/>
      <c r="F892" s="72"/>
      <c r="G892" s="75"/>
      <c r="H892" s="73"/>
      <c r="I892" s="51">
        <f t="shared" si="1"/>
        <v>0</v>
      </c>
      <c r="J892" s="76"/>
      <c r="K892" s="51">
        <f t="shared" si="2"/>
        <v>0</v>
      </c>
      <c r="L892" s="51">
        <f t="shared" si="5"/>
        <v>0</v>
      </c>
      <c r="M892" s="51">
        <f t="shared" si="4"/>
        <v>0</v>
      </c>
      <c r="N892" s="67"/>
    </row>
    <row r="893" ht="15.75" customHeight="1">
      <c r="A893" s="1"/>
      <c r="B893" s="69"/>
      <c r="D893" s="70"/>
      <c r="E893" s="71"/>
      <c r="F893" s="72"/>
      <c r="G893" s="75"/>
      <c r="H893" s="73"/>
      <c r="I893" s="51">
        <f t="shared" si="1"/>
        <v>0</v>
      </c>
      <c r="J893" s="76"/>
      <c r="K893" s="51">
        <f t="shared" si="2"/>
        <v>0</v>
      </c>
      <c r="L893" s="51">
        <f t="shared" si="5"/>
        <v>0</v>
      </c>
      <c r="M893" s="51">
        <f t="shared" si="4"/>
        <v>0</v>
      </c>
      <c r="N893" s="67"/>
    </row>
    <row r="894" ht="15.75" customHeight="1">
      <c r="A894" s="1"/>
      <c r="B894" s="69"/>
      <c r="D894" s="70"/>
      <c r="E894" s="71"/>
      <c r="F894" s="72"/>
      <c r="G894" s="75"/>
      <c r="H894" s="73"/>
      <c r="I894" s="51">
        <f t="shared" si="1"/>
        <v>0</v>
      </c>
      <c r="J894" s="76"/>
      <c r="K894" s="51">
        <f t="shared" si="2"/>
        <v>0</v>
      </c>
      <c r="L894" s="51">
        <f t="shared" si="5"/>
        <v>0</v>
      </c>
      <c r="M894" s="51">
        <f t="shared" si="4"/>
        <v>0</v>
      </c>
      <c r="N894" s="67"/>
    </row>
    <row r="895" ht="15.75" customHeight="1">
      <c r="A895" s="1"/>
      <c r="B895" s="69"/>
      <c r="D895" s="70"/>
      <c r="E895" s="71"/>
      <c r="F895" s="72"/>
      <c r="G895" s="75"/>
      <c r="H895" s="73"/>
      <c r="I895" s="51">
        <f t="shared" si="1"/>
        <v>0</v>
      </c>
      <c r="J895" s="76"/>
      <c r="K895" s="51">
        <f t="shared" si="2"/>
        <v>0</v>
      </c>
      <c r="L895" s="51">
        <f t="shared" si="5"/>
        <v>0</v>
      </c>
      <c r="M895" s="51">
        <f t="shared" si="4"/>
        <v>0</v>
      </c>
      <c r="N895" s="67"/>
    </row>
    <row r="896" ht="15.75" customHeight="1">
      <c r="A896" s="1"/>
      <c r="B896" s="69"/>
      <c r="D896" s="70"/>
      <c r="E896" s="71"/>
      <c r="F896" s="72"/>
      <c r="G896" s="75"/>
      <c r="H896" s="73"/>
      <c r="I896" s="51">
        <f t="shared" si="1"/>
        <v>0</v>
      </c>
      <c r="J896" s="76"/>
      <c r="K896" s="51">
        <f t="shared" si="2"/>
        <v>0</v>
      </c>
      <c r="L896" s="51">
        <f t="shared" si="5"/>
        <v>0</v>
      </c>
      <c r="M896" s="51">
        <f t="shared" si="4"/>
        <v>0</v>
      </c>
      <c r="N896" s="67"/>
    </row>
    <row r="897" ht="15.75" customHeight="1">
      <c r="A897" s="1"/>
      <c r="B897" s="69"/>
      <c r="D897" s="70"/>
      <c r="E897" s="71"/>
      <c r="F897" s="72"/>
      <c r="G897" s="75"/>
      <c r="H897" s="73"/>
      <c r="I897" s="51">
        <f t="shared" si="1"/>
        <v>0</v>
      </c>
      <c r="J897" s="76"/>
      <c r="K897" s="51">
        <f t="shared" si="2"/>
        <v>0</v>
      </c>
      <c r="L897" s="51">
        <f t="shared" si="5"/>
        <v>0</v>
      </c>
      <c r="M897" s="51">
        <f t="shared" si="4"/>
        <v>0</v>
      </c>
      <c r="N897" s="67"/>
    </row>
    <row r="898" ht="15.75" customHeight="1">
      <c r="A898" s="1"/>
      <c r="B898" s="69"/>
      <c r="D898" s="70"/>
      <c r="E898" s="71"/>
      <c r="F898" s="72"/>
      <c r="G898" s="75"/>
      <c r="H898" s="73"/>
      <c r="I898" s="51">
        <f t="shared" si="1"/>
        <v>0</v>
      </c>
      <c r="J898" s="76"/>
      <c r="K898" s="51">
        <f t="shared" si="2"/>
        <v>0</v>
      </c>
      <c r="L898" s="51">
        <f t="shared" si="5"/>
        <v>0</v>
      </c>
      <c r="M898" s="51">
        <f t="shared" si="4"/>
        <v>0</v>
      </c>
      <c r="N898" s="67"/>
    </row>
    <row r="899" ht="15.75" customHeight="1">
      <c r="A899" s="1"/>
      <c r="B899" s="69"/>
      <c r="D899" s="70"/>
      <c r="E899" s="71"/>
      <c r="F899" s="72"/>
      <c r="G899" s="75"/>
      <c r="H899" s="73"/>
      <c r="I899" s="51">
        <f t="shared" si="1"/>
        <v>0</v>
      </c>
      <c r="J899" s="76"/>
      <c r="K899" s="51">
        <f t="shared" si="2"/>
        <v>0</v>
      </c>
      <c r="L899" s="51">
        <f t="shared" si="5"/>
        <v>0</v>
      </c>
      <c r="M899" s="51">
        <f t="shared" si="4"/>
        <v>0</v>
      </c>
      <c r="N899" s="67"/>
    </row>
    <row r="900" ht="15.75" customHeight="1">
      <c r="A900" s="1"/>
      <c r="B900" s="69"/>
      <c r="D900" s="70"/>
      <c r="E900" s="71"/>
      <c r="F900" s="72"/>
      <c r="G900" s="75"/>
      <c r="H900" s="73"/>
      <c r="I900" s="51">
        <f t="shared" si="1"/>
        <v>0</v>
      </c>
      <c r="J900" s="76"/>
      <c r="K900" s="51">
        <f t="shared" si="2"/>
        <v>0</v>
      </c>
      <c r="L900" s="51">
        <f t="shared" si="5"/>
        <v>0</v>
      </c>
      <c r="M900" s="51">
        <f t="shared" si="4"/>
        <v>0</v>
      </c>
      <c r="N900" s="67"/>
    </row>
    <row r="901" ht="15.75" customHeight="1">
      <c r="A901" s="1"/>
      <c r="B901" s="69"/>
      <c r="D901" s="70"/>
      <c r="E901" s="71"/>
      <c r="F901" s="72"/>
      <c r="G901" s="75"/>
      <c r="H901" s="73"/>
      <c r="I901" s="51">
        <f t="shared" si="1"/>
        <v>0</v>
      </c>
      <c r="J901" s="76"/>
      <c r="K901" s="51">
        <f t="shared" si="2"/>
        <v>0</v>
      </c>
      <c r="L901" s="51">
        <f t="shared" si="5"/>
        <v>0</v>
      </c>
      <c r="M901" s="51">
        <f t="shared" si="4"/>
        <v>0</v>
      </c>
      <c r="N901" s="67"/>
    </row>
    <row r="902" ht="15.75" customHeight="1">
      <c r="A902" s="1"/>
      <c r="B902" s="69"/>
      <c r="D902" s="70"/>
      <c r="E902" s="71"/>
      <c r="F902" s="72"/>
      <c r="G902" s="75"/>
      <c r="H902" s="73"/>
      <c r="I902" s="51">
        <f t="shared" si="1"/>
        <v>0</v>
      </c>
      <c r="J902" s="76"/>
      <c r="K902" s="51">
        <f t="shared" si="2"/>
        <v>0</v>
      </c>
      <c r="L902" s="51">
        <f t="shared" si="5"/>
        <v>0</v>
      </c>
      <c r="M902" s="51">
        <f t="shared" si="4"/>
        <v>0</v>
      </c>
      <c r="N902" s="67"/>
    </row>
    <row r="903" ht="15.75" customHeight="1">
      <c r="A903" s="1"/>
      <c r="B903" s="69"/>
      <c r="D903" s="70"/>
      <c r="E903" s="71"/>
      <c r="F903" s="72"/>
      <c r="G903" s="75"/>
      <c r="H903" s="73"/>
      <c r="I903" s="51">
        <f t="shared" si="1"/>
        <v>0</v>
      </c>
      <c r="J903" s="76"/>
      <c r="K903" s="51">
        <f t="shared" si="2"/>
        <v>0</v>
      </c>
      <c r="L903" s="51">
        <f t="shared" si="5"/>
        <v>0</v>
      </c>
      <c r="M903" s="51">
        <f t="shared" si="4"/>
        <v>0</v>
      </c>
      <c r="N903" s="67"/>
    </row>
    <row r="904" ht="15.75" customHeight="1">
      <c r="A904" s="1"/>
      <c r="B904" s="69"/>
      <c r="D904" s="70"/>
      <c r="E904" s="71"/>
      <c r="F904" s="72"/>
      <c r="G904" s="75"/>
      <c r="H904" s="73"/>
      <c r="I904" s="51">
        <f t="shared" si="1"/>
        <v>0</v>
      </c>
      <c r="J904" s="76"/>
      <c r="K904" s="51">
        <f t="shared" si="2"/>
        <v>0</v>
      </c>
      <c r="L904" s="51">
        <f t="shared" si="5"/>
        <v>0</v>
      </c>
      <c r="M904" s="51">
        <f t="shared" si="4"/>
        <v>0</v>
      </c>
      <c r="N904" s="67"/>
    </row>
    <row r="905" ht="15.75" customHeight="1">
      <c r="A905" s="1"/>
      <c r="B905" s="69"/>
      <c r="D905" s="70"/>
      <c r="E905" s="71"/>
      <c r="F905" s="72"/>
      <c r="G905" s="75"/>
      <c r="H905" s="73"/>
      <c r="I905" s="51">
        <f t="shared" si="1"/>
        <v>0</v>
      </c>
      <c r="J905" s="76"/>
      <c r="K905" s="51">
        <f t="shared" si="2"/>
        <v>0</v>
      </c>
      <c r="L905" s="51">
        <f t="shared" si="5"/>
        <v>0</v>
      </c>
      <c r="M905" s="51">
        <f t="shared" si="4"/>
        <v>0</v>
      </c>
      <c r="N905" s="67"/>
    </row>
    <row r="906" ht="15.75" customHeight="1">
      <c r="A906" s="1"/>
      <c r="B906" s="69"/>
      <c r="D906" s="70"/>
      <c r="E906" s="71"/>
      <c r="F906" s="72"/>
      <c r="G906" s="75"/>
      <c r="H906" s="73"/>
      <c r="I906" s="51">
        <f t="shared" si="1"/>
        <v>0</v>
      </c>
      <c r="J906" s="76"/>
      <c r="K906" s="51">
        <f t="shared" si="2"/>
        <v>0</v>
      </c>
      <c r="L906" s="51">
        <f t="shared" si="5"/>
        <v>0</v>
      </c>
      <c r="M906" s="51">
        <f t="shared" si="4"/>
        <v>0</v>
      </c>
      <c r="N906" s="67"/>
    </row>
    <row r="907" ht="15.75" customHeight="1">
      <c r="A907" s="1"/>
      <c r="B907" s="69"/>
      <c r="D907" s="70"/>
      <c r="E907" s="71"/>
      <c r="F907" s="72"/>
      <c r="G907" s="75"/>
      <c r="H907" s="73"/>
      <c r="I907" s="51">
        <f t="shared" si="1"/>
        <v>0</v>
      </c>
      <c r="J907" s="76"/>
      <c r="K907" s="51">
        <f t="shared" si="2"/>
        <v>0</v>
      </c>
      <c r="L907" s="51">
        <f t="shared" si="5"/>
        <v>0</v>
      </c>
      <c r="M907" s="51">
        <f t="shared" si="4"/>
        <v>0</v>
      </c>
      <c r="N907" s="67"/>
    </row>
    <row r="908" ht="15.75" customHeight="1">
      <c r="A908" s="1"/>
      <c r="B908" s="69"/>
      <c r="D908" s="70"/>
      <c r="E908" s="71"/>
      <c r="F908" s="72"/>
      <c r="G908" s="75"/>
      <c r="H908" s="73"/>
      <c r="I908" s="51">
        <f t="shared" si="1"/>
        <v>0</v>
      </c>
      <c r="J908" s="76"/>
      <c r="K908" s="51">
        <f t="shared" si="2"/>
        <v>0</v>
      </c>
      <c r="L908" s="51">
        <f t="shared" si="5"/>
        <v>0</v>
      </c>
      <c r="M908" s="51">
        <f t="shared" si="4"/>
        <v>0</v>
      </c>
      <c r="N908" s="67"/>
    </row>
    <row r="909" ht="15.75" customHeight="1">
      <c r="A909" s="1"/>
      <c r="B909" s="69"/>
      <c r="D909" s="70"/>
      <c r="E909" s="71"/>
      <c r="F909" s="72"/>
      <c r="G909" s="75"/>
      <c r="H909" s="73"/>
      <c r="I909" s="51">
        <f t="shared" si="1"/>
        <v>0</v>
      </c>
      <c r="J909" s="76"/>
      <c r="K909" s="51">
        <f t="shared" si="2"/>
        <v>0</v>
      </c>
      <c r="L909" s="51">
        <f t="shared" si="5"/>
        <v>0</v>
      </c>
      <c r="M909" s="51">
        <f t="shared" si="4"/>
        <v>0</v>
      </c>
      <c r="N909" s="67"/>
    </row>
    <row r="910" ht="15.75" customHeight="1">
      <c r="A910" s="1"/>
      <c r="B910" s="69"/>
      <c r="D910" s="70"/>
      <c r="E910" s="71"/>
      <c r="F910" s="72"/>
      <c r="G910" s="75"/>
      <c r="H910" s="73"/>
      <c r="I910" s="51">
        <f t="shared" si="1"/>
        <v>0</v>
      </c>
      <c r="J910" s="76"/>
      <c r="K910" s="51">
        <f t="shared" si="2"/>
        <v>0</v>
      </c>
      <c r="L910" s="51">
        <f t="shared" si="5"/>
        <v>0</v>
      </c>
      <c r="M910" s="51">
        <f t="shared" si="4"/>
        <v>0</v>
      </c>
      <c r="N910" s="67"/>
    </row>
    <row r="911" ht="15.75" customHeight="1">
      <c r="A911" s="1"/>
      <c r="B911" s="69"/>
      <c r="D911" s="70"/>
      <c r="E911" s="71"/>
      <c r="F911" s="72"/>
      <c r="G911" s="75"/>
      <c r="H911" s="73"/>
      <c r="I911" s="51">
        <f t="shared" si="1"/>
        <v>0</v>
      </c>
      <c r="J911" s="76"/>
      <c r="K911" s="51">
        <f t="shared" si="2"/>
        <v>0</v>
      </c>
      <c r="L911" s="51">
        <f t="shared" si="5"/>
        <v>0</v>
      </c>
      <c r="M911" s="51">
        <f t="shared" si="4"/>
        <v>0</v>
      </c>
      <c r="N911" s="67"/>
    </row>
    <row r="912" ht="15.75" customHeight="1">
      <c r="A912" s="1"/>
      <c r="B912" s="69"/>
      <c r="D912" s="70"/>
      <c r="E912" s="71"/>
      <c r="F912" s="72"/>
      <c r="G912" s="75"/>
      <c r="H912" s="73"/>
      <c r="I912" s="51">
        <f t="shared" si="1"/>
        <v>0</v>
      </c>
      <c r="J912" s="76"/>
      <c r="K912" s="51">
        <f t="shared" si="2"/>
        <v>0</v>
      </c>
      <c r="L912" s="51">
        <f t="shared" si="5"/>
        <v>0</v>
      </c>
      <c r="M912" s="51">
        <f t="shared" si="4"/>
        <v>0</v>
      </c>
      <c r="N912" s="67"/>
    </row>
    <row r="913" ht="15.75" customHeight="1">
      <c r="A913" s="1"/>
      <c r="B913" s="69"/>
      <c r="D913" s="70"/>
      <c r="E913" s="71"/>
      <c r="F913" s="72"/>
      <c r="G913" s="75"/>
      <c r="H913" s="73"/>
      <c r="I913" s="51">
        <f t="shared" si="1"/>
        <v>0</v>
      </c>
      <c r="J913" s="76"/>
      <c r="K913" s="51">
        <f t="shared" si="2"/>
        <v>0</v>
      </c>
      <c r="L913" s="51">
        <f t="shared" si="5"/>
        <v>0</v>
      </c>
      <c r="M913" s="51">
        <f t="shared" si="4"/>
        <v>0</v>
      </c>
      <c r="N913" s="67"/>
    </row>
    <row r="914" ht="15.75" customHeight="1">
      <c r="A914" s="1"/>
      <c r="B914" s="69"/>
      <c r="D914" s="70"/>
      <c r="E914" s="71"/>
      <c r="F914" s="72"/>
      <c r="G914" s="75"/>
      <c r="H914" s="73"/>
      <c r="I914" s="51">
        <f t="shared" si="1"/>
        <v>0</v>
      </c>
      <c r="J914" s="76"/>
      <c r="K914" s="51">
        <f t="shared" si="2"/>
        <v>0</v>
      </c>
      <c r="L914" s="51">
        <f t="shared" si="5"/>
        <v>0</v>
      </c>
      <c r="M914" s="51">
        <f t="shared" si="4"/>
        <v>0</v>
      </c>
      <c r="N914" s="67"/>
    </row>
    <row r="915" ht="15.75" customHeight="1">
      <c r="A915" s="1"/>
      <c r="B915" s="69"/>
      <c r="D915" s="70"/>
      <c r="E915" s="71"/>
      <c r="F915" s="72"/>
      <c r="G915" s="75"/>
      <c r="H915" s="73"/>
      <c r="I915" s="51">
        <f t="shared" si="1"/>
        <v>0</v>
      </c>
      <c r="J915" s="76"/>
      <c r="K915" s="51">
        <f t="shared" si="2"/>
        <v>0</v>
      </c>
      <c r="L915" s="51">
        <f t="shared" si="5"/>
        <v>0</v>
      </c>
      <c r="M915" s="51">
        <f t="shared" si="4"/>
        <v>0</v>
      </c>
      <c r="N915" s="67"/>
    </row>
    <row r="916" ht="15.75" customHeight="1">
      <c r="A916" s="1"/>
      <c r="B916" s="69"/>
      <c r="D916" s="70"/>
      <c r="E916" s="71"/>
      <c r="F916" s="72"/>
      <c r="G916" s="75"/>
      <c r="H916" s="73"/>
      <c r="I916" s="51">
        <f t="shared" si="1"/>
        <v>0</v>
      </c>
      <c r="J916" s="76"/>
      <c r="K916" s="51">
        <f t="shared" si="2"/>
        <v>0</v>
      </c>
      <c r="L916" s="51">
        <f t="shared" si="5"/>
        <v>0</v>
      </c>
      <c r="M916" s="51">
        <f t="shared" si="4"/>
        <v>0</v>
      </c>
      <c r="N916" s="67"/>
    </row>
    <row r="917" ht="15.75" customHeight="1">
      <c r="A917" s="1"/>
      <c r="B917" s="69"/>
      <c r="D917" s="70"/>
      <c r="E917" s="71"/>
      <c r="F917" s="72"/>
      <c r="G917" s="75"/>
      <c r="H917" s="73"/>
      <c r="I917" s="51">
        <f t="shared" si="1"/>
        <v>0</v>
      </c>
      <c r="J917" s="76"/>
      <c r="K917" s="51">
        <f t="shared" si="2"/>
        <v>0</v>
      </c>
      <c r="L917" s="51">
        <f t="shared" si="5"/>
        <v>0</v>
      </c>
      <c r="M917" s="51">
        <f t="shared" si="4"/>
        <v>0</v>
      </c>
      <c r="N917" s="67"/>
    </row>
    <row r="918" ht="15.75" customHeight="1">
      <c r="A918" s="1"/>
      <c r="B918" s="69"/>
      <c r="D918" s="70"/>
      <c r="E918" s="71"/>
      <c r="F918" s="72"/>
      <c r="G918" s="75"/>
      <c r="H918" s="73"/>
      <c r="I918" s="51">
        <f t="shared" si="1"/>
        <v>0</v>
      </c>
      <c r="J918" s="76"/>
      <c r="K918" s="51">
        <f t="shared" si="2"/>
        <v>0</v>
      </c>
      <c r="L918" s="51">
        <f t="shared" si="5"/>
        <v>0</v>
      </c>
      <c r="M918" s="51">
        <f t="shared" si="4"/>
        <v>0</v>
      </c>
      <c r="N918" s="67"/>
    </row>
    <row r="919" ht="15.75" customHeight="1">
      <c r="A919" s="1"/>
      <c r="B919" s="69"/>
      <c r="D919" s="70"/>
      <c r="E919" s="71"/>
      <c r="F919" s="72"/>
      <c r="G919" s="75"/>
      <c r="H919" s="73"/>
      <c r="I919" s="51">
        <f t="shared" si="1"/>
        <v>0</v>
      </c>
      <c r="J919" s="76"/>
      <c r="K919" s="51">
        <f t="shared" si="2"/>
        <v>0</v>
      </c>
      <c r="L919" s="51">
        <f t="shared" si="5"/>
        <v>0</v>
      </c>
      <c r="M919" s="51">
        <f t="shared" si="4"/>
        <v>0</v>
      </c>
      <c r="N919" s="67"/>
    </row>
    <row r="920" ht="15.75" customHeight="1">
      <c r="A920" s="1"/>
      <c r="B920" s="69"/>
      <c r="D920" s="70"/>
      <c r="E920" s="71"/>
      <c r="F920" s="72"/>
      <c r="G920" s="75"/>
      <c r="H920" s="73"/>
      <c r="I920" s="51">
        <f t="shared" si="1"/>
        <v>0</v>
      </c>
      <c r="J920" s="76"/>
      <c r="K920" s="51">
        <f t="shared" si="2"/>
        <v>0</v>
      </c>
      <c r="L920" s="51">
        <f t="shared" si="5"/>
        <v>0</v>
      </c>
      <c r="M920" s="51">
        <f t="shared" si="4"/>
        <v>0</v>
      </c>
      <c r="N920" s="67"/>
    </row>
    <row r="921" ht="15.75" customHeight="1">
      <c r="A921" s="1"/>
      <c r="B921" s="69"/>
      <c r="D921" s="70"/>
      <c r="E921" s="71"/>
      <c r="F921" s="72"/>
      <c r="G921" s="75"/>
      <c r="H921" s="73"/>
      <c r="I921" s="51">
        <f t="shared" si="1"/>
        <v>0</v>
      </c>
      <c r="J921" s="76"/>
      <c r="K921" s="51">
        <f t="shared" si="2"/>
        <v>0</v>
      </c>
      <c r="L921" s="51">
        <f t="shared" si="5"/>
        <v>0</v>
      </c>
      <c r="M921" s="51">
        <f t="shared" si="4"/>
        <v>0</v>
      </c>
      <c r="N921" s="67"/>
    </row>
    <row r="922" ht="15.75" customHeight="1">
      <c r="A922" s="1"/>
      <c r="B922" s="69"/>
      <c r="D922" s="70"/>
      <c r="E922" s="71"/>
      <c r="F922" s="72"/>
      <c r="G922" s="75"/>
      <c r="H922" s="73"/>
      <c r="I922" s="51">
        <f t="shared" si="1"/>
        <v>0</v>
      </c>
      <c r="J922" s="76"/>
      <c r="K922" s="51">
        <f t="shared" si="2"/>
        <v>0</v>
      </c>
      <c r="L922" s="51">
        <f t="shared" si="5"/>
        <v>0</v>
      </c>
      <c r="M922" s="51">
        <f t="shared" si="4"/>
        <v>0</v>
      </c>
      <c r="N922" s="67"/>
    </row>
    <row r="923" ht="15.75" customHeight="1">
      <c r="A923" s="1"/>
      <c r="B923" s="69"/>
      <c r="D923" s="70"/>
      <c r="E923" s="71"/>
      <c r="F923" s="72"/>
      <c r="G923" s="75"/>
      <c r="H923" s="73"/>
      <c r="I923" s="51">
        <f t="shared" si="1"/>
        <v>0</v>
      </c>
      <c r="J923" s="76"/>
      <c r="K923" s="51">
        <f t="shared" si="2"/>
        <v>0</v>
      </c>
      <c r="L923" s="51">
        <f t="shared" si="5"/>
        <v>0</v>
      </c>
      <c r="M923" s="51">
        <f t="shared" si="4"/>
        <v>0</v>
      </c>
      <c r="N923" s="67"/>
    </row>
    <row r="924" ht="15.75" customHeight="1">
      <c r="A924" s="1"/>
      <c r="B924" s="69"/>
      <c r="D924" s="70"/>
      <c r="E924" s="71"/>
      <c r="F924" s="72"/>
      <c r="G924" s="75"/>
      <c r="H924" s="73"/>
      <c r="I924" s="51">
        <f t="shared" si="1"/>
        <v>0</v>
      </c>
      <c r="J924" s="76"/>
      <c r="K924" s="51">
        <f t="shared" si="2"/>
        <v>0</v>
      </c>
      <c r="L924" s="51">
        <f t="shared" si="5"/>
        <v>0</v>
      </c>
      <c r="M924" s="51">
        <f t="shared" si="4"/>
        <v>0</v>
      </c>
      <c r="N924" s="67"/>
    </row>
    <row r="925" ht="15.75" customHeight="1">
      <c r="A925" s="1"/>
      <c r="B925" s="69"/>
      <c r="D925" s="70"/>
      <c r="E925" s="71"/>
      <c r="F925" s="72"/>
      <c r="G925" s="75"/>
      <c r="H925" s="73"/>
      <c r="I925" s="51">
        <f t="shared" si="1"/>
        <v>0</v>
      </c>
      <c r="J925" s="76"/>
      <c r="K925" s="51">
        <f t="shared" si="2"/>
        <v>0</v>
      </c>
      <c r="L925" s="51">
        <f t="shared" si="5"/>
        <v>0</v>
      </c>
      <c r="M925" s="51">
        <f t="shared" si="4"/>
        <v>0</v>
      </c>
      <c r="N925" s="67"/>
    </row>
    <row r="926" ht="15.75" customHeight="1">
      <c r="A926" s="1"/>
      <c r="B926" s="69"/>
      <c r="D926" s="70"/>
      <c r="E926" s="71"/>
      <c r="F926" s="72"/>
      <c r="G926" s="75"/>
      <c r="H926" s="73"/>
      <c r="I926" s="51">
        <f t="shared" si="1"/>
        <v>0</v>
      </c>
      <c r="J926" s="76"/>
      <c r="K926" s="51">
        <f t="shared" si="2"/>
        <v>0</v>
      </c>
      <c r="L926" s="51">
        <f t="shared" si="5"/>
        <v>0</v>
      </c>
      <c r="M926" s="51">
        <f t="shared" si="4"/>
        <v>0</v>
      </c>
      <c r="N926" s="67"/>
    </row>
    <row r="927" ht="15.75" customHeight="1">
      <c r="A927" s="77"/>
      <c r="B927" s="78"/>
      <c r="E927" s="79"/>
      <c r="G927" s="70"/>
      <c r="I927" s="51">
        <f t="shared" si="1"/>
        <v>0</v>
      </c>
      <c r="K927" s="51">
        <f t="shared" si="2"/>
        <v>0</v>
      </c>
      <c r="M927" s="51">
        <f t="shared" si="4"/>
        <v>0</v>
      </c>
      <c r="N927" s="67"/>
    </row>
    <row r="928" ht="15.75" customHeight="1">
      <c r="A928" s="77"/>
      <c r="B928" s="78"/>
      <c r="E928" s="79"/>
      <c r="G928" s="70"/>
      <c r="I928" s="51">
        <f t="shared" si="1"/>
        <v>0</v>
      </c>
      <c r="K928" s="51">
        <f t="shared" si="2"/>
        <v>0</v>
      </c>
      <c r="M928" s="51">
        <f t="shared" si="4"/>
        <v>0</v>
      </c>
      <c r="N928" s="67"/>
    </row>
    <row r="929" ht="15.75" customHeight="1">
      <c r="A929" s="77"/>
      <c r="B929" s="78"/>
      <c r="E929" s="79"/>
      <c r="G929" s="70"/>
      <c r="I929" s="51">
        <f t="shared" si="1"/>
        <v>0</v>
      </c>
      <c r="K929" s="51">
        <f t="shared" si="2"/>
        <v>0</v>
      </c>
      <c r="M929" s="51">
        <f t="shared" si="4"/>
        <v>0</v>
      </c>
      <c r="N929" s="67"/>
    </row>
    <row r="930" ht="15.75" customHeight="1">
      <c r="A930" s="77"/>
      <c r="B930" s="80"/>
      <c r="C930" s="81"/>
      <c r="D930" s="81"/>
      <c r="E930" s="82"/>
      <c r="F930" s="81"/>
      <c r="G930" s="83"/>
      <c r="H930" s="81"/>
      <c r="I930" s="84">
        <f t="shared" si="1"/>
        <v>0</v>
      </c>
      <c r="J930" s="81"/>
      <c r="K930" s="84">
        <f t="shared" si="2"/>
        <v>0</v>
      </c>
      <c r="L930" s="81"/>
      <c r="M930" s="84">
        <f t="shared" si="4"/>
        <v>0</v>
      </c>
      <c r="N930" s="85"/>
    </row>
  </sheetData>
  <autoFilter ref="$B$1:$N$930">
    <filterColumn colId="12">
      <filters blank="1">
        <filter val="Dezembro"/>
      </filters>
    </filterColumn>
  </autoFilter>
  <dataValidations>
    <dataValidation type="list" allowBlank="1" sqref="N2:N930">
      <formula1>"Janeiro,Fevereiro,Março,Abril,Maio,Junho,Julho,Agosto,Setembro,Outubro,Novembro,Dezembro"</formula1>
    </dataValidation>
    <dataValidation type="list" allowBlank="1" showErrorMessage="1" sqref="J2:J456">
      <formula1>"2,00%,1,50%,1,37%,1,00%,0,75%,0,50%"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6.25"/>
    <col customWidth="1" min="3" max="3" width="21.25"/>
    <col customWidth="1" min="4" max="4" width="17.5"/>
    <col customWidth="1" min="5" max="5" width="17.63"/>
    <col customWidth="1" min="6" max="6" width="20.13"/>
    <col customWidth="1" min="7" max="7" width="15.63"/>
    <col customWidth="1" min="8" max="8" width="21.25"/>
    <col customWidth="1" min="9" max="9" width="22.63"/>
  </cols>
  <sheetData>
    <row r="1" ht="15.75" customHeight="1">
      <c r="A1" s="86"/>
      <c r="B1" s="87" t="s">
        <v>56</v>
      </c>
      <c r="C1" s="87" t="s">
        <v>1</v>
      </c>
      <c r="D1" s="87" t="s">
        <v>57</v>
      </c>
      <c r="E1" s="87" t="s">
        <v>6</v>
      </c>
      <c r="F1" s="87" t="s">
        <v>7</v>
      </c>
      <c r="G1" s="87" t="s">
        <v>8</v>
      </c>
      <c r="H1" s="87" t="s">
        <v>58</v>
      </c>
      <c r="I1" s="87" t="s">
        <v>12</v>
      </c>
    </row>
    <row r="2" ht="15.75" customHeight="1">
      <c r="A2" s="53"/>
      <c r="B2" s="88">
        <v>1389.0</v>
      </c>
      <c r="C2" s="89" t="s">
        <v>53</v>
      </c>
      <c r="D2" s="90">
        <v>27.15</v>
      </c>
      <c r="E2" s="91">
        <v>24380.0</v>
      </c>
      <c r="F2" s="92">
        <f t="shared" ref="F2:F917" si="1">D2*E2</f>
        <v>661917</v>
      </c>
      <c r="G2" s="93">
        <v>0.01</v>
      </c>
      <c r="H2" s="94">
        <f t="shared" ref="H2:H917" si="2">F2*G2</f>
        <v>6619.17</v>
      </c>
      <c r="I2" s="95" t="s">
        <v>18</v>
      </c>
      <c r="J2" s="70"/>
      <c r="K2" s="70"/>
      <c r="L2" s="70"/>
      <c r="M2" s="70"/>
      <c r="N2" s="70"/>
      <c r="O2" s="70"/>
      <c r="P2" s="70"/>
      <c r="Q2" s="70"/>
      <c r="R2" s="70"/>
      <c r="S2" s="70"/>
    </row>
    <row r="3" ht="15.75" customHeight="1">
      <c r="A3" s="53"/>
      <c r="B3" s="88">
        <v>1508.0</v>
      </c>
      <c r="C3" s="89" t="s">
        <v>53</v>
      </c>
      <c r="D3" s="90">
        <v>48.11</v>
      </c>
      <c r="E3" s="91">
        <v>10041.4</v>
      </c>
      <c r="F3" s="92">
        <f t="shared" si="1"/>
        <v>483091.754</v>
      </c>
      <c r="G3" s="93">
        <v>0.01</v>
      </c>
      <c r="H3" s="96">
        <f t="shared" si="2"/>
        <v>4830.91754</v>
      </c>
      <c r="I3" s="95" t="s">
        <v>23</v>
      </c>
      <c r="J3" s="70"/>
      <c r="K3" s="70"/>
      <c r="L3" s="70"/>
      <c r="M3" s="70"/>
      <c r="N3" s="70"/>
      <c r="O3" s="70"/>
      <c r="P3" s="70"/>
      <c r="Q3" s="70"/>
      <c r="R3" s="70"/>
      <c r="S3" s="70"/>
    </row>
    <row r="4" ht="15.75" customHeight="1">
      <c r="A4" s="53"/>
      <c r="B4" s="88">
        <v>1558.0</v>
      </c>
      <c r="C4" s="89" t="s">
        <v>59</v>
      </c>
      <c r="D4" s="90">
        <v>27.1</v>
      </c>
      <c r="E4" s="91">
        <v>6915.93</v>
      </c>
      <c r="F4" s="92">
        <f t="shared" si="1"/>
        <v>187421.703</v>
      </c>
      <c r="G4" s="93">
        <v>0.01</v>
      </c>
      <c r="H4" s="96">
        <f t="shared" si="2"/>
        <v>1874.21703</v>
      </c>
      <c r="I4" s="95" t="s">
        <v>23</v>
      </c>
      <c r="J4" s="70"/>
      <c r="K4" s="70"/>
      <c r="L4" s="70"/>
      <c r="M4" s="70"/>
      <c r="N4" s="70"/>
      <c r="O4" s="70"/>
      <c r="P4" s="70"/>
      <c r="Q4" s="70"/>
      <c r="R4" s="70"/>
      <c r="S4" s="70"/>
    </row>
    <row r="5" ht="15.75" customHeight="1">
      <c r="A5" s="53"/>
      <c r="B5" s="88">
        <v>1606.0</v>
      </c>
      <c r="C5" s="89" t="s">
        <v>60</v>
      </c>
      <c r="D5" s="90">
        <v>26.76</v>
      </c>
      <c r="E5" s="91">
        <v>1300.0</v>
      </c>
      <c r="F5" s="92">
        <f t="shared" si="1"/>
        <v>34788</v>
      </c>
      <c r="G5" s="93">
        <v>0.01</v>
      </c>
      <c r="H5" s="94">
        <f t="shared" si="2"/>
        <v>347.88</v>
      </c>
      <c r="I5" s="95" t="s">
        <v>18</v>
      </c>
      <c r="J5" s="70"/>
      <c r="K5" s="70"/>
      <c r="L5" s="70"/>
      <c r="M5" s="70"/>
      <c r="N5" s="70"/>
      <c r="O5" s="70"/>
      <c r="P5" s="70"/>
      <c r="Q5" s="70"/>
      <c r="R5" s="70"/>
      <c r="S5" s="70"/>
    </row>
    <row r="6" ht="15.75" customHeight="1">
      <c r="A6" s="53"/>
      <c r="B6" s="88">
        <v>1610.0</v>
      </c>
      <c r="C6" s="89" t="s">
        <v>61</v>
      </c>
      <c r="D6" s="90">
        <v>27.07</v>
      </c>
      <c r="E6" s="91">
        <v>5169.92</v>
      </c>
      <c r="F6" s="92">
        <f t="shared" si="1"/>
        <v>139949.7344</v>
      </c>
      <c r="G6" s="93">
        <v>0.01</v>
      </c>
      <c r="H6" s="94">
        <f t="shared" si="2"/>
        <v>1399.497344</v>
      </c>
      <c r="I6" s="95" t="s">
        <v>28</v>
      </c>
    </row>
    <row r="7" ht="15.75" customHeight="1">
      <c r="A7" s="53"/>
      <c r="B7" s="88">
        <v>1611.0</v>
      </c>
      <c r="C7" s="89" t="s">
        <v>62</v>
      </c>
      <c r="D7" s="90">
        <v>27.07</v>
      </c>
      <c r="E7" s="91">
        <v>5151.8</v>
      </c>
      <c r="F7" s="92">
        <f t="shared" si="1"/>
        <v>139459.226</v>
      </c>
      <c r="G7" s="93">
        <v>0.01</v>
      </c>
      <c r="H7" s="94">
        <f t="shared" si="2"/>
        <v>1394.59226</v>
      </c>
      <c r="I7" s="95" t="s">
        <v>28</v>
      </c>
    </row>
    <row r="8" ht="15.75" customHeight="1">
      <c r="A8" s="53"/>
      <c r="B8" s="88">
        <v>1612.0</v>
      </c>
      <c r="C8" s="89" t="s">
        <v>60</v>
      </c>
      <c r="D8" s="90">
        <v>26.8</v>
      </c>
      <c r="E8" s="91">
        <v>859.17</v>
      </c>
      <c r="F8" s="92">
        <f t="shared" si="1"/>
        <v>23025.756</v>
      </c>
      <c r="G8" s="93">
        <v>0.01</v>
      </c>
      <c r="H8" s="94">
        <f t="shared" si="2"/>
        <v>230.25756</v>
      </c>
      <c r="I8" s="95" t="s">
        <v>15</v>
      </c>
    </row>
    <row r="9" ht="15.75" customHeight="1">
      <c r="A9" s="53"/>
      <c r="B9" s="88">
        <v>1613.0</v>
      </c>
      <c r="C9" s="89" t="s">
        <v>63</v>
      </c>
      <c r="D9" s="90">
        <v>27.11</v>
      </c>
      <c r="E9" s="91">
        <v>3600.0</v>
      </c>
      <c r="F9" s="92">
        <f t="shared" si="1"/>
        <v>97596</v>
      </c>
      <c r="G9" s="93">
        <v>0.01</v>
      </c>
      <c r="H9" s="94">
        <f t="shared" si="2"/>
        <v>975.96</v>
      </c>
      <c r="I9" s="95" t="s">
        <v>18</v>
      </c>
    </row>
    <row r="10" ht="15.75" customHeight="1">
      <c r="A10" s="53"/>
      <c r="B10" s="14">
        <v>1617.0</v>
      </c>
      <c r="C10" s="97" t="s">
        <v>53</v>
      </c>
      <c r="D10" s="28">
        <v>26.41</v>
      </c>
      <c r="E10" s="29">
        <v>5006.29</v>
      </c>
      <c r="F10" s="98">
        <f t="shared" si="1"/>
        <v>132216.1189</v>
      </c>
      <c r="G10" s="93">
        <v>0.01</v>
      </c>
      <c r="H10" s="96">
        <f t="shared" si="2"/>
        <v>1322.161189</v>
      </c>
      <c r="I10" s="31" t="s">
        <v>15</v>
      </c>
    </row>
    <row r="11" ht="15.75" customHeight="1">
      <c r="A11" s="53"/>
      <c r="B11" s="3">
        <v>1625.0</v>
      </c>
      <c r="C11" s="99" t="s">
        <v>64</v>
      </c>
      <c r="D11" s="100">
        <v>30.0</v>
      </c>
      <c r="E11" s="29">
        <v>1168.26</v>
      </c>
      <c r="F11" s="98">
        <f t="shared" si="1"/>
        <v>35047.8</v>
      </c>
      <c r="G11" s="93">
        <v>0.01</v>
      </c>
      <c r="H11" s="98">
        <f t="shared" si="2"/>
        <v>350.478</v>
      </c>
      <c r="I11" s="31" t="s">
        <v>28</v>
      </c>
    </row>
    <row r="12" ht="15.75" customHeight="1">
      <c r="A12" s="53"/>
      <c r="B12" s="3">
        <v>1626.0</v>
      </c>
      <c r="C12" s="99" t="s">
        <v>53</v>
      </c>
      <c r="D12" s="100">
        <v>51.05</v>
      </c>
      <c r="E12" s="29">
        <v>5939.62</v>
      </c>
      <c r="F12" s="98">
        <f t="shared" si="1"/>
        <v>303217.601</v>
      </c>
      <c r="G12" s="93">
        <v>0.01</v>
      </c>
      <c r="H12" s="98">
        <f t="shared" si="2"/>
        <v>3032.17601</v>
      </c>
      <c r="I12" s="31" t="s">
        <v>23</v>
      </c>
    </row>
    <row r="13" ht="15.75" customHeight="1">
      <c r="A13" s="53"/>
      <c r="B13" s="3">
        <v>1636.0</v>
      </c>
      <c r="C13" s="99" t="s">
        <v>53</v>
      </c>
      <c r="D13" s="100">
        <v>26.66</v>
      </c>
      <c r="E13" s="29">
        <v>5188.27</v>
      </c>
      <c r="F13" s="98">
        <f t="shared" si="1"/>
        <v>138319.2782</v>
      </c>
      <c r="G13" s="93">
        <v>0.01</v>
      </c>
      <c r="H13" s="98">
        <f t="shared" si="2"/>
        <v>1383.192782</v>
      </c>
      <c r="I13" s="31" t="s">
        <v>28</v>
      </c>
    </row>
    <row r="14" ht="15.75" customHeight="1">
      <c r="A14" s="53"/>
      <c r="B14" s="3">
        <v>1661.0</v>
      </c>
      <c r="C14" s="99" t="s">
        <v>65</v>
      </c>
      <c r="D14" s="100">
        <v>26.86</v>
      </c>
      <c r="E14" s="29">
        <v>5951.64</v>
      </c>
      <c r="F14" s="98">
        <f t="shared" si="1"/>
        <v>159861.0504</v>
      </c>
      <c r="G14" s="93">
        <v>0.01</v>
      </c>
      <c r="H14" s="98">
        <f t="shared" si="2"/>
        <v>1598.610504</v>
      </c>
      <c r="I14" s="31" t="s">
        <v>15</v>
      </c>
    </row>
    <row r="15" ht="15.75" customHeight="1">
      <c r="A15" s="53"/>
      <c r="B15" s="3">
        <v>1666.0</v>
      </c>
      <c r="C15" s="99" t="s">
        <v>66</v>
      </c>
      <c r="D15" s="100">
        <v>27.44</v>
      </c>
      <c r="E15" s="29">
        <v>982.13</v>
      </c>
      <c r="F15" s="98">
        <f t="shared" si="1"/>
        <v>26949.6472</v>
      </c>
      <c r="G15" s="93">
        <v>0.01</v>
      </c>
      <c r="H15" s="98">
        <f t="shared" si="2"/>
        <v>269.496472</v>
      </c>
      <c r="I15" s="31" t="s">
        <v>28</v>
      </c>
    </row>
    <row r="16" ht="15.75" customHeight="1">
      <c r="A16" s="53"/>
      <c r="B16" s="3">
        <v>1667.0</v>
      </c>
      <c r="C16" s="99" t="s">
        <v>67</v>
      </c>
      <c r="D16" s="101">
        <v>27.44</v>
      </c>
      <c r="E16" s="29">
        <v>1330.67</v>
      </c>
      <c r="F16" s="98">
        <f t="shared" si="1"/>
        <v>36513.5848</v>
      </c>
      <c r="G16" s="93">
        <v>0.01</v>
      </c>
      <c r="H16" s="98">
        <f t="shared" si="2"/>
        <v>365.135848</v>
      </c>
      <c r="I16" s="31" t="s">
        <v>28</v>
      </c>
    </row>
    <row r="17" ht="15.75" customHeight="1">
      <c r="A17" s="53"/>
      <c r="B17" s="3">
        <v>1672.0</v>
      </c>
      <c r="C17" s="99" t="s">
        <v>68</v>
      </c>
      <c r="D17" s="100">
        <v>26.29</v>
      </c>
      <c r="E17" s="29">
        <v>1332.35</v>
      </c>
      <c r="F17" s="98">
        <f t="shared" si="1"/>
        <v>35027.4815</v>
      </c>
      <c r="G17" s="93">
        <v>0.01</v>
      </c>
      <c r="H17" s="98">
        <f t="shared" si="2"/>
        <v>350.274815</v>
      </c>
      <c r="I17" s="31" t="s">
        <v>28</v>
      </c>
    </row>
    <row r="18" ht="14.25" customHeight="1">
      <c r="A18" s="53"/>
      <c r="B18" s="3">
        <v>1677.0</v>
      </c>
      <c r="C18" s="99" t="s">
        <v>53</v>
      </c>
      <c r="D18" s="100">
        <v>26.59</v>
      </c>
      <c r="E18" s="29">
        <v>3024.0</v>
      </c>
      <c r="F18" s="98">
        <f t="shared" si="1"/>
        <v>80408.16</v>
      </c>
      <c r="G18" s="93">
        <v>0.01</v>
      </c>
      <c r="H18" s="98">
        <f t="shared" si="2"/>
        <v>804.0816</v>
      </c>
      <c r="I18" s="31" t="s">
        <v>32</v>
      </c>
    </row>
    <row r="19" ht="15.75" customHeight="1">
      <c r="A19" s="53"/>
      <c r="B19" s="3">
        <v>1679.0</v>
      </c>
      <c r="C19" s="99" t="s">
        <v>66</v>
      </c>
      <c r="D19" s="100">
        <v>27.32</v>
      </c>
      <c r="E19" s="29">
        <v>1736.82</v>
      </c>
      <c r="F19" s="98">
        <f t="shared" si="1"/>
        <v>47449.9224</v>
      </c>
      <c r="G19" s="93">
        <v>0.01</v>
      </c>
      <c r="H19" s="98">
        <f t="shared" si="2"/>
        <v>474.499224</v>
      </c>
      <c r="I19" s="31" t="s">
        <v>23</v>
      </c>
    </row>
    <row r="20" ht="15.75" customHeight="1">
      <c r="A20" s="53"/>
      <c r="B20" s="14">
        <v>1690.0</v>
      </c>
      <c r="C20" s="97" t="s">
        <v>53</v>
      </c>
      <c r="D20" s="100">
        <v>47.74</v>
      </c>
      <c r="E20" s="29">
        <v>9916.58</v>
      </c>
      <c r="F20" s="98">
        <f t="shared" si="1"/>
        <v>473417.5292</v>
      </c>
      <c r="G20" s="102">
        <v>0.01</v>
      </c>
      <c r="H20" s="98">
        <f t="shared" si="2"/>
        <v>4734.175292</v>
      </c>
      <c r="I20" s="31" t="s">
        <v>47</v>
      </c>
    </row>
    <row r="21" ht="15.75" customHeight="1">
      <c r="A21" s="53"/>
      <c r="B21" s="14">
        <v>1698.0</v>
      </c>
      <c r="C21" s="97" t="s">
        <v>60</v>
      </c>
      <c r="D21" s="100">
        <v>27.16</v>
      </c>
      <c r="E21" s="29">
        <v>720.0</v>
      </c>
      <c r="F21" s="98">
        <f t="shared" si="1"/>
        <v>19555.2</v>
      </c>
      <c r="G21" s="93">
        <v>0.01</v>
      </c>
      <c r="H21" s="96">
        <f t="shared" si="2"/>
        <v>195.552</v>
      </c>
      <c r="I21" s="31" t="s">
        <v>23</v>
      </c>
    </row>
    <row r="22" ht="15.75" customHeight="1">
      <c r="A22" s="53"/>
      <c r="B22" s="14">
        <v>1710.0</v>
      </c>
      <c r="C22" s="97" t="s">
        <v>66</v>
      </c>
      <c r="D22" s="100">
        <v>27.06</v>
      </c>
      <c r="E22" s="29">
        <v>4789.67</v>
      </c>
      <c r="F22" s="98">
        <f t="shared" si="1"/>
        <v>129608.4702</v>
      </c>
      <c r="G22" s="93">
        <v>0.01</v>
      </c>
      <c r="H22" s="96">
        <f t="shared" si="2"/>
        <v>1296.084702</v>
      </c>
      <c r="I22" s="31" t="s">
        <v>32</v>
      </c>
    </row>
    <row r="23" ht="15.75" customHeight="1">
      <c r="A23" s="53"/>
      <c r="B23" s="14">
        <v>1711.0</v>
      </c>
      <c r="C23" s="97" t="s">
        <v>53</v>
      </c>
      <c r="D23" s="100">
        <v>27.64</v>
      </c>
      <c r="E23" s="29">
        <v>4035.25</v>
      </c>
      <c r="F23" s="98">
        <f t="shared" si="1"/>
        <v>111534.31</v>
      </c>
      <c r="G23" s="93">
        <v>0.01</v>
      </c>
      <c r="H23" s="96">
        <f t="shared" si="2"/>
        <v>1115.3431</v>
      </c>
      <c r="I23" s="31" t="s">
        <v>47</v>
      </c>
    </row>
    <row r="24" ht="15.75" customHeight="1">
      <c r="A24" s="53"/>
      <c r="B24" s="14">
        <v>1746.0</v>
      </c>
      <c r="C24" s="97" t="s">
        <v>53</v>
      </c>
      <c r="D24" s="100">
        <v>51.11</v>
      </c>
      <c r="E24" s="29">
        <v>4231.16</v>
      </c>
      <c r="F24" s="98">
        <f t="shared" si="1"/>
        <v>216254.5876</v>
      </c>
      <c r="G24" s="93">
        <v>0.01</v>
      </c>
      <c r="H24" s="96">
        <f t="shared" si="2"/>
        <v>2162.545876</v>
      </c>
      <c r="I24" s="31" t="s">
        <v>42</v>
      </c>
    </row>
    <row r="25" ht="15.75" customHeight="1">
      <c r="A25" s="53"/>
      <c r="B25" s="14">
        <v>1747.0</v>
      </c>
      <c r="C25" s="97" t="s">
        <v>53</v>
      </c>
      <c r="D25" s="100">
        <v>27.18</v>
      </c>
      <c r="E25" s="29">
        <v>6095.29</v>
      </c>
      <c r="F25" s="98">
        <f t="shared" si="1"/>
        <v>165669.9822</v>
      </c>
      <c r="G25" s="93">
        <v>0.01</v>
      </c>
      <c r="H25" s="96">
        <f t="shared" si="2"/>
        <v>1656.699822</v>
      </c>
      <c r="I25" s="31" t="s">
        <v>47</v>
      </c>
    </row>
    <row r="26" ht="15.75" customHeight="1">
      <c r="A26" s="53"/>
      <c r="B26" s="14">
        <v>1764.0</v>
      </c>
      <c r="C26" s="97" t="s">
        <v>63</v>
      </c>
      <c r="D26" s="100">
        <v>27.52</v>
      </c>
      <c r="E26" s="29">
        <v>2650.61</v>
      </c>
      <c r="F26" s="98">
        <f t="shared" si="1"/>
        <v>72944.7872</v>
      </c>
      <c r="G26" s="102">
        <v>0.01</v>
      </c>
      <c r="H26" s="96">
        <f t="shared" si="2"/>
        <v>729.447872</v>
      </c>
      <c r="I26" s="31" t="s">
        <v>42</v>
      </c>
    </row>
    <row r="27" ht="15.75" customHeight="1">
      <c r="A27" s="53"/>
      <c r="B27" s="14">
        <v>1772.0</v>
      </c>
      <c r="C27" s="97" t="s">
        <v>53</v>
      </c>
      <c r="D27" s="100">
        <v>27.15</v>
      </c>
      <c r="E27" s="29">
        <v>6002.03</v>
      </c>
      <c r="F27" s="98">
        <f t="shared" si="1"/>
        <v>162955.1145</v>
      </c>
      <c r="G27" s="93">
        <v>0.01</v>
      </c>
      <c r="H27" s="96">
        <f t="shared" si="2"/>
        <v>1629.551145</v>
      </c>
      <c r="I27" s="31" t="s">
        <v>47</v>
      </c>
    </row>
    <row r="28" ht="15.75" customHeight="1">
      <c r="A28" s="53"/>
      <c r="B28" s="14">
        <v>1773.0</v>
      </c>
      <c r="C28" s="97" t="s">
        <v>53</v>
      </c>
      <c r="D28" s="100">
        <v>48.96</v>
      </c>
      <c r="E28" s="29">
        <v>2780.26</v>
      </c>
      <c r="F28" s="98">
        <f t="shared" si="1"/>
        <v>136121.5296</v>
      </c>
      <c r="G28" s="93">
        <v>0.01</v>
      </c>
      <c r="H28" s="96">
        <f t="shared" si="2"/>
        <v>1361.215296</v>
      </c>
      <c r="I28" s="31" t="s">
        <v>38</v>
      </c>
    </row>
    <row r="29" ht="15.75" customHeight="1">
      <c r="A29" s="53"/>
      <c r="B29" s="14">
        <v>1776.0</v>
      </c>
      <c r="C29" s="97" t="s">
        <v>53</v>
      </c>
      <c r="D29" s="100">
        <v>49.14</v>
      </c>
      <c r="E29" s="29">
        <v>3126.35</v>
      </c>
      <c r="F29" s="98">
        <f t="shared" si="1"/>
        <v>153628.839</v>
      </c>
      <c r="G29" s="93">
        <v>0.01</v>
      </c>
      <c r="H29" s="96">
        <f t="shared" si="2"/>
        <v>1536.28839</v>
      </c>
      <c r="I29" s="31" t="s">
        <v>42</v>
      </c>
    </row>
    <row r="30" ht="15.75" customHeight="1">
      <c r="A30" s="53"/>
      <c r="B30" s="14">
        <v>1777.0</v>
      </c>
      <c r="C30" s="97" t="s">
        <v>53</v>
      </c>
      <c r="D30" s="100">
        <v>49.0</v>
      </c>
      <c r="E30" s="29">
        <v>3126.35</v>
      </c>
      <c r="F30" s="98">
        <f t="shared" si="1"/>
        <v>153191.15</v>
      </c>
      <c r="G30" s="93">
        <v>0.01</v>
      </c>
      <c r="H30" s="96">
        <f t="shared" si="2"/>
        <v>1531.9115</v>
      </c>
      <c r="I30" s="31" t="s">
        <v>38</v>
      </c>
    </row>
    <row r="31" ht="15.75" customHeight="1">
      <c r="A31" s="53"/>
      <c r="B31" s="14">
        <v>1785.0</v>
      </c>
      <c r="C31" s="97" t="s">
        <v>66</v>
      </c>
      <c r="D31" s="100">
        <v>27.07</v>
      </c>
      <c r="E31" s="29">
        <v>4674.15</v>
      </c>
      <c r="F31" s="98">
        <f t="shared" si="1"/>
        <v>126529.2405</v>
      </c>
      <c r="G31" s="93">
        <v>0.01</v>
      </c>
      <c r="H31" s="96">
        <f t="shared" si="2"/>
        <v>1265.292405</v>
      </c>
      <c r="I31" s="31" t="s">
        <v>42</v>
      </c>
    </row>
    <row r="32" ht="15.75" customHeight="1">
      <c r="A32" s="53"/>
      <c r="B32" s="14">
        <v>1808.0</v>
      </c>
      <c r="C32" s="97" t="s">
        <v>60</v>
      </c>
      <c r="D32" s="100">
        <v>26.71</v>
      </c>
      <c r="E32" s="29">
        <v>728.57</v>
      </c>
      <c r="F32" s="98">
        <f t="shared" si="1"/>
        <v>19460.1047</v>
      </c>
      <c r="G32" s="93">
        <v>0.01</v>
      </c>
      <c r="H32" s="96">
        <f t="shared" si="2"/>
        <v>194.601047</v>
      </c>
      <c r="I32" s="31" t="s">
        <v>42</v>
      </c>
    </row>
    <row r="33" ht="15.75" customHeight="1">
      <c r="A33" s="53"/>
      <c r="B33" s="14">
        <v>1814.0</v>
      </c>
      <c r="C33" s="97" t="s">
        <v>53</v>
      </c>
      <c r="D33" s="100">
        <v>26.42</v>
      </c>
      <c r="E33" s="29">
        <v>9861.6</v>
      </c>
      <c r="F33" s="98">
        <f t="shared" si="1"/>
        <v>260543.472</v>
      </c>
      <c r="G33" s="93">
        <v>0.01</v>
      </c>
      <c r="H33" s="96">
        <f t="shared" si="2"/>
        <v>2605.43472</v>
      </c>
      <c r="I33" s="31" t="s">
        <v>47</v>
      </c>
    </row>
    <row r="34" ht="15.75" customHeight="1">
      <c r="A34" s="53"/>
      <c r="B34" s="14">
        <v>1820.0</v>
      </c>
      <c r="C34" s="97" t="s">
        <v>53</v>
      </c>
      <c r="D34" s="100">
        <v>45.6</v>
      </c>
      <c r="E34" s="29">
        <v>2935.06</v>
      </c>
      <c r="F34" s="98">
        <f t="shared" si="1"/>
        <v>133838.736</v>
      </c>
      <c r="G34" s="93">
        <v>0.01</v>
      </c>
      <c r="H34" s="96">
        <f t="shared" si="2"/>
        <v>1338.38736</v>
      </c>
      <c r="I34" s="31" t="s">
        <v>69</v>
      </c>
    </row>
    <row r="35" ht="15.75" customHeight="1">
      <c r="A35" s="53"/>
      <c r="B35" s="14">
        <v>1821.0</v>
      </c>
      <c r="C35" s="97" t="s">
        <v>53</v>
      </c>
      <c r="D35" s="100">
        <v>45.79</v>
      </c>
      <c r="E35" s="29">
        <v>2903.13</v>
      </c>
      <c r="F35" s="98">
        <f t="shared" si="1"/>
        <v>132934.3227</v>
      </c>
      <c r="G35" s="93">
        <v>0.01</v>
      </c>
      <c r="H35" s="96">
        <f t="shared" si="2"/>
        <v>1329.343227</v>
      </c>
      <c r="I35" s="31" t="s">
        <v>52</v>
      </c>
    </row>
    <row r="36" ht="15.75" customHeight="1">
      <c r="A36" s="53"/>
      <c r="B36" s="14">
        <v>1822.0</v>
      </c>
      <c r="C36" s="97" t="s">
        <v>53</v>
      </c>
      <c r="D36" s="100">
        <v>46.0</v>
      </c>
      <c r="E36" s="29">
        <v>3000.0</v>
      </c>
      <c r="F36" s="98">
        <f t="shared" si="1"/>
        <v>138000</v>
      </c>
      <c r="G36" s="93">
        <v>0.01</v>
      </c>
      <c r="H36" s="96">
        <f t="shared" si="2"/>
        <v>1380</v>
      </c>
      <c r="I36" s="103"/>
    </row>
    <row r="37" ht="15.75" customHeight="1">
      <c r="A37" s="53"/>
      <c r="B37" s="14">
        <v>1823.0</v>
      </c>
      <c r="C37" s="97" t="s">
        <v>53</v>
      </c>
      <c r="D37" s="100">
        <v>46.19</v>
      </c>
      <c r="E37" s="29">
        <v>1969.18</v>
      </c>
      <c r="F37" s="98">
        <f t="shared" si="1"/>
        <v>90956.4242</v>
      </c>
      <c r="G37" s="93">
        <v>0.01</v>
      </c>
      <c r="H37" s="96">
        <f t="shared" si="2"/>
        <v>909.564242</v>
      </c>
      <c r="I37" s="31" t="s">
        <v>52</v>
      </c>
    </row>
    <row r="38" ht="15.75" customHeight="1">
      <c r="A38" s="53"/>
      <c r="B38" s="14">
        <v>1824.0</v>
      </c>
      <c r="C38" s="97" t="s">
        <v>53</v>
      </c>
      <c r="D38" s="100">
        <v>45.71</v>
      </c>
      <c r="E38" s="29">
        <v>1942.72</v>
      </c>
      <c r="F38" s="98">
        <f t="shared" si="1"/>
        <v>88801.7312</v>
      </c>
      <c r="G38" s="93">
        <v>0.01</v>
      </c>
      <c r="H38" s="96">
        <f t="shared" si="2"/>
        <v>888.017312</v>
      </c>
      <c r="I38" s="31" t="s">
        <v>46</v>
      </c>
    </row>
    <row r="39" ht="15.75" customHeight="1">
      <c r="A39" s="53"/>
      <c r="B39" s="104">
        <v>1825.0</v>
      </c>
      <c r="C39" s="105" t="s">
        <v>53</v>
      </c>
      <c r="D39" s="106">
        <v>45.61</v>
      </c>
      <c r="E39" s="107">
        <v>1986.48</v>
      </c>
      <c r="F39" s="108">
        <f t="shared" si="1"/>
        <v>90603.3528</v>
      </c>
      <c r="G39" s="109">
        <v>0.01</v>
      </c>
      <c r="H39" s="110">
        <f t="shared" si="2"/>
        <v>906.033528</v>
      </c>
      <c r="I39" s="111" t="s">
        <v>48</v>
      </c>
    </row>
    <row r="40" ht="15.75" customHeight="1">
      <c r="A40" s="53"/>
      <c r="B40" s="14">
        <v>1830.0</v>
      </c>
      <c r="C40" s="97" t="s">
        <v>70</v>
      </c>
      <c r="D40" s="28">
        <v>24.78</v>
      </c>
      <c r="E40" s="29">
        <v>995.99</v>
      </c>
      <c r="F40" s="98">
        <f t="shared" si="1"/>
        <v>24680.6322</v>
      </c>
      <c r="G40" s="93">
        <v>0.01</v>
      </c>
      <c r="H40" s="96">
        <f t="shared" si="2"/>
        <v>246.806322</v>
      </c>
      <c r="I40" s="31" t="s">
        <v>32</v>
      </c>
    </row>
    <row r="41" ht="15.75" customHeight="1">
      <c r="A41" s="53"/>
      <c r="B41" s="14">
        <v>1831.0</v>
      </c>
      <c r="C41" s="97" t="s">
        <v>63</v>
      </c>
      <c r="D41" s="28">
        <v>26.32</v>
      </c>
      <c r="E41" s="29">
        <v>4777.24</v>
      </c>
      <c r="F41" s="98">
        <f t="shared" si="1"/>
        <v>125736.9568</v>
      </c>
      <c r="G41" s="93">
        <v>0.01</v>
      </c>
      <c r="H41" s="96">
        <f t="shared" si="2"/>
        <v>1257.369568</v>
      </c>
      <c r="I41" s="31" t="s">
        <v>38</v>
      </c>
    </row>
    <row r="42" ht="15.75" customHeight="1">
      <c r="A42" s="53"/>
      <c r="B42" s="14">
        <v>1832.0</v>
      </c>
      <c r="C42" s="97" t="s">
        <v>61</v>
      </c>
      <c r="D42" s="28">
        <v>26.32</v>
      </c>
      <c r="E42" s="29">
        <v>720.0</v>
      </c>
      <c r="F42" s="98">
        <f t="shared" si="1"/>
        <v>18950.4</v>
      </c>
      <c r="G42" s="93">
        <v>0.01</v>
      </c>
      <c r="H42" s="96">
        <f t="shared" si="2"/>
        <v>189.504</v>
      </c>
      <c r="I42" s="31" t="s">
        <v>42</v>
      </c>
    </row>
    <row r="43" ht="15.75" customHeight="1">
      <c r="A43" s="53"/>
      <c r="B43" s="14">
        <v>1833.0</v>
      </c>
      <c r="C43" s="97" t="s">
        <v>70</v>
      </c>
      <c r="D43" s="28">
        <v>25.62</v>
      </c>
      <c r="E43" s="29">
        <v>4000.0</v>
      </c>
      <c r="F43" s="98">
        <f t="shared" si="1"/>
        <v>102480</v>
      </c>
      <c r="G43" s="93">
        <v>0.01</v>
      </c>
      <c r="H43" s="96">
        <f t="shared" si="2"/>
        <v>1024.8</v>
      </c>
      <c r="I43" s="31" t="s">
        <v>42</v>
      </c>
    </row>
    <row r="44" ht="15.75" customHeight="1">
      <c r="A44" s="53"/>
      <c r="B44" s="14">
        <v>1862.0</v>
      </c>
      <c r="C44" s="97" t="s">
        <v>71</v>
      </c>
      <c r="D44" s="28">
        <v>46.31</v>
      </c>
      <c r="E44" s="29">
        <v>1087.58</v>
      </c>
      <c r="F44" s="98">
        <f t="shared" si="1"/>
        <v>50365.8298</v>
      </c>
      <c r="G44" s="93">
        <v>0.01</v>
      </c>
      <c r="H44" s="96">
        <f t="shared" si="2"/>
        <v>503.658298</v>
      </c>
      <c r="I44" s="31" t="s">
        <v>69</v>
      </c>
    </row>
    <row r="45" ht="15.75" customHeight="1">
      <c r="A45" s="53"/>
      <c r="B45" s="14">
        <v>1864.0</v>
      </c>
      <c r="C45" s="97" t="s">
        <v>72</v>
      </c>
      <c r="D45" s="28">
        <v>48.78</v>
      </c>
      <c r="E45" s="29">
        <v>3850.0</v>
      </c>
      <c r="F45" s="98">
        <f t="shared" si="1"/>
        <v>187803</v>
      </c>
      <c r="G45" s="93">
        <v>0.01</v>
      </c>
      <c r="H45" s="96">
        <f t="shared" si="2"/>
        <v>1878.03</v>
      </c>
      <c r="I45" s="31" t="s">
        <v>47</v>
      </c>
    </row>
    <row r="46" ht="15.75" customHeight="1">
      <c r="A46" s="53"/>
      <c r="B46" s="14">
        <v>1873.0</v>
      </c>
      <c r="C46" s="97" t="s">
        <v>53</v>
      </c>
      <c r="D46" s="28">
        <v>47.89</v>
      </c>
      <c r="E46" s="29">
        <v>3035.06</v>
      </c>
      <c r="F46" s="98">
        <f t="shared" si="1"/>
        <v>145349.0234</v>
      </c>
      <c r="G46" s="93">
        <v>0.01</v>
      </c>
      <c r="H46" s="96">
        <f t="shared" si="2"/>
        <v>1453.490234</v>
      </c>
      <c r="I46" s="31" t="s">
        <v>47</v>
      </c>
    </row>
    <row r="47" ht="15.75" customHeight="1">
      <c r="A47" s="53"/>
      <c r="B47" s="14">
        <v>1883.0</v>
      </c>
      <c r="C47" s="97" t="s">
        <v>53</v>
      </c>
      <c r="D47" s="28">
        <v>22.79</v>
      </c>
      <c r="E47" s="29">
        <v>536.38</v>
      </c>
      <c r="F47" s="98">
        <f t="shared" si="1"/>
        <v>12224.1002</v>
      </c>
      <c r="G47" s="93">
        <v>0.01</v>
      </c>
      <c r="H47" s="96">
        <f t="shared" si="2"/>
        <v>122.241002</v>
      </c>
      <c r="I47" s="31" t="s">
        <v>42</v>
      </c>
    </row>
    <row r="48" ht="15.75" customHeight="1">
      <c r="A48" s="53"/>
      <c r="B48" s="14">
        <v>1884.0</v>
      </c>
      <c r="C48" s="97" t="s">
        <v>53</v>
      </c>
      <c r="D48" s="28">
        <v>26.32</v>
      </c>
      <c r="E48" s="29">
        <v>2160.0</v>
      </c>
      <c r="F48" s="98">
        <f t="shared" si="1"/>
        <v>56851.2</v>
      </c>
      <c r="G48" s="93">
        <v>0.01</v>
      </c>
      <c r="H48" s="96">
        <f t="shared" si="2"/>
        <v>568.512</v>
      </c>
      <c r="I48" s="31" t="s">
        <v>38</v>
      </c>
    </row>
    <row r="49" ht="15.75" customHeight="1">
      <c r="A49" s="53"/>
      <c r="B49" s="14">
        <v>1886.0</v>
      </c>
      <c r="C49" s="97" t="s">
        <v>73</v>
      </c>
      <c r="D49" s="28">
        <v>27.19</v>
      </c>
      <c r="E49" s="29">
        <v>1563.37</v>
      </c>
      <c r="F49" s="98">
        <f t="shared" si="1"/>
        <v>42508.0303</v>
      </c>
      <c r="G49" s="93">
        <v>0.01</v>
      </c>
      <c r="H49" s="96">
        <f t="shared" si="2"/>
        <v>425.080303</v>
      </c>
      <c r="I49" s="31" t="s">
        <v>38</v>
      </c>
    </row>
    <row r="50" ht="15.75" customHeight="1">
      <c r="A50" s="53"/>
      <c r="B50" s="14">
        <v>1906.0</v>
      </c>
      <c r="C50" s="97" t="s">
        <v>66</v>
      </c>
      <c r="D50" s="28">
        <v>25.36</v>
      </c>
      <c r="E50" s="29">
        <v>2063.55</v>
      </c>
      <c r="F50" s="98">
        <f t="shared" si="1"/>
        <v>52331.628</v>
      </c>
      <c r="G50" s="93">
        <v>0.01</v>
      </c>
      <c r="H50" s="96">
        <f t="shared" si="2"/>
        <v>523.31628</v>
      </c>
      <c r="I50" s="31" t="s">
        <v>46</v>
      </c>
    </row>
    <row r="51" ht="15.75" customHeight="1">
      <c r="A51" s="53"/>
      <c r="B51" s="14">
        <v>1911.0</v>
      </c>
      <c r="C51" s="97" t="s">
        <v>53</v>
      </c>
      <c r="D51" s="28">
        <v>25.98</v>
      </c>
      <c r="E51" s="29">
        <v>3055.8</v>
      </c>
      <c r="F51" s="98">
        <f t="shared" si="1"/>
        <v>79389.684</v>
      </c>
      <c r="G51" s="93">
        <v>0.01</v>
      </c>
      <c r="H51" s="96">
        <f t="shared" si="2"/>
        <v>793.89684</v>
      </c>
      <c r="I51" s="31" t="s">
        <v>52</v>
      </c>
    </row>
    <row r="52" ht="15.75" customHeight="1">
      <c r="A52" s="53"/>
      <c r="B52" s="14">
        <v>1916.0</v>
      </c>
      <c r="C52" s="97" t="s">
        <v>53</v>
      </c>
      <c r="D52" s="28">
        <v>22.7</v>
      </c>
      <c r="E52" s="29">
        <v>1090.36</v>
      </c>
      <c r="F52" s="98">
        <f t="shared" si="1"/>
        <v>24751.172</v>
      </c>
      <c r="G52" s="102">
        <v>0.01</v>
      </c>
      <c r="H52" s="96">
        <f t="shared" si="2"/>
        <v>247.51172</v>
      </c>
      <c r="I52" s="31" t="s">
        <v>47</v>
      </c>
    </row>
    <row r="53" ht="15.75" customHeight="1">
      <c r="A53" s="53"/>
      <c r="B53" s="14">
        <v>1917.0</v>
      </c>
      <c r="C53" s="97" t="s">
        <v>72</v>
      </c>
      <c r="D53" s="28">
        <v>45.89</v>
      </c>
      <c r="E53" s="29">
        <v>2975.78</v>
      </c>
      <c r="F53" s="98">
        <f t="shared" si="1"/>
        <v>136558.5442</v>
      </c>
      <c r="G53" s="93">
        <v>0.01</v>
      </c>
      <c r="H53" s="96">
        <f t="shared" si="2"/>
        <v>1365.585442</v>
      </c>
      <c r="I53" s="31" t="s">
        <v>69</v>
      </c>
    </row>
    <row r="54" ht="15.75" customHeight="1">
      <c r="A54" s="53"/>
      <c r="B54" s="104">
        <v>1923.0</v>
      </c>
      <c r="C54" s="105" t="s">
        <v>66</v>
      </c>
      <c r="D54" s="112">
        <v>25.78</v>
      </c>
      <c r="E54" s="107">
        <v>4081.99</v>
      </c>
      <c r="F54" s="108">
        <f t="shared" si="1"/>
        <v>105233.7022</v>
      </c>
      <c r="G54" s="109">
        <v>0.01</v>
      </c>
      <c r="H54" s="110">
        <f t="shared" si="2"/>
        <v>1052.337022</v>
      </c>
      <c r="I54" s="111" t="s">
        <v>48</v>
      </c>
    </row>
    <row r="55" ht="15.75" customHeight="1">
      <c r="A55" s="53"/>
      <c r="B55" s="14">
        <v>1924.0</v>
      </c>
      <c r="C55" s="97" t="s">
        <v>68</v>
      </c>
      <c r="D55" s="28">
        <v>25.63</v>
      </c>
      <c r="E55" s="29">
        <v>1300.19</v>
      </c>
      <c r="F55" s="98">
        <f t="shared" si="1"/>
        <v>33323.8697</v>
      </c>
      <c r="G55" s="93">
        <v>0.01</v>
      </c>
      <c r="H55" s="96">
        <f t="shared" si="2"/>
        <v>333.238697</v>
      </c>
      <c r="I55" s="31" t="s">
        <v>52</v>
      </c>
    </row>
    <row r="56" ht="15.75" customHeight="1">
      <c r="A56" s="53"/>
      <c r="B56" s="14">
        <v>1926.0</v>
      </c>
      <c r="C56" s="97" t="s">
        <v>74</v>
      </c>
      <c r="D56" s="28">
        <v>29.13</v>
      </c>
      <c r="E56" s="29">
        <v>1007.81</v>
      </c>
      <c r="F56" s="98">
        <f t="shared" si="1"/>
        <v>29357.5053</v>
      </c>
      <c r="G56" s="93">
        <v>0.01</v>
      </c>
      <c r="H56" s="96">
        <f t="shared" si="2"/>
        <v>293.575053</v>
      </c>
      <c r="I56" s="31" t="s">
        <v>46</v>
      </c>
    </row>
    <row r="57" ht="15.75" customHeight="1">
      <c r="A57" s="53"/>
      <c r="B57" s="14">
        <v>1935.0</v>
      </c>
      <c r="C57" s="97" t="s">
        <v>53</v>
      </c>
      <c r="D57" s="28">
        <v>26.43</v>
      </c>
      <c r="E57" s="29">
        <v>2110.25</v>
      </c>
      <c r="F57" s="98">
        <f t="shared" si="1"/>
        <v>55773.9075</v>
      </c>
      <c r="G57" s="93">
        <v>0.01</v>
      </c>
      <c r="H57" s="96">
        <f t="shared" si="2"/>
        <v>557.739075</v>
      </c>
      <c r="I57" s="31" t="s">
        <v>52</v>
      </c>
    </row>
    <row r="58" ht="15.75" customHeight="1">
      <c r="A58" s="53"/>
      <c r="B58" s="14">
        <v>1938.0</v>
      </c>
      <c r="C58" s="97" t="s">
        <v>63</v>
      </c>
      <c r="D58" s="28">
        <v>26.64</v>
      </c>
      <c r="E58" s="29">
        <v>2200.0</v>
      </c>
      <c r="F58" s="98">
        <f t="shared" si="1"/>
        <v>58608</v>
      </c>
      <c r="G58" s="93">
        <v>0.01</v>
      </c>
      <c r="H58" s="96">
        <f t="shared" si="2"/>
        <v>586.08</v>
      </c>
      <c r="I58" s="31" t="s">
        <v>38</v>
      </c>
    </row>
    <row r="59" ht="15.75" customHeight="1">
      <c r="A59" s="53"/>
      <c r="B59" s="14">
        <v>1940.0</v>
      </c>
      <c r="C59" s="97" t="s">
        <v>75</v>
      </c>
      <c r="D59" s="28">
        <v>25.6</v>
      </c>
      <c r="E59" s="29">
        <v>5594.04</v>
      </c>
      <c r="F59" s="98">
        <f t="shared" si="1"/>
        <v>143207.424</v>
      </c>
      <c r="G59" s="93">
        <v>0.01</v>
      </c>
      <c r="H59" s="96">
        <f t="shared" si="2"/>
        <v>1432.07424</v>
      </c>
      <c r="I59" s="31" t="s">
        <v>46</v>
      </c>
    </row>
    <row r="60" ht="15.75" customHeight="1">
      <c r="A60" s="53"/>
      <c r="B60" s="14">
        <v>1948.0</v>
      </c>
      <c r="C60" s="97" t="s">
        <v>75</v>
      </c>
      <c r="D60" s="28">
        <v>25.6</v>
      </c>
      <c r="E60" s="29">
        <v>2029.08</v>
      </c>
      <c r="F60" s="98">
        <f t="shared" si="1"/>
        <v>51944.448</v>
      </c>
      <c r="G60" s="93">
        <v>0.01</v>
      </c>
      <c r="H60" s="96">
        <f t="shared" si="2"/>
        <v>519.44448</v>
      </c>
      <c r="I60" s="31" t="s">
        <v>69</v>
      </c>
    </row>
    <row r="61" ht="15.75" customHeight="1">
      <c r="A61" s="53"/>
      <c r="B61" s="14">
        <v>1949.0</v>
      </c>
      <c r="C61" s="97" t="s">
        <v>75</v>
      </c>
      <c r="D61" s="28">
        <v>26.0</v>
      </c>
      <c r="E61" s="29">
        <v>2965.85</v>
      </c>
      <c r="F61" s="98">
        <f t="shared" si="1"/>
        <v>77112.1</v>
      </c>
      <c r="G61" s="93">
        <v>0.01</v>
      </c>
      <c r="H61" s="96">
        <f t="shared" si="2"/>
        <v>771.121</v>
      </c>
      <c r="I61" s="31" t="s">
        <v>46</v>
      </c>
    </row>
    <row r="62" ht="15.75" customHeight="1">
      <c r="A62" s="53"/>
      <c r="B62" s="14">
        <v>1953.0</v>
      </c>
      <c r="C62" s="97" t="s">
        <v>53</v>
      </c>
      <c r="D62" s="28">
        <v>27.07</v>
      </c>
      <c r="E62" s="29">
        <v>5085.67</v>
      </c>
      <c r="F62" s="98">
        <f t="shared" si="1"/>
        <v>137669.0869</v>
      </c>
      <c r="G62" s="93">
        <v>0.01</v>
      </c>
      <c r="H62" s="96">
        <f t="shared" si="2"/>
        <v>1376.690869</v>
      </c>
      <c r="I62" s="31" t="s">
        <v>52</v>
      </c>
    </row>
    <row r="63" ht="15.75" customHeight="1">
      <c r="A63" s="53"/>
      <c r="B63" s="14">
        <v>1963.0</v>
      </c>
      <c r="C63" s="97" t="s">
        <v>53</v>
      </c>
      <c r="D63" s="28">
        <v>27.14</v>
      </c>
      <c r="E63" s="29">
        <v>2107.75</v>
      </c>
      <c r="F63" s="98">
        <f t="shared" si="1"/>
        <v>57204.335</v>
      </c>
      <c r="G63" s="93">
        <v>0.01</v>
      </c>
      <c r="H63" s="96">
        <f t="shared" si="2"/>
        <v>572.04335</v>
      </c>
      <c r="I63" s="31" t="s">
        <v>52</v>
      </c>
    </row>
    <row r="64" ht="15.75" customHeight="1">
      <c r="A64" s="53"/>
      <c r="B64" s="14">
        <v>1966.0</v>
      </c>
      <c r="C64" s="97" t="s">
        <v>53</v>
      </c>
      <c r="D64" s="28">
        <v>27.48</v>
      </c>
      <c r="E64" s="29">
        <v>1699.4</v>
      </c>
      <c r="F64" s="98">
        <f t="shared" si="1"/>
        <v>46699.512</v>
      </c>
      <c r="G64" s="93">
        <v>0.01</v>
      </c>
      <c r="H64" s="96">
        <f t="shared" si="2"/>
        <v>466.99512</v>
      </c>
      <c r="I64" s="31" t="s">
        <v>52</v>
      </c>
    </row>
    <row r="65" ht="15.75" customHeight="1">
      <c r="A65" s="53"/>
      <c r="B65" s="14">
        <v>1995.0</v>
      </c>
      <c r="C65" s="97" t="s">
        <v>63</v>
      </c>
      <c r="D65" s="28">
        <v>27.89</v>
      </c>
      <c r="E65" s="29">
        <v>5280.0</v>
      </c>
      <c r="F65" s="98">
        <f t="shared" si="1"/>
        <v>147259.2</v>
      </c>
      <c r="G65" s="93">
        <v>0.01</v>
      </c>
      <c r="H65" s="96">
        <f t="shared" si="2"/>
        <v>1472.592</v>
      </c>
      <c r="I65" s="103"/>
    </row>
    <row r="66" ht="15.75" customHeight="1">
      <c r="A66" s="53"/>
      <c r="B66" s="14">
        <v>2004.0</v>
      </c>
      <c r="C66" s="97" t="s">
        <v>53</v>
      </c>
      <c r="D66" s="28">
        <v>47.99</v>
      </c>
      <c r="E66" s="29">
        <v>2881.09</v>
      </c>
      <c r="F66" s="98">
        <f t="shared" si="1"/>
        <v>138263.5091</v>
      </c>
      <c r="G66" s="93">
        <v>0.01</v>
      </c>
      <c r="H66" s="96">
        <f t="shared" si="2"/>
        <v>1382.635091</v>
      </c>
      <c r="I66" s="31" t="s">
        <v>69</v>
      </c>
    </row>
    <row r="67" ht="15.75" customHeight="1">
      <c r="A67" s="53"/>
      <c r="B67" s="88">
        <v>2018.0</v>
      </c>
      <c r="C67" s="89" t="s">
        <v>75</v>
      </c>
      <c r="D67" s="90">
        <v>27.0</v>
      </c>
      <c r="E67" s="91">
        <v>4000.0</v>
      </c>
      <c r="F67" s="92">
        <f t="shared" si="1"/>
        <v>108000</v>
      </c>
      <c r="G67" s="93">
        <v>0.01</v>
      </c>
      <c r="H67" s="94">
        <f t="shared" si="2"/>
        <v>1080</v>
      </c>
      <c r="I67" s="113"/>
    </row>
    <row r="68" ht="15.75" customHeight="1">
      <c r="A68" s="53"/>
      <c r="B68" s="104">
        <v>2019.0</v>
      </c>
      <c r="C68" s="105" t="s">
        <v>75</v>
      </c>
      <c r="D68" s="112">
        <v>27.04</v>
      </c>
      <c r="E68" s="107">
        <v>2926.22</v>
      </c>
      <c r="F68" s="108">
        <f t="shared" si="1"/>
        <v>79124.9888</v>
      </c>
      <c r="G68" s="109">
        <v>0.01</v>
      </c>
      <c r="H68" s="110">
        <f t="shared" si="2"/>
        <v>791.249888</v>
      </c>
      <c r="I68" s="111" t="s">
        <v>48</v>
      </c>
    </row>
    <row r="69" ht="15.75" customHeight="1">
      <c r="A69" s="53"/>
      <c r="B69" s="114">
        <v>2052.0</v>
      </c>
      <c r="C69" s="89" t="s">
        <v>61</v>
      </c>
      <c r="D69" s="90">
        <v>26.46</v>
      </c>
      <c r="E69" s="91">
        <v>952.66</v>
      </c>
      <c r="F69" s="92">
        <f t="shared" si="1"/>
        <v>25207.3836</v>
      </c>
      <c r="G69" s="93">
        <v>0.01</v>
      </c>
      <c r="H69" s="94">
        <f t="shared" si="2"/>
        <v>252.073836</v>
      </c>
      <c r="I69" s="95" t="s">
        <v>46</v>
      </c>
    </row>
    <row r="70" ht="15.75" customHeight="1">
      <c r="A70" s="53"/>
      <c r="B70" s="114">
        <v>2064.0</v>
      </c>
      <c r="C70" s="89" t="s">
        <v>61</v>
      </c>
      <c r="D70" s="90">
        <v>26.92</v>
      </c>
      <c r="E70" s="91">
        <v>944.21</v>
      </c>
      <c r="F70" s="92">
        <f t="shared" si="1"/>
        <v>25418.1332</v>
      </c>
      <c r="G70" s="93">
        <v>0.01</v>
      </c>
      <c r="H70" s="94">
        <f t="shared" si="2"/>
        <v>254.181332</v>
      </c>
      <c r="I70" s="95" t="s">
        <v>52</v>
      </c>
    </row>
    <row r="71" ht="15.75" customHeight="1">
      <c r="A71" s="53"/>
      <c r="B71" s="114">
        <v>2070.0</v>
      </c>
      <c r="C71" s="89" t="s">
        <v>63</v>
      </c>
      <c r="D71" s="90">
        <v>27.05</v>
      </c>
      <c r="E71" s="91">
        <v>5280.0</v>
      </c>
      <c r="F71" s="92">
        <f t="shared" si="1"/>
        <v>142824</v>
      </c>
      <c r="G71" s="93">
        <v>0.01</v>
      </c>
      <c r="H71" s="94">
        <f t="shared" si="2"/>
        <v>1428.24</v>
      </c>
      <c r="I71" s="113"/>
    </row>
    <row r="72" ht="15.75" customHeight="1">
      <c r="A72" s="53"/>
      <c r="B72" s="114">
        <v>2089.0</v>
      </c>
      <c r="C72" s="89" t="s">
        <v>63</v>
      </c>
      <c r="D72" s="90">
        <v>27.0</v>
      </c>
      <c r="E72" s="91">
        <v>2100.0</v>
      </c>
      <c r="F72" s="92">
        <f t="shared" si="1"/>
        <v>56700</v>
      </c>
      <c r="G72" s="93">
        <v>0.01</v>
      </c>
      <c r="H72" s="94">
        <f t="shared" si="2"/>
        <v>567</v>
      </c>
      <c r="I72" s="113"/>
    </row>
    <row r="73" ht="15.75" customHeight="1">
      <c r="A73" s="53"/>
      <c r="B73" s="115">
        <v>2130.0</v>
      </c>
      <c r="C73" s="105" t="s">
        <v>75</v>
      </c>
      <c r="D73" s="112">
        <v>24.24</v>
      </c>
      <c r="E73" s="107">
        <v>2002.62</v>
      </c>
      <c r="F73" s="108">
        <f t="shared" si="1"/>
        <v>48543.5088</v>
      </c>
      <c r="G73" s="116">
        <v>0.01</v>
      </c>
      <c r="H73" s="110">
        <f t="shared" si="2"/>
        <v>485.435088</v>
      </c>
      <c r="I73" s="111" t="s">
        <v>48</v>
      </c>
    </row>
    <row r="74" ht="15.75" customHeight="1">
      <c r="A74" s="53"/>
      <c r="B74" s="114">
        <v>2131.0</v>
      </c>
      <c r="C74" s="89" t="s">
        <v>75</v>
      </c>
      <c r="D74" s="90">
        <v>25.0</v>
      </c>
      <c r="E74" s="91">
        <v>3000.0</v>
      </c>
      <c r="F74" s="92">
        <f t="shared" si="1"/>
        <v>75000</v>
      </c>
      <c r="G74" s="102">
        <v>0.01</v>
      </c>
      <c r="H74" s="94">
        <f t="shared" si="2"/>
        <v>750</v>
      </c>
      <c r="I74" s="113"/>
    </row>
    <row r="75" ht="15.75" customHeight="1">
      <c r="A75" s="53"/>
      <c r="B75" s="115">
        <v>2133.0</v>
      </c>
      <c r="C75" s="105" t="s">
        <v>63</v>
      </c>
      <c r="D75" s="112">
        <v>25.94</v>
      </c>
      <c r="E75" s="107">
        <v>6523.62</v>
      </c>
      <c r="F75" s="108">
        <f t="shared" si="1"/>
        <v>169222.7028</v>
      </c>
      <c r="G75" s="116">
        <v>0.01</v>
      </c>
      <c r="H75" s="110">
        <f t="shared" si="2"/>
        <v>1692.227028</v>
      </c>
      <c r="I75" s="111" t="s">
        <v>48</v>
      </c>
    </row>
    <row r="76" ht="15.75" customHeight="1">
      <c r="A76" s="53"/>
      <c r="B76" s="115">
        <v>2135.0</v>
      </c>
      <c r="C76" s="105" t="s">
        <v>76</v>
      </c>
      <c r="D76" s="112">
        <v>25.81</v>
      </c>
      <c r="E76" s="107">
        <v>4417.0</v>
      </c>
      <c r="F76" s="108">
        <f t="shared" si="1"/>
        <v>114002.77</v>
      </c>
      <c r="G76" s="109">
        <v>0.01</v>
      </c>
      <c r="H76" s="110">
        <f t="shared" si="2"/>
        <v>1140.0277</v>
      </c>
      <c r="I76" s="111" t="s">
        <v>48</v>
      </c>
    </row>
    <row r="77" ht="15.75" customHeight="1">
      <c r="A77" s="53"/>
      <c r="B77" s="115">
        <v>2138.0</v>
      </c>
      <c r="C77" s="105" t="s">
        <v>66</v>
      </c>
      <c r="D77" s="112">
        <v>25.88</v>
      </c>
      <c r="E77" s="107">
        <v>3406.98</v>
      </c>
      <c r="F77" s="108">
        <f t="shared" si="1"/>
        <v>88172.6424</v>
      </c>
      <c r="G77" s="109">
        <v>0.01</v>
      </c>
      <c r="H77" s="110">
        <f t="shared" si="2"/>
        <v>881.726424</v>
      </c>
      <c r="I77" s="111" t="s">
        <v>48</v>
      </c>
    </row>
    <row r="78" ht="15.75" customHeight="1">
      <c r="A78" s="53"/>
      <c r="B78" s="115">
        <v>2139.0</v>
      </c>
      <c r="C78" s="105" t="s">
        <v>77</v>
      </c>
      <c r="D78" s="112">
        <v>25.77</v>
      </c>
      <c r="E78" s="107">
        <v>910.49</v>
      </c>
      <c r="F78" s="108">
        <f t="shared" si="1"/>
        <v>23463.3273</v>
      </c>
      <c r="G78" s="109">
        <v>0.01</v>
      </c>
      <c r="H78" s="110">
        <f t="shared" si="2"/>
        <v>234.633273</v>
      </c>
      <c r="I78" s="111" t="s">
        <v>48</v>
      </c>
    </row>
    <row r="79" ht="15.75" customHeight="1">
      <c r="A79" s="53"/>
      <c r="B79" s="114">
        <v>2152.0</v>
      </c>
      <c r="C79" s="89" t="s">
        <v>77</v>
      </c>
      <c r="D79" s="90">
        <v>25.76</v>
      </c>
      <c r="E79" s="91">
        <v>677.45</v>
      </c>
      <c r="F79" s="92">
        <f t="shared" si="1"/>
        <v>17451.112</v>
      </c>
      <c r="G79" s="93">
        <v>0.01</v>
      </c>
      <c r="H79" s="94">
        <f t="shared" si="2"/>
        <v>174.51112</v>
      </c>
      <c r="I79" s="95" t="s">
        <v>52</v>
      </c>
    </row>
    <row r="80" ht="15.75" customHeight="1">
      <c r="A80" s="53"/>
      <c r="B80" s="115">
        <v>2153.0</v>
      </c>
      <c r="C80" s="105" t="s">
        <v>53</v>
      </c>
      <c r="D80" s="112">
        <v>44.83</v>
      </c>
      <c r="E80" s="107">
        <v>1857.33</v>
      </c>
      <c r="F80" s="108">
        <f t="shared" si="1"/>
        <v>83264.1039</v>
      </c>
      <c r="G80" s="109">
        <v>0.01</v>
      </c>
      <c r="H80" s="110">
        <f t="shared" si="2"/>
        <v>832.641039</v>
      </c>
      <c r="I80" s="111" t="s">
        <v>48</v>
      </c>
    </row>
    <row r="81" ht="15.75" customHeight="1">
      <c r="A81" s="53"/>
      <c r="B81" s="115">
        <v>2173.0</v>
      </c>
      <c r="C81" s="105" t="s">
        <v>53</v>
      </c>
      <c r="D81" s="112">
        <v>25.59</v>
      </c>
      <c r="E81" s="107">
        <v>3825.04</v>
      </c>
      <c r="F81" s="108">
        <f t="shared" si="1"/>
        <v>97882.7736</v>
      </c>
      <c r="G81" s="109">
        <v>0.01</v>
      </c>
      <c r="H81" s="110">
        <f t="shared" si="2"/>
        <v>978.827736</v>
      </c>
      <c r="I81" s="111" t="s">
        <v>48</v>
      </c>
    </row>
    <row r="82" ht="15.75" customHeight="1">
      <c r="A82" s="53"/>
      <c r="B82" s="114">
        <v>2174.0</v>
      </c>
      <c r="C82" s="89" t="s">
        <v>53</v>
      </c>
      <c r="D82" s="90">
        <v>24.3</v>
      </c>
      <c r="E82" s="91">
        <v>4000.0</v>
      </c>
      <c r="F82" s="92">
        <f t="shared" si="1"/>
        <v>97200</v>
      </c>
      <c r="G82" s="93">
        <v>0.01</v>
      </c>
      <c r="H82" s="94">
        <f t="shared" si="2"/>
        <v>972</v>
      </c>
      <c r="I82" s="113"/>
    </row>
    <row r="83" ht="15.75" customHeight="1">
      <c r="A83" s="53"/>
      <c r="B83" s="114">
        <v>2175.0</v>
      </c>
      <c r="C83" s="89" t="s">
        <v>63</v>
      </c>
      <c r="D83" s="90">
        <v>25.92</v>
      </c>
      <c r="E83" s="91">
        <v>2500.0</v>
      </c>
      <c r="F83" s="92">
        <f t="shared" si="1"/>
        <v>64800</v>
      </c>
      <c r="G83" s="93">
        <v>0.01</v>
      </c>
      <c r="H83" s="94">
        <f t="shared" si="2"/>
        <v>648</v>
      </c>
      <c r="I83" s="113"/>
    </row>
    <row r="84" ht="15.75" customHeight="1">
      <c r="A84" s="53"/>
      <c r="B84" s="114">
        <v>2176.0</v>
      </c>
      <c r="C84" s="89" t="s">
        <v>63</v>
      </c>
      <c r="D84" s="90">
        <v>25.92</v>
      </c>
      <c r="E84" s="91">
        <v>2500.0</v>
      </c>
      <c r="F84" s="92">
        <f t="shared" si="1"/>
        <v>64800</v>
      </c>
      <c r="G84" s="93">
        <v>0.01</v>
      </c>
      <c r="H84" s="94">
        <f t="shared" si="2"/>
        <v>648</v>
      </c>
      <c r="I84" s="113"/>
    </row>
    <row r="85" ht="15.75" customHeight="1">
      <c r="A85" s="53"/>
      <c r="B85" s="115">
        <v>2177.0</v>
      </c>
      <c r="C85" s="105" t="s">
        <v>63</v>
      </c>
      <c r="D85" s="112">
        <v>25.74</v>
      </c>
      <c r="E85" s="107">
        <v>2532.45</v>
      </c>
      <c r="F85" s="108">
        <f t="shared" si="1"/>
        <v>65185.263</v>
      </c>
      <c r="G85" s="109">
        <v>0.01</v>
      </c>
      <c r="H85" s="110">
        <f t="shared" si="2"/>
        <v>651.85263</v>
      </c>
      <c r="I85" s="111" t="s">
        <v>48</v>
      </c>
    </row>
    <row r="86" ht="15.75" customHeight="1">
      <c r="A86" s="53"/>
      <c r="B86" s="114">
        <v>2196.0</v>
      </c>
      <c r="C86" s="89" t="s">
        <v>53</v>
      </c>
      <c r="D86" s="90">
        <v>44.5</v>
      </c>
      <c r="E86" s="91">
        <v>6000.0</v>
      </c>
      <c r="F86" s="92">
        <f t="shared" si="1"/>
        <v>267000</v>
      </c>
      <c r="G86" s="93">
        <v>0.01</v>
      </c>
      <c r="H86" s="94">
        <f t="shared" si="2"/>
        <v>2670</v>
      </c>
      <c r="I86" s="113"/>
    </row>
    <row r="87" ht="15.75" customHeight="1">
      <c r="A87" s="53"/>
      <c r="B87" s="114">
        <v>2211.0</v>
      </c>
      <c r="C87" s="89" t="s">
        <v>53</v>
      </c>
      <c r="D87" s="90">
        <v>25.0</v>
      </c>
      <c r="E87" s="91">
        <v>3900.0</v>
      </c>
      <c r="F87" s="92">
        <f t="shared" si="1"/>
        <v>97500</v>
      </c>
      <c r="G87" s="93">
        <v>0.01</v>
      </c>
      <c r="H87" s="94">
        <f t="shared" si="2"/>
        <v>975</v>
      </c>
      <c r="I87" s="113"/>
    </row>
    <row r="88" ht="15.75" customHeight="1">
      <c r="A88" s="53"/>
      <c r="B88" s="114">
        <v>2212.0</v>
      </c>
      <c r="C88" s="89" t="s">
        <v>53</v>
      </c>
      <c r="D88" s="90">
        <v>25.0</v>
      </c>
      <c r="E88" s="91">
        <v>3900.0</v>
      </c>
      <c r="F88" s="92">
        <f t="shared" si="1"/>
        <v>97500</v>
      </c>
      <c r="G88" s="93">
        <v>0.01</v>
      </c>
      <c r="H88" s="94">
        <f t="shared" si="2"/>
        <v>975</v>
      </c>
      <c r="I88" s="113"/>
    </row>
    <row r="89" ht="15.75" customHeight="1">
      <c r="A89" s="53"/>
      <c r="B89" s="114">
        <v>2213.0</v>
      </c>
      <c r="C89" s="89" t="s">
        <v>53</v>
      </c>
      <c r="D89" s="90">
        <v>25.0</v>
      </c>
      <c r="E89" s="91">
        <v>2000.0</v>
      </c>
      <c r="F89" s="92">
        <f t="shared" si="1"/>
        <v>50000</v>
      </c>
      <c r="G89" s="93">
        <v>0.01</v>
      </c>
      <c r="H89" s="94">
        <f t="shared" si="2"/>
        <v>500</v>
      </c>
      <c r="I89" s="113"/>
    </row>
    <row r="90" ht="15.75" customHeight="1">
      <c r="A90" s="53"/>
      <c r="B90" s="114">
        <v>2230.0</v>
      </c>
      <c r="C90" s="89" t="s">
        <v>53</v>
      </c>
      <c r="D90" s="90">
        <v>22.19</v>
      </c>
      <c r="E90" s="91">
        <v>1000.0</v>
      </c>
      <c r="F90" s="92">
        <f t="shared" si="1"/>
        <v>22190</v>
      </c>
      <c r="G90" s="93">
        <v>0.01</v>
      </c>
      <c r="H90" s="94">
        <f t="shared" si="2"/>
        <v>221.9</v>
      </c>
      <c r="I90" s="113"/>
    </row>
    <row r="91" ht="15.75" customHeight="1">
      <c r="A91" s="53"/>
      <c r="B91" s="114">
        <v>2231.0</v>
      </c>
      <c r="C91" s="89" t="s">
        <v>63</v>
      </c>
      <c r="D91" s="90">
        <v>25.7</v>
      </c>
      <c r="E91" s="91">
        <v>2500.0</v>
      </c>
      <c r="F91" s="92">
        <f t="shared" si="1"/>
        <v>64250</v>
      </c>
      <c r="G91" s="93">
        <v>0.01</v>
      </c>
      <c r="H91" s="94">
        <f t="shared" si="2"/>
        <v>642.5</v>
      </c>
      <c r="I91" s="113"/>
    </row>
    <row r="92" ht="15.75" customHeight="1">
      <c r="A92" s="53"/>
      <c r="B92" s="114">
        <v>2232.0</v>
      </c>
      <c r="C92" s="89" t="s">
        <v>63</v>
      </c>
      <c r="D92" s="90">
        <v>25.7</v>
      </c>
      <c r="E92" s="91">
        <v>2500.0</v>
      </c>
      <c r="F92" s="92">
        <f t="shared" si="1"/>
        <v>64250</v>
      </c>
      <c r="G92" s="93">
        <v>0.01</v>
      </c>
      <c r="H92" s="94">
        <f t="shared" si="2"/>
        <v>642.5</v>
      </c>
      <c r="I92" s="113"/>
    </row>
    <row r="93" ht="15.75" customHeight="1">
      <c r="A93" s="53"/>
      <c r="B93" s="114">
        <v>2233.0</v>
      </c>
      <c r="C93" s="89" t="s">
        <v>63</v>
      </c>
      <c r="D93" s="90">
        <v>25.7</v>
      </c>
      <c r="E93" s="91">
        <v>2500.0</v>
      </c>
      <c r="F93" s="92">
        <f t="shared" si="1"/>
        <v>64250</v>
      </c>
      <c r="G93" s="93">
        <v>0.01</v>
      </c>
      <c r="H93" s="94">
        <f t="shared" si="2"/>
        <v>642.5</v>
      </c>
      <c r="I93" s="113"/>
    </row>
    <row r="94" ht="15.75" customHeight="1">
      <c r="A94" s="53"/>
      <c r="B94" s="114">
        <v>2234.0</v>
      </c>
      <c r="C94" s="89" t="s">
        <v>74</v>
      </c>
      <c r="D94" s="90">
        <v>27.29</v>
      </c>
      <c r="E94" s="91">
        <v>1500.0</v>
      </c>
      <c r="F94" s="92">
        <f t="shared" si="1"/>
        <v>40935</v>
      </c>
      <c r="G94" s="93">
        <v>0.01</v>
      </c>
      <c r="H94" s="94">
        <f t="shared" si="2"/>
        <v>409.35</v>
      </c>
      <c r="I94" s="113"/>
    </row>
    <row r="95" ht="15.75" customHeight="1">
      <c r="A95" s="53"/>
      <c r="B95" s="114">
        <v>2262.0</v>
      </c>
      <c r="C95" s="89" t="s">
        <v>53</v>
      </c>
      <c r="D95" s="90">
        <v>25.0</v>
      </c>
      <c r="E95" s="91">
        <v>10000.0</v>
      </c>
      <c r="F95" s="92">
        <f t="shared" si="1"/>
        <v>250000</v>
      </c>
      <c r="G95" s="93">
        <v>0.01</v>
      </c>
      <c r="H95" s="94">
        <f t="shared" si="2"/>
        <v>2500</v>
      </c>
      <c r="I95" s="113"/>
    </row>
    <row r="96" ht="15.75" customHeight="1">
      <c r="A96" s="53"/>
      <c r="B96" s="114">
        <v>2263.0</v>
      </c>
      <c r="C96" s="89" t="s">
        <v>53</v>
      </c>
      <c r="D96" s="90">
        <v>46.0</v>
      </c>
      <c r="E96" s="91">
        <v>5000.0</v>
      </c>
      <c r="F96" s="92">
        <f t="shared" si="1"/>
        <v>230000</v>
      </c>
      <c r="G96" s="93">
        <v>0.01</v>
      </c>
      <c r="H96" s="94">
        <f t="shared" si="2"/>
        <v>2300</v>
      </c>
      <c r="I96" s="113"/>
    </row>
    <row r="97" ht="15.75" customHeight="1">
      <c r="A97" s="53"/>
      <c r="B97" s="114">
        <v>2268.0</v>
      </c>
      <c r="C97" s="89" t="s">
        <v>53</v>
      </c>
      <c r="D97" s="90">
        <v>1.0</v>
      </c>
      <c r="E97" s="91">
        <v>3024.0</v>
      </c>
      <c r="F97" s="92">
        <f t="shared" si="1"/>
        <v>3024</v>
      </c>
      <c r="G97" s="93">
        <v>0.01</v>
      </c>
      <c r="H97" s="94">
        <f t="shared" si="2"/>
        <v>30.24</v>
      </c>
      <c r="I97" s="113"/>
    </row>
    <row r="98" ht="15.75" customHeight="1">
      <c r="A98" s="53"/>
      <c r="B98" s="114">
        <v>2269.0</v>
      </c>
      <c r="C98" s="89" t="s">
        <v>53</v>
      </c>
      <c r="D98" s="90">
        <v>1.0</v>
      </c>
      <c r="E98" s="91">
        <v>3024.0</v>
      </c>
      <c r="F98" s="92">
        <f t="shared" si="1"/>
        <v>3024</v>
      </c>
      <c r="G98" s="93">
        <v>0.01</v>
      </c>
      <c r="H98" s="94">
        <f t="shared" si="2"/>
        <v>30.24</v>
      </c>
      <c r="I98" s="113"/>
    </row>
    <row r="99" ht="15.75" customHeight="1">
      <c r="A99" s="53"/>
      <c r="B99" s="114">
        <v>2306.0</v>
      </c>
      <c r="C99" s="89" t="s">
        <v>66</v>
      </c>
      <c r="D99" s="90">
        <v>24.98</v>
      </c>
      <c r="E99" s="91">
        <v>528.0</v>
      </c>
      <c r="F99" s="92">
        <f t="shared" si="1"/>
        <v>13189.44</v>
      </c>
      <c r="G99" s="93">
        <v>0.01</v>
      </c>
      <c r="H99" s="94">
        <f t="shared" si="2"/>
        <v>131.8944</v>
      </c>
      <c r="I99" s="113"/>
    </row>
    <row r="100" ht="15.75" customHeight="1">
      <c r="A100" s="53"/>
      <c r="B100" s="114">
        <v>2316.0</v>
      </c>
      <c r="C100" s="89" t="s">
        <v>66</v>
      </c>
      <c r="D100" s="90">
        <v>24.98</v>
      </c>
      <c r="E100" s="91">
        <v>3924.0</v>
      </c>
      <c r="F100" s="92">
        <f t="shared" si="1"/>
        <v>98021.52</v>
      </c>
      <c r="G100" s="93">
        <v>0.01</v>
      </c>
      <c r="H100" s="94">
        <f t="shared" si="2"/>
        <v>980.2152</v>
      </c>
      <c r="I100" s="113"/>
    </row>
    <row r="101" ht="15.75" customHeight="1">
      <c r="A101" s="53"/>
      <c r="B101" s="114">
        <v>2317.0</v>
      </c>
      <c r="C101" s="89" t="s">
        <v>53</v>
      </c>
      <c r="D101" s="90">
        <v>1.0</v>
      </c>
      <c r="E101" s="91">
        <v>3528.0</v>
      </c>
      <c r="F101" s="92">
        <f t="shared" si="1"/>
        <v>3528</v>
      </c>
      <c r="G101" s="93">
        <v>0.01</v>
      </c>
      <c r="H101" s="94">
        <f t="shared" si="2"/>
        <v>35.28</v>
      </c>
      <c r="I101" s="113"/>
    </row>
    <row r="102" ht="15.75" customHeight="1">
      <c r="A102" s="53"/>
      <c r="B102" s="114">
        <v>2324.0</v>
      </c>
      <c r="C102" s="89" t="s">
        <v>53</v>
      </c>
      <c r="D102" s="90">
        <v>1.0</v>
      </c>
      <c r="E102" s="91">
        <v>3528.0</v>
      </c>
      <c r="F102" s="92">
        <f t="shared" si="1"/>
        <v>3528</v>
      </c>
      <c r="G102" s="93">
        <v>0.01</v>
      </c>
      <c r="H102" s="94">
        <f t="shared" si="2"/>
        <v>35.28</v>
      </c>
      <c r="I102" s="113"/>
    </row>
    <row r="103" ht="15.75" customHeight="1">
      <c r="A103" s="53"/>
      <c r="B103" s="114">
        <v>2339.0</v>
      </c>
      <c r="C103" s="89" t="s">
        <v>66</v>
      </c>
      <c r="D103" s="90">
        <v>25.85</v>
      </c>
      <c r="E103" s="91">
        <v>2300.0</v>
      </c>
      <c r="F103" s="92">
        <f t="shared" si="1"/>
        <v>59455</v>
      </c>
      <c r="G103" s="93">
        <v>0.01</v>
      </c>
      <c r="H103" s="94">
        <f t="shared" si="2"/>
        <v>594.55</v>
      </c>
      <c r="I103" s="113"/>
    </row>
    <row r="104" ht="15.75" customHeight="1">
      <c r="A104" s="53"/>
      <c r="B104" s="71"/>
      <c r="C104" s="117"/>
      <c r="D104" s="118"/>
      <c r="E104" s="119"/>
      <c r="F104" s="92">
        <f t="shared" si="1"/>
        <v>0</v>
      </c>
      <c r="G104" s="93">
        <v>0.01</v>
      </c>
      <c r="H104" s="94">
        <f t="shared" si="2"/>
        <v>0</v>
      </c>
      <c r="I104" s="113"/>
    </row>
    <row r="105" ht="15.75" customHeight="1">
      <c r="A105" s="53"/>
      <c r="B105" s="71"/>
      <c r="C105" s="117"/>
      <c r="D105" s="118"/>
      <c r="E105" s="119"/>
      <c r="F105" s="92">
        <f t="shared" si="1"/>
        <v>0</v>
      </c>
      <c r="G105" s="93">
        <v>0.01</v>
      </c>
      <c r="H105" s="94">
        <f t="shared" si="2"/>
        <v>0</v>
      </c>
      <c r="I105" s="113"/>
    </row>
    <row r="106" ht="15.75" customHeight="1">
      <c r="A106" s="53"/>
      <c r="B106" s="71"/>
      <c r="C106" s="117"/>
      <c r="D106" s="118"/>
      <c r="E106" s="119"/>
      <c r="F106" s="92">
        <f t="shared" si="1"/>
        <v>0</v>
      </c>
      <c r="G106" s="93">
        <v>0.01</v>
      </c>
      <c r="H106" s="94">
        <f t="shared" si="2"/>
        <v>0</v>
      </c>
      <c r="I106" s="113"/>
    </row>
    <row r="107" ht="15.75" customHeight="1">
      <c r="A107" s="53"/>
      <c r="B107" s="71"/>
      <c r="C107" s="117"/>
      <c r="D107" s="118"/>
      <c r="E107" s="119"/>
      <c r="F107" s="92">
        <f t="shared" si="1"/>
        <v>0</v>
      </c>
      <c r="G107" s="93">
        <v>0.01</v>
      </c>
      <c r="H107" s="94">
        <f t="shared" si="2"/>
        <v>0</v>
      </c>
      <c r="I107" s="113"/>
    </row>
    <row r="108" ht="15.75" customHeight="1">
      <c r="A108" s="53"/>
      <c r="B108" s="71"/>
      <c r="C108" s="117"/>
      <c r="D108" s="118"/>
      <c r="E108" s="119"/>
      <c r="F108" s="92">
        <f t="shared" si="1"/>
        <v>0</v>
      </c>
      <c r="G108" s="93">
        <v>0.01</v>
      </c>
      <c r="H108" s="94">
        <f t="shared" si="2"/>
        <v>0</v>
      </c>
      <c r="I108" s="113"/>
    </row>
    <row r="109" ht="15.75" customHeight="1">
      <c r="A109" s="53"/>
      <c r="B109" s="71"/>
      <c r="C109" s="117"/>
      <c r="D109" s="118"/>
      <c r="E109" s="119"/>
      <c r="F109" s="92">
        <f t="shared" si="1"/>
        <v>0</v>
      </c>
      <c r="G109" s="93">
        <v>0.01</v>
      </c>
      <c r="H109" s="94">
        <f t="shared" si="2"/>
        <v>0</v>
      </c>
      <c r="I109" s="113"/>
    </row>
    <row r="110" ht="15.75" customHeight="1">
      <c r="A110" s="53"/>
      <c r="B110" s="71"/>
      <c r="C110" s="117"/>
      <c r="D110" s="118"/>
      <c r="E110" s="119"/>
      <c r="F110" s="92">
        <f t="shared" si="1"/>
        <v>0</v>
      </c>
      <c r="G110" s="93">
        <v>0.01</v>
      </c>
      <c r="H110" s="94">
        <f t="shared" si="2"/>
        <v>0</v>
      </c>
      <c r="I110" s="113"/>
    </row>
    <row r="111" ht="15.75" customHeight="1">
      <c r="A111" s="53"/>
      <c r="B111" s="71"/>
      <c r="C111" s="117"/>
      <c r="D111" s="118"/>
      <c r="E111" s="119"/>
      <c r="F111" s="92">
        <f t="shared" si="1"/>
        <v>0</v>
      </c>
      <c r="G111" s="93">
        <v>0.01</v>
      </c>
      <c r="H111" s="94">
        <f t="shared" si="2"/>
        <v>0</v>
      </c>
      <c r="I111" s="113"/>
    </row>
    <row r="112" ht="15.75" customHeight="1">
      <c r="A112" s="53"/>
      <c r="B112" s="71"/>
      <c r="C112" s="117"/>
      <c r="D112" s="118"/>
      <c r="E112" s="119"/>
      <c r="F112" s="92">
        <f t="shared" si="1"/>
        <v>0</v>
      </c>
      <c r="G112" s="93">
        <v>0.01</v>
      </c>
      <c r="H112" s="94">
        <f t="shared" si="2"/>
        <v>0</v>
      </c>
      <c r="I112" s="113"/>
    </row>
    <row r="113" ht="15.75" customHeight="1">
      <c r="A113" s="53"/>
      <c r="B113" s="71"/>
      <c r="C113" s="117"/>
      <c r="D113" s="118"/>
      <c r="E113" s="119"/>
      <c r="F113" s="92">
        <f t="shared" si="1"/>
        <v>0</v>
      </c>
      <c r="G113" s="93">
        <v>0.01</v>
      </c>
      <c r="H113" s="94">
        <f t="shared" si="2"/>
        <v>0</v>
      </c>
      <c r="I113" s="113"/>
    </row>
    <row r="114" ht="15.75" customHeight="1">
      <c r="A114" s="53"/>
      <c r="B114" s="71"/>
      <c r="C114" s="117"/>
      <c r="D114" s="118"/>
      <c r="E114" s="119"/>
      <c r="F114" s="92">
        <f t="shared" si="1"/>
        <v>0</v>
      </c>
      <c r="G114" s="93">
        <v>0.01</v>
      </c>
      <c r="H114" s="94">
        <f t="shared" si="2"/>
        <v>0</v>
      </c>
      <c r="I114" s="113"/>
    </row>
    <row r="115" ht="15.75" customHeight="1">
      <c r="A115" s="53"/>
      <c r="B115" s="71"/>
      <c r="C115" s="117"/>
      <c r="D115" s="118"/>
      <c r="E115" s="119"/>
      <c r="F115" s="92">
        <f t="shared" si="1"/>
        <v>0</v>
      </c>
      <c r="G115" s="93">
        <v>0.01</v>
      </c>
      <c r="H115" s="94">
        <f t="shared" si="2"/>
        <v>0</v>
      </c>
      <c r="I115" s="113"/>
    </row>
    <row r="116" ht="15.75" customHeight="1">
      <c r="A116" s="53"/>
      <c r="B116" s="71"/>
      <c r="C116" s="117"/>
      <c r="D116" s="118"/>
      <c r="E116" s="119"/>
      <c r="F116" s="92">
        <f t="shared" si="1"/>
        <v>0</v>
      </c>
      <c r="G116" s="93">
        <v>0.01</v>
      </c>
      <c r="H116" s="94">
        <f t="shared" si="2"/>
        <v>0</v>
      </c>
      <c r="I116" s="113"/>
    </row>
    <row r="117" ht="15.75" customHeight="1">
      <c r="A117" s="53"/>
      <c r="B117" s="71"/>
      <c r="C117" s="117"/>
      <c r="D117" s="118"/>
      <c r="E117" s="119"/>
      <c r="F117" s="92">
        <f t="shared" si="1"/>
        <v>0</v>
      </c>
      <c r="G117" s="93">
        <v>0.01</v>
      </c>
      <c r="H117" s="94">
        <f t="shared" si="2"/>
        <v>0</v>
      </c>
      <c r="I117" s="113"/>
    </row>
    <row r="118" ht="15.75" customHeight="1">
      <c r="A118" s="53"/>
      <c r="B118" s="71"/>
      <c r="C118" s="117"/>
      <c r="D118" s="118"/>
      <c r="E118" s="119"/>
      <c r="F118" s="92">
        <f t="shared" si="1"/>
        <v>0</v>
      </c>
      <c r="G118" s="93">
        <v>0.01</v>
      </c>
      <c r="H118" s="94">
        <f t="shared" si="2"/>
        <v>0</v>
      </c>
      <c r="I118" s="113"/>
    </row>
    <row r="119" ht="15.75" customHeight="1">
      <c r="A119" s="53"/>
      <c r="B119" s="71"/>
      <c r="C119" s="117"/>
      <c r="D119" s="118"/>
      <c r="E119" s="119"/>
      <c r="F119" s="92">
        <f t="shared" si="1"/>
        <v>0</v>
      </c>
      <c r="G119" s="93">
        <v>0.01</v>
      </c>
      <c r="H119" s="94">
        <f t="shared" si="2"/>
        <v>0</v>
      </c>
      <c r="I119" s="113"/>
    </row>
    <row r="120" ht="15.75" customHeight="1">
      <c r="A120" s="53"/>
      <c r="B120" s="71"/>
      <c r="C120" s="117"/>
      <c r="D120" s="118"/>
      <c r="E120" s="119"/>
      <c r="F120" s="92">
        <f t="shared" si="1"/>
        <v>0</v>
      </c>
      <c r="G120" s="93">
        <v>0.01</v>
      </c>
      <c r="H120" s="94">
        <f t="shared" si="2"/>
        <v>0</v>
      </c>
      <c r="I120" s="113"/>
    </row>
    <row r="121" ht="15.75" customHeight="1">
      <c r="A121" s="53"/>
      <c r="B121" s="71"/>
      <c r="C121" s="117"/>
      <c r="D121" s="118"/>
      <c r="E121" s="119"/>
      <c r="F121" s="92">
        <f t="shared" si="1"/>
        <v>0</v>
      </c>
      <c r="G121" s="93">
        <v>0.01</v>
      </c>
      <c r="H121" s="94">
        <f t="shared" si="2"/>
        <v>0</v>
      </c>
      <c r="I121" s="113"/>
    </row>
    <row r="122" ht="15.75" customHeight="1">
      <c r="A122" s="53"/>
      <c r="B122" s="71"/>
      <c r="C122" s="117"/>
      <c r="D122" s="118"/>
      <c r="E122" s="119"/>
      <c r="F122" s="92">
        <f t="shared" si="1"/>
        <v>0</v>
      </c>
      <c r="G122" s="93">
        <v>0.01</v>
      </c>
      <c r="H122" s="94">
        <f t="shared" si="2"/>
        <v>0</v>
      </c>
      <c r="I122" s="113"/>
    </row>
    <row r="123" ht="15.75" customHeight="1">
      <c r="A123" s="53"/>
      <c r="B123" s="71"/>
      <c r="C123" s="117"/>
      <c r="D123" s="118"/>
      <c r="E123" s="119"/>
      <c r="F123" s="92">
        <f t="shared" si="1"/>
        <v>0</v>
      </c>
      <c r="G123" s="93">
        <v>0.01</v>
      </c>
      <c r="H123" s="94">
        <f t="shared" si="2"/>
        <v>0</v>
      </c>
      <c r="I123" s="113"/>
    </row>
    <row r="124" ht="15.75" customHeight="1">
      <c r="A124" s="53"/>
      <c r="B124" s="71"/>
      <c r="C124" s="117"/>
      <c r="D124" s="118"/>
      <c r="E124" s="119"/>
      <c r="F124" s="92">
        <f t="shared" si="1"/>
        <v>0</v>
      </c>
      <c r="G124" s="93">
        <v>0.01</v>
      </c>
      <c r="H124" s="94">
        <f t="shared" si="2"/>
        <v>0</v>
      </c>
      <c r="I124" s="113"/>
    </row>
    <row r="125" ht="15.75" customHeight="1">
      <c r="A125" s="53"/>
      <c r="B125" s="71"/>
      <c r="C125" s="117"/>
      <c r="D125" s="118"/>
      <c r="E125" s="119"/>
      <c r="F125" s="92">
        <f t="shared" si="1"/>
        <v>0</v>
      </c>
      <c r="G125" s="93">
        <v>0.01</v>
      </c>
      <c r="H125" s="94">
        <f t="shared" si="2"/>
        <v>0</v>
      </c>
      <c r="I125" s="113"/>
    </row>
    <row r="126" ht="15.75" customHeight="1">
      <c r="A126" s="53"/>
      <c r="B126" s="71"/>
      <c r="C126" s="117"/>
      <c r="D126" s="118"/>
      <c r="E126" s="119"/>
      <c r="F126" s="92">
        <f t="shared" si="1"/>
        <v>0</v>
      </c>
      <c r="G126" s="93">
        <v>0.01</v>
      </c>
      <c r="H126" s="94">
        <f t="shared" si="2"/>
        <v>0</v>
      </c>
      <c r="I126" s="113"/>
    </row>
    <row r="127" ht="15.75" customHeight="1">
      <c r="A127" s="53"/>
      <c r="B127" s="71"/>
      <c r="C127" s="117"/>
      <c r="D127" s="118"/>
      <c r="E127" s="119"/>
      <c r="F127" s="92">
        <f t="shared" si="1"/>
        <v>0</v>
      </c>
      <c r="G127" s="93">
        <v>0.01</v>
      </c>
      <c r="H127" s="94">
        <f t="shared" si="2"/>
        <v>0</v>
      </c>
      <c r="I127" s="113"/>
    </row>
    <row r="128" ht="15.75" customHeight="1">
      <c r="A128" s="53"/>
      <c r="B128" s="71"/>
      <c r="C128" s="117"/>
      <c r="D128" s="118"/>
      <c r="E128" s="119"/>
      <c r="F128" s="92">
        <f t="shared" si="1"/>
        <v>0</v>
      </c>
      <c r="G128" s="93">
        <v>0.01</v>
      </c>
      <c r="H128" s="94">
        <f t="shared" si="2"/>
        <v>0</v>
      </c>
      <c r="I128" s="113"/>
    </row>
    <row r="129" ht="15.75" customHeight="1">
      <c r="A129" s="53"/>
      <c r="B129" s="71"/>
      <c r="C129" s="117"/>
      <c r="D129" s="118"/>
      <c r="E129" s="119"/>
      <c r="F129" s="92">
        <f t="shared" si="1"/>
        <v>0</v>
      </c>
      <c r="G129" s="93">
        <v>0.01</v>
      </c>
      <c r="H129" s="94">
        <f t="shared" si="2"/>
        <v>0</v>
      </c>
      <c r="I129" s="113"/>
    </row>
    <row r="130" ht="15.75" customHeight="1">
      <c r="A130" s="53"/>
      <c r="B130" s="71"/>
      <c r="C130" s="117"/>
      <c r="D130" s="118"/>
      <c r="E130" s="119"/>
      <c r="F130" s="92">
        <f t="shared" si="1"/>
        <v>0</v>
      </c>
      <c r="G130" s="93">
        <v>0.01</v>
      </c>
      <c r="H130" s="94">
        <f t="shared" si="2"/>
        <v>0</v>
      </c>
      <c r="I130" s="113"/>
    </row>
    <row r="131" ht="15.75" customHeight="1">
      <c r="A131" s="53"/>
      <c r="B131" s="71"/>
      <c r="C131" s="117"/>
      <c r="D131" s="118"/>
      <c r="E131" s="119"/>
      <c r="F131" s="92">
        <f t="shared" si="1"/>
        <v>0</v>
      </c>
      <c r="G131" s="93">
        <v>0.01</v>
      </c>
      <c r="H131" s="94">
        <f t="shared" si="2"/>
        <v>0</v>
      </c>
      <c r="I131" s="113"/>
    </row>
    <row r="132" ht="15.75" customHeight="1">
      <c r="A132" s="53"/>
      <c r="B132" s="71"/>
      <c r="C132" s="117"/>
      <c r="D132" s="118"/>
      <c r="E132" s="119"/>
      <c r="F132" s="92">
        <f t="shared" si="1"/>
        <v>0</v>
      </c>
      <c r="G132" s="93">
        <v>0.01</v>
      </c>
      <c r="H132" s="94">
        <f t="shared" si="2"/>
        <v>0</v>
      </c>
      <c r="I132" s="113"/>
    </row>
    <row r="133" ht="15.75" customHeight="1">
      <c r="A133" s="53"/>
      <c r="B133" s="71"/>
      <c r="C133" s="117"/>
      <c r="D133" s="118"/>
      <c r="E133" s="119"/>
      <c r="F133" s="92">
        <f t="shared" si="1"/>
        <v>0</v>
      </c>
      <c r="G133" s="93">
        <v>0.01</v>
      </c>
      <c r="H133" s="94">
        <f t="shared" si="2"/>
        <v>0</v>
      </c>
      <c r="I133" s="113"/>
    </row>
    <row r="134" ht="15.75" customHeight="1">
      <c r="A134" s="53"/>
      <c r="B134" s="70"/>
      <c r="D134" s="75"/>
      <c r="E134" s="120"/>
      <c r="F134" s="121">
        <f t="shared" si="1"/>
        <v>0</v>
      </c>
      <c r="G134" s="122">
        <v>0.01</v>
      </c>
      <c r="H134" s="123">
        <f t="shared" si="2"/>
        <v>0</v>
      </c>
      <c r="I134" s="124"/>
    </row>
    <row r="135" ht="15.75" customHeight="1">
      <c r="A135" s="53"/>
      <c r="B135" s="70"/>
      <c r="D135" s="75"/>
      <c r="E135" s="120"/>
      <c r="F135" s="121">
        <f t="shared" si="1"/>
        <v>0</v>
      </c>
      <c r="G135" s="122">
        <v>0.01</v>
      </c>
      <c r="H135" s="123">
        <f t="shared" si="2"/>
        <v>0</v>
      </c>
      <c r="I135" s="124"/>
    </row>
    <row r="136" ht="15.75" customHeight="1">
      <c r="A136" s="53"/>
      <c r="B136" s="70"/>
      <c r="D136" s="75"/>
      <c r="E136" s="120"/>
      <c r="F136" s="121">
        <f t="shared" si="1"/>
        <v>0</v>
      </c>
      <c r="G136" s="122">
        <v>0.01</v>
      </c>
      <c r="H136" s="123">
        <f t="shared" si="2"/>
        <v>0</v>
      </c>
      <c r="I136" s="124"/>
    </row>
    <row r="137" ht="15.75" customHeight="1">
      <c r="A137" s="53"/>
      <c r="B137" s="70"/>
      <c r="D137" s="75"/>
      <c r="E137" s="120"/>
      <c r="F137" s="121">
        <f t="shared" si="1"/>
        <v>0</v>
      </c>
      <c r="G137" s="122">
        <v>0.01</v>
      </c>
      <c r="H137" s="123">
        <f t="shared" si="2"/>
        <v>0</v>
      </c>
      <c r="I137" s="124"/>
    </row>
    <row r="138" ht="15.75" customHeight="1">
      <c r="A138" s="53"/>
      <c r="B138" s="70"/>
      <c r="D138" s="75"/>
      <c r="E138" s="120"/>
      <c r="F138" s="121">
        <f t="shared" si="1"/>
        <v>0</v>
      </c>
      <c r="G138" s="122">
        <v>0.01</v>
      </c>
      <c r="H138" s="123">
        <f t="shared" si="2"/>
        <v>0</v>
      </c>
      <c r="I138" s="124"/>
    </row>
    <row r="139" ht="15.75" customHeight="1">
      <c r="A139" s="53"/>
      <c r="B139" s="70"/>
      <c r="D139" s="75"/>
      <c r="E139" s="120"/>
      <c r="F139" s="121">
        <f t="shared" si="1"/>
        <v>0</v>
      </c>
      <c r="G139" s="122">
        <v>0.01</v>
      </c>
      <c r="H139" s="123">
        <f t="shared" si="2"/>
        <v>0</v>
      </c>
      <c r="I139" s="124"/>
    </row>
    <row r="140" ht="15.75" customHeight="1">
      <c r="A140" s="53"/>
      <c r="B140" s="70"/>
      <c r="D140" s="75"/>
      <c r="E140" s="120"/>
      <c r="F140" s="121">
        <f t="shared" si="1"/>
        <v>0</v>
      </c>
      <c r="G140" s="122">
        <v>0.01</v>
      </c>
      <c r="H140" s="123">
        <f t="shared" si="2"/>
        <v>0</v>
      </c>
      <c r="I140" s="124"/>
    </row>
    <row r="141" ht="15.75" customHeight="1">
      <c r="A141" s="53"/>
      <c r="B141" s="70"/>
      <c r="D141" s="75"/>
      <c r="E141" s="120"/>
      <c r="F141" s="121">
        <f t="shared" si="1"/>
        <v>0</v>
      </c>
      <c r="G141" s="122">
        <v>0.01</v>
      </c>
      <c r="H141" s="123">
        <f t="shared" si="2"/>
        <v>0</v>
      </c>
      <c r="I141" s="124"/>
    </row>
    <row r="142" ht="15.75" customHeight="1">
      <c r="A142" s="53"/>
      <c r="B142" s="70"/>
      <c r="D142" s="75"/>
      <c r="E142" s="120"/>
      <c r="F142" s="121">
        <f t="shared" si="1"/>
        <v>0</v>
      </c>
      <c r="G142" s="122">
        <v>0.01</v>
      </c>
      <c r="H142" s="123">
        <f t="shared" si="2"/>
        <v>0</v>
      </c>
      <c r="I142" s="124"/>
    </row>
    <row r="143" ht="15.75" customHeight="1">
      <c r="A143" s="53"/>
      <c r="B143" s="70"/>
      <c r="D143" s="75"/>
      <c r="E143" s="120"/>
      <c r="F143" s="121">
        <f t="shared" si="1"/>
        <v>0</v>
      </c>
      <c r="G143" s="122">
        <v>0.01</v>
      </c>
      <c r="H143" s="123">
        <f t="shared" si="2"/>
        <v>0</v>
      </c>
      <c r="I143" s="124"/>
    </row>
    <row r="144" ht="15.75" customHeight="1">
      <c r="A144" s="53"/>
      <c r="B144" s="70"/>
      <c r="D144" s="75"/>
      <c r="E144" s="120"/>
      <c r="F144" s="121">
        <f t="shared" si="1"/>
        <v>0</v>
      </c>
      <c r="G144" s="122">
        <v>0.01</v>
      </c>
      <c r="H144" s="123">
        <f t="shared" si="2"/>
        <v>0</v>
      </c>
      <c r="I144" s="124"/>
    </row>
    <row r="145" ht="15.75" customHeight="1">
      <c r="A145" s="53"/>
      <c r="B145" s="70"/>
      <c r="D145" s="75"/>
      <c r="E145" s="120"/>
      <c r="F145" s="121">
        <f t="shared" si="1"/>
        <v>0</v>
      </c>
      <c r="G145" s="122">
        <v>0.01</v>
      </c>
      <c r="H145" s="123">
        <f t="shared" si="2"/>
        <v>0</v>
      </c>
      <c r="I145" s="124"/>
    </row>
    <row r="146" ht="15.75" customHeight="1">
      <c r="A146" s="53"/>
      <c r="B146" s="70"/>
      <c r="D146" s="75"/>
      <c r="E146" s="120"/>
      <c r="F146" s="121">
        <f t="shared" si="1"/>
        <v>0</v>
      </c>
      <c r="G146" s="122">
        <v>0.01</v>
      </c>
      <c r="H146" s="123">
        <f t="shared" si="2"/>
        <v>0</v>
      </c>
      <c r="I146" s="124"/>
    </row>
    <row r="147" ht="15.75" customHeight="1">
      <c r="A147" s="53"/>
      <c r="B147" s="70"/>
      <c r="D147" s="75"/>
      <c r="E147" s="120"/>
      <c r="F147" s="121">
        <f t="shared" si="1"/>
        <v>0</v>
      </c>
      <c r="G147" s="122">
        <v>0.01</v>
      </c>
      <c r="H147" s="123">
        <f t="shared" si="2"/>
        <v>0</v>
      </c>
      <c r="I147" s="124"/>
    </row>
    <row r="148" ht="15.75" customHeight="1">
      <c r="A148" s="53"/>
      <c r="B148" s="70"/>
      <c r="D148" s="75"/>
      <c r="E148" s="120"/>
      <c r="F148" s="121">
        <f t="shared" si="1"/>
        <v>0</v>
      </c>
      <c r="G148" s="122">
        <v>0.01</v>
      </c>
      <c r="H148" s="123">
        <f t="shared" si="2"/>
        <v>0</v>
      </c>
      <c r="I148" s="124"/>
    </row>
    <row r="149" ht="15.75" customHeight="1">
      <c r="A149" s="53"/>
      <c r="B149" s="70"/>
      <c r="D149" s="75"/>
      <c r="E149" s="120"/>
      <c r="F149" s="121">
        <f t="shared" si="1"/>
        <v>0</v>
      </c>
      <c r="G149" s="122">
        <v>0.01</v>
      </c>
      <c r="H149" s="123">
        <f t="shared" si="2"/>
        <v>0</v>
      </c>
      <c r="I149" s="124"/>
    </row>
    <row r="150" ht="15.75" customHeight="1">
      <c r="A150" s="53"/>
      <c r="B150" s="70"/>
      <c r="D150" s="75"/>
      <c r="E150" s="120"/>
      <c r="F150" s="121">
        <f t="shared" si="1"/>
        <v>0</v>
      </c>
      <c r="G150" s="122">
        <v>0.01</v>
      </c>
      <c r="H150" s="123">
        <f t="shared" si="2"/>
        <v>0</v>
      </c>
      <c r="I150" s="124"/>
    </row>
    <row r="151" ht="15.75" customHeight="1">
      <c r="A151" s="53"/>
      <c r="B151" s="70"/>
      <c r="D151" s="75"/>
      <c r="E151" s="120"/>
      <c r="F151" s="121">
        <f t="shared" si="1"/>
        <v>0</v>
      </c>
      <c r="G151" s="122">
        <v>0.01</v>
      </c>
      <c r="H151" s="123">
        <f t="shared" si="2"/>
        <v>0</v>
      </c>
      <c r="I151" s="124"/>
    </row>
    <row r="152" ht="15.75" customHeight="1">
      <c r="A152" s="53"/>
      <c r="B152" s="70"/>
      <c r="D152" s="75"/>
      <c r="E152" s="120"/>
      <c r="F152" s="121">
        <f t="shared" si="1"/>
        <v>0</v>
      </c>
      <c r="G152" s="122">
        <v>0.01</v>
      </c>
      <c r="H152" s="123">
        <f t="shared" si="2"/>
        <v>0</v>
      </c>
      <c r="I152" s="124"/>
    </row>
    <row r="153" ht="15.75" customHeight="1">
      <c r="A153" s="53"/>
      <c r="B153" s="70"/>
      <c r="D153" s="75"/>
      <c r="E153" s="120"/>
      <c r="F153" s="121">
        <f t="shared" si="1"/>
        <v>0</v>
      </c>
      <c r="G153" s="122">
        <v>0.01</v>
      </c>
      <c r="H153" s="123">
        <f t="shared" si="2"/>
        <v>0</v>
      </c>
      <c r="I153" s="124"/>
    </row>
    <row r="154" ht="15.75" customHeight="1">
      <c r="A154" s="53"/>
      <c r="B154" s="70"/>
      <c r="D154" s="75"/>
      <c r="E154" s="120"/>
      <c r="F154" s="121">
        <f t="shared" si="1"/>
        <v>0</v>
      </c>
      <c r="G154" s="122">
        <v>0.01</v>
      </c>
      <c r="H154" s="123">
        <f t="shared" si="2"/>
        <v>0</v>
      </c>
      <c r="I154" s="124"/>
    </row>
    <row r="155" ht="15.75" customHeight="1">
      <c r="A155" s="53"/>
      <c r="B155" s="70"/>
      <c r="D155" s="75"/>
      <c r="E155" s="120"/>
      <c r="F155" s="121">
        <f t="shared" si="1"/>
        <v>0</v>
      </c>
      <c r="G155" s="122">
        <v>0.01</v>
      </c>
      <c r="H155" s="123">
        <f t="shared" si="2"/>
        <v>0</v>
      </c>
      <c r="I155" s="124"/>
    </row>
    <row r="156" ht="15.75" customHeight="1">
      <c r="A156" s="53"/>
      <c r="B156" s="70"/>
      <c r="D156" s="75"/>
      <c r="E156" s="120"/>
      <c r="F156" s="121">
        <f t="shared" si="1"/>
        <v>0</v>
      </c>
      <c r="G156" s="122">
        <v>0.01</v>
      </c>
      <c r="H156" s="123">
        <f t="shared" si="2"/>
        <v>0</v>
      </c>
      <c r="I156" s="124"/>
    </row>
    <row r="157" ht="15.75" customHeight="1">
      <c r="A157" s="53"/>
      <c r="B157" s="70"/>
      <c r="D157" s="75"/>
      <c r="E157" s="120"/>
      <c r="F157" s="121">
        <f t="shared" si="1"/>
        <v>0</v>
      </c>
      <c r="G157" s="122">
        <v>0.01</v>
      </c>
      <c r="H157" s="123">
        <f t="shared" si="2"/>
        <v>0</v>
      </c>
      <c r="I157" s="124"/>
    </row>
    <row r="158" ht="15.75" customHeight="1">
      <c r="A158" s="53"/>
      <c r="B158" s="70"/>
      <c r="D158" s="75"/>
      <c r="E158" s="120"/>
      <c r="F158" s="121">
        <f t="shared" si="1"/>
        <v>0</v>
      </c>
      <c r="G158" s="122">
        <v>0.01</v>
      </c>
      <c r="H158" s="123">
        <f t="shared" si="2"/>
        <v>0</v>
      </c>
      <c r="I158" s="124"/>
    </row>
    <row r="159" ht="15.75" customHeight="1">
      <c r="A159" s="53"/>
      <c r="B159" s="70"/>
      <c r="D159" s="75"/>
      <c r="E159" s="120"/>
      <c r="F159" s="121">
        <f t="shared" si="1"/>
        <v>0</v>
      </c>
      <c r="G159" s="122">
        <v>0.01</v>
      </c>
      <c r="H159" s="123">
        <f t="shared" si="2"/>
        <v>0</v>
      </c>
      <c r="I159" s="124"/>
    </row>
    <row r="160" ht="15.75" customHeight="1">
      <c r="A160" s="53"/>
      <c r="B160" s="70"/>
      <c r="D160" s="75"/>
      <c r="E160" s="120"/>
      <c r="F160" s="121">
        <f t="shared" si="1"/>
        <v>0</v>
      </c>
      <c r="G160" s="122">
        <v>0.01</v>
      </c>
      <c r="H160" s="123">
        <f t="shared" si="2"/>
        <v>0</v>
      </c>
      <c r="I160" s="124"/>
    </row>
    <row r="161" ht="15.75" customHeight="1">
      <c r="A161" s="53"/>
      <c r="B161" s="70"/>
      <c r="D161" s="75"/>
      <c r="E161" s="120"/>
      <c r="F161" s="121">
        <f t="shared" si="1"/>
        <v>0</v>
      </c>
      <c r="G161" s="122">
        <v>0.01</v>
      </c>
      <c r="H161" s="123">
        <f t="shared" si="2"/>
        <v>0</v>
      </c>
      <c r="I161" s="124"/>
    </row>
    <row r="162" ht="15.75" customHeight="1">
      <c r="A162" s="53"/>
      <c r="B162" s="70"/>
      <c r="D162" s="75"/>
      <c r="E162" s="120"/>
      <c r="F162" s="121">
        <f t="shared" si="1"/>
        <v>0</v>
      </c>
      <c r="G162" s="122">
        <v>0.01</v>
      </c>
      <c r="H162" s="123">
        <f t="shared" si="2"/>
        <v>0</v>
      </c>
      <c r="I162" s="124"/>
    </row>
    <row r="163" ht="15.75" customHeight="1">
      <c r="A163" s="53"/>
      <c r="B163" s="70"/>
      <c r="D163" s="75"/>
      <c r="E163" s="120"/>
      <c r="F163" s="121">
        <f t="shared" si="1"/>
        <v>0</v>
      </c>
      <c r="G163" s="122">
        <v>0.01</v>
      </c>
      <c r="H163" s="123">
        <f t="shared" si="2"/>
        <v>0</v>
      </c>
      <c r="I163" s="124"/>
    </row>
    <row r="164" ht="15.75" customHeight="1">
      <c r="A164" s="53"/>
      <c r="B164" s="70"/>
      <c r="D164" s="75"/>
      <c r="E164" s="120"/>
      <c r="F164" s="121">
        <f t="shared" si="1"/>
        <v>0</v>
      </c>
      <c r="G164" s="122">
        <v>0.01</v>
      </c>
      <c r="H164" s="123">
        <f t="shared" si="2"/>
        <v>0</v>
      </c>
      <c r="I164" s="124"/>
    </row>
    <row r="165" ht="15.75" customHeight="1">
      <c r="A165" s="53"/>
      <c r="B165" s="70"/>
      <c r="D165" s="75"/>
      <c r="E165" s="120"/>
      <c r="F165" s="121">
        <f t="shared" si="1"/>
        <v>0</v>
      </c>
      <c r="G165" s="122">
        <v>0.01</v>
      </c>
      <c r="H165" s="123">
        <f t="shared" si="2"/>
        <v>0</v>
      </c>
      <c r="I165" s="124"/>
    </row>
    <row r="166" ht="15.75" customHeight="1">
      <c r="A166" s="53"/>
      <c r="B166" s="70"/>
      <c r="D166" s="75"/>
      <c r="E166" s="120"/>
      <c r="F166" s="121">
        <f t="shared" si="1"/>
        <v>0</v>
      </c>
      <c r="G166" s="122">
        <v>0.01</v>
      </c>
      <c r="H166" s="123">
        <f t="shared" si="2"/>
        <v>0</v>
      </c>
      <c r="I166" s="124"/>
    </row>
    <row r="167" ht="15.75" customHeight="1">
      <c r="A167" s="53"/>
      <c r="B167" s="70"/>
      <c r="D167" s="75"/>
      <c r="E167" s="120"/>
      <c r="F167" s="121">
        <f t="shared" si="1"/>
        <v>0</v>
      </c>
      <c r="G167" s="122">
        <v>0.01</v>
      </c>
      <c r="H167" s="123">
        <f t="shared" si="2"/>
        <v>0</v>
      </c>
      <c r="I167" s="124"/>
    </row>
    <row r="168" ht="15.75" customHeight="1">
      <c r="A168" s="53"/>
      <c r="B168" s="70"/>
      <c r="D168" s="75"/>
      <c r="E168" s="120"/>
      <c r="F168" s="121">
        <f t="shared" si="1"/>
        <v>0</v>
      </c>
      <c r="G168" s="122">
        <v>0.01</v>
      </c>
      <c r="H168" s="123">
        <f t="shared" si="2"/>
        <v>0</v>
      </c>
      <c r="I168" s="124"/>
    </row>
    <row r="169" ht="15.75" customHeight="1">
      <c r="A169" s="53"/>
      <c r="B169" s="70"/>
      <c r="D169" s="75"/>
      <c r="E169" s="120"/>
      <c r="F169" s="121">
        <f t="shared" si="1"/>
        <v>0</v>
      </c>
      <c r="G169" s="122">
        <v>0.01</v>
      </c>
      <c r="H169" s="123">
        <f t="shared" si="2"/>
        <v>0</v>
      </c>
      <c r="I169" s="124"/>
    </row>
    <row r="170" ht="15.75" customHeight="1">
      <c r="A170" s="53"/>
      <c r="B170" s="70"/>
      <c r="D170" s="75"/>
      <c r="E170" s="120"/>
      <c r="F170" s="121">
        <f t="shared" si="1"/>
        <v>0</v>
      </c>
      <c r="G170" s="122">
        <v>0.01</v>
      </c>
      <c r="H170" s="123">
        <f t="shared" si="2"/>
        <v>0</v>
      </c>
      <c r="I170" s="124"/>
    </row>
    <row r="171" ht="15.75" customHeight="1">
      <c r="A171" s="53"/>
      <c r="B171" s="70"/>
      <c r="D171" s="75"/>
      <c r="E171" s="120"/>
      <c r="F171" s="121">
        <f t="shared" si="1"/>
        <v>0</v>
      </c>
      <c r="G171" s="122">
        <v>0.01</v>
      </c>
      <c r="H171" s="123">
        <f t="shared" si="2"/>
        <v>0</v>
      </c>
      <c r="I171" s="124"/>
    </row>
    <row r="172" ht="15.75" customHeight="1">
      <c r="A172" s="53"/>
      <c r="B172" s="70"/>
      <c r="D172" s="75"/>
      <c r="E172" s="120"/>
      <c r="F172" s="121">
        <f t="shared" si="1"/>
        <v>0</v>
      </c>
      <c r="G172" s="122">
        <v>0.01</v>
      </c>
      <c r="H172" s="123">
        <f t="shared" si="2"/>
        <v>0</v>
      </c>
      <c r="I172" s="124"/>
    </row>
    <row r="173" ht="15.75" customHeight="1">
      <c r="A173" s="53"/>
      <c r="B173" s="70"/>
      <c r="D173" s="75"/>
      <c r="E173" s="120"/>
      <c r="F173" s="121">
        <f t="shared" si="1"/>
        <v>0</v>
      </c>
      <c r="G173" s="122">
        <v>0.01</v>
      </c>
      <c r="H173" s="123">
        <f t="shared" si="2"/>
        <v>0</v>
      </c>
      <c r="I173" s="124"/>
    </row>
    <row r="174" ht="15.75" customHeight="1">
      <c r="A174" s="53"/>
      <c r="B174" s="70"/>
      <c r="D174" s="75"/>
      <c r="E174" s="120"/>
      <c r="F174" s="121">
        <f t="shared" si="1"/>
        <v>0</v>
      </c>
      <c r="G174" s="122">
        <v>0.01</v>
      </c>
      <c r="H174" s="123">
        <f t="shared" si="2"/>
        <v>0</v>
      </c>
      <c r="I174" s="124"/>
    </row>
    <row r="175" ht="15.75" customHeight="1">
      <c r="A175" s="53"/>
      <c r="B175" s="70"/>
      <c r="D175" s="75"/>
      <c r="E175" s="120"/>
      <c r="F175" s="121">
        <f t="shared" si="1"/>
        <v>0</v>
      </c>
      <c r="G175" s="122">
        <v>0.01</v>
      </c>
      <c r="H175" s="123">
        <f t="shared" si="2"/>
        <v>0</v>
      </c>
      <c r="I175" s="124"/>
    </row>
    <row r="176" ht="15.75" customHeight="1">
      <c r="A176" s="53"/>
      <c r="B176" s="70"/>
      <c r="D176" s="75"/>
      <c r="E176" s="120"/>
      <c r="F176" s="121">
        <f t="shared" si="1"/>
        <v>0</v>
      </c>
      <c r="G176" s="122">
        <v>0.01</v>
      </c>
      <c r="H176" s="123">
        <f t="shared" si="2"/>
        <v>0</v>
      </c>
      <c r="I176" s="124"/>
    </row>
    <row r="177" ht="15.75" customHeight="1">
      <c r="A177" s="53"/>
      <c r="B177" s="70"/>
      <c r="D177" s="75"/>
      <c r="E177" s="120"/>
      <c r="F177" s="121">
        <f t="shared" si="1"/>
        <v>0</v>
      </c>
      <c r="G177" s="122">
        <v>0.01</v>
      </c>
      <c r="H177" s="123">
        <f t="shared" si="2"/>
        <v>0</v>
      </c>
      <c r="I177" s="124"/>
    </row>
    <row r="178" ht="15.75" customHeight="1">
      <c r="A178" s="53"/>
      <c r="B178" s="70"/>
      <c r="D178" s="75"/>
      <c r="E178" s="120"/>
      <c r="F178" s="121">
        <f t="shared" si="1"/>
        <v>0</v>
      </c>
      <c r="G178" s="122">
        <v>0.01</v>
      </c>
      <c r="H178" s="123">
        <f t="shared" si="2"/>
        <v>0</v>
      </c>
      <c r="I178" s="124"/>
    </row>
    <row r="179" ht="15.75" customHeight="1">
      <c r="A179" s="53"/>
      <c r="B179" s="70"/>
      <c r="D179" s="75"/>
      <c r="E179" s="120"/>
      <c r="F179" s="121">
        <f t="shared" si="1"/>
        <v>0</v>
      </c>
      <c r="G179" s="122">
        <v>0.01</v>
      </c>
      <c r="H179" s="123">
        <f t="shared" si="2"/>
        <v>0</v>
      </c>
      <c r="I179" s="124"/>
    </row>
    <row r="180" ht="15.75" customHeight="1">
      <c r="A180" s="53"/>
      <c r="B180" s="70"/>
      <c r="D180" s="75"/>
      <c r="E180" s="120"/>
      <c r="F180" s="121">
        <f t="shared" si="1"/>
        <v>0</v>
      </c>
      <c r="G180" s="122">
        <v>0.01</v>
      </c>
      <c r="H180" s="123">
        <f t="shared" si="2"/>
        <v>0</v>
      </c>
      <c r="I180" s="124"/>
    </row>
    <row r="181" ht="15.75" customHeight="1">
      <c r="A181" s="53"/>
      <c r="B181" s="70"/>
      <c r="D181" s="75"/>
      <c r="E181" s="120"/>
      <c r="F181" s="121">
        <f t="shared" si="1"/>
        <v>0</v>
      </c>
      <c r="G181" s="122">
        <v>0.01</v>
      </c>
      <c r="H181" s="123">
        <f t="shared" si="2"/>
        <v>0</v>
      </c>
      <c r="I181" s="124"/>
    </row>
    <row r="182" ht="15.75" customHeight="1">
      <c r="A182" s="53"/>
      <c r="B182" s="70"/>
      <c r="D182" s="75"/>
      <c r="E182" s="120"/>
      <c r="F182" s="121">
        <f t="shared" si="1"/>
        <v>0</v>
      </c>
      <c r="G182" s="122">
        <v>0.01</v>
      </c>
      <c r="H182" s="123">
        <f t="shared" si="2"/>
        <v>0</v>
      </c>
      <c r="I182" s="124"/>
    </row>
    <row r="183" ht="15.75" customHeight="1">
      <c r="A183" s="53"/>
      <c r="B183" s="70"/>
      <c r="D183" s="75"/>
      <c r="E183" s="120"/>
      <c r="F183" s="121">
        <f t="shared" si="1"/>
        <v>0</v>
      </c>
      <c r="G183" s="122">
        <v>0.01</v>
      </c>
      <c r="H183" s="123">
        <f t="shared" si="2"/>
        <v>0</v>
      </c>
      <c r="I183" s="124"/>
    </row>
    <row r="184" ht="15.75" customHeight="1">
      <c r="A184" s="53"/>
      <c r="B184" s="70"/>
      <c r="D184" s="75"/>
      <c r="E184" s="120"/>
      <c r="F184" s="121">
        <f t="shared" si="1"/>
        <v>0</v>
      </c>
      <c r="G184" s="122">
        <v>0.01</v>
      </c>
      <c r="H184" s="123">
        <f t="shared" si="2"/>
        <v>0</v>
      </c>
      <c r="I184" s="124"/>
    </row>
    <row r="185" ht="15.75" customHeight="1">
      <c r="A185" s="53"/>
      <c r="B185" s="70"/>
      <c r="D185" s="75"/>
      <c r="E185" s="120"/>
      <c r="F185" s="121">
        <f t="shared" si="1"/>
        <v>0</v>
      </c>
      <c r="G185" s="122">
        <v>0.01</v>
      </c>
      <c r="H185" s="123">
        <f t="shared" si="2"/>
        <v>0</v>
      </c>
      <c r="I185" s="124"/>
    </row>
    <row r="186" ht="15.75" customHeight="1">
      <c r="A186" s="32"/>
      <c r="D186" s="75"/>
      <c r="E186" s="125"/>
      <c r="F186" s="121">
        <f t="shared" si="1"/>
        <v>0</v>
      </c>
      <c r="G186" s="122">
        <v>0.01</v>
      </c>
      <c r="H186" s="123">
        <f t="shared" si="2"/>
        <v>0</v>
      </c>
      <c r="I186" s="124"/>
    </row>
    <row r="187" ht="15.75" customHeight="1">
      <c r="A187" s="32"/>
      <c r="D187" s="75"/>
      <c r="E187" s="125"/>
      <c r="F187" s="121">
        <f t="shared" si="1"/>
        <v>0</v>
      </c>
      <c r="G187" s="122">
        <v>0.01</v>
      </c>
      <c r="H187" s="123">
        <f t="shared" si="2"/>
        <v>0</v>
      </c>
      <c r="I187" s="124"/>
    </row>
    <row r="188" ht="15.75" customHeight="1">
      <c r="A188" s="32"/>
      <c r="D188" s="75"/>
      <c r="E188" s="125"/>
      <c r="F188" s="121">
        <f t="shared" si="1"/>
        <v>0</v>
      </c>
      <c r="G188" s="122">
        <v>0.01</v>
      </c>
      <c r="H188" s="123">
        <f t="shared" si="2"/>
        <v>0</v>
      </c>
      <c r="I188" s="124"/>
    </row>
    <row r="189" ht="15.75" customHeight="1">
      <c r="A189" s="32"/>
      <c r="D189" s="75"/>
      <c r="E189" s="125"/>
      <c r="F189" s="121">
        <f t="shared" si="1"/>
        <v>0</v>
      </c>
      <c r="G189" s="122">
        <v>0.01</v>
      </c>
      <c r="H189" s="123">
        <f t="shared" si="2"/>
        <v>0</v>
      </c>
      <c r="I189" s="124"/>
    </row>
    <row r="190" ht="15.75" customHeight="1">
      <c r="A190" s="32"/>
      <c r="D190" s="75"/>
      <c r="E190" s="125"/>
      <c r="F190" s="121">
        <f t="shared" si="1"/>
        <v>0</v>
      </c>
      <c r="G190" s="122">
        <v>0.01</v>
      </c>
      <c r="H190" s="123">
        <f t="shared" si="2"/>
        <v>0</v>
      </c>
      <c r="I190" s="124"/>
    </row>
    <row r="191" ht="15.75" customHeight="1">
      <c r="A191" s="32"/>
      <c r="D191" s="75"/>
      <c r="E191" s="125"/>
      <c r="F191" s="121">
        <f t="shared" si="1"/>
        <v>0</v>
      </c>
      <c r="G191" s="122">
        <v>0.01</v>
      </c>
      <c r="H191" s="123">
        <f t="shared" si="2"/>
        <v>0</v>
      </c>
      <c r="I191" s="124"/>
    </row>
    <row r="192" ht="15.75" customHeight="1">
      <c r="A192" s="32"/>
      <c r="D192" s="75"/>
      <c r="E192" s="125"/>
      <c r="F192" s="121">
        <f t="shared" si="1"/>
        <v>0</v>
      </c>
      <c r="G192" s="122">
        <v>0.01</v>
      </c>
      <c r="H192" s="123">
        <f t="shared" si="2"/>
        <v>0</v>
      </c>
      <c r="I192" s="124"/>
    </row>
    <row r="193" ht="15.75" customHeight="1">
      <c r="A193" s="32"/>
      <c r="D193" s="75"/>
      <c r="E193" s="125"/>
      <c r="F193" s="121">
        <f t="shared" si="1"/>
        <v>0</v>
      </c>
      <c r="G193" s="122">
        <v>0.01</v>
      </c>
      <c r="H193" s="123">
        <f t="shared" si="2"/>
        <v>0</v>
      </c>
      <c r="I193" s="124"/>
    </row>
    <row r="194" ht="15.75" customHeight="1">
      <c r="A194" s="32"/>
      <c r="D194" s="75"/>
      <c r="E194" s="125"/>
      <c r="F194" s="121">
        <f t="shared" si="1"/>
        <v>0</v>
      </c>
      <c r="G194" s="122">
        <v>0.01</v>
      </c>
      <c r="H194" s="123">
        <f t="shared" si="2"/>
        <v>0</v>
      </c>
      <c r="I194" s="124"/>
    </row>
    <row r="195" ht="15.75" customHeight="1">
      <c r="A195" s="32"/>
      <c r="D195" s="75"/>
      <c r="E195" s="125"/>
      <c r="F195" s="121">
        <f t="shared" si="1"/>
        <v>0</v>
      </c>
      <c r="G195" s="122">
        <v>0.01</v>
      </c>
      <c r="H195" s="123">
        <f t="shared" si="2"/>
        <v>0</v>
      </c>
      <c r="I195" s="124"/>
    </row>
    <row r="196" ht="15.75" customHeight="1">
      <c r="A196" s="32"/>
      <c r="D196" s="75"/>
      <c r="E196" s="125"/>
      <c r="F196" s="121">
        <f t="shared" si="1"/>
        <v>0</v>
      </c>
      <c r="G196" s="122">
        <v>0.01</v>
      </c>
      <c r="H196" s="123">
        <f t="shared" si="2"/>
        <v>0</v>
      </c>
      <c r="I196" s="124"/>
    </row>
    <row r="197" ht="15.75" customHeight="1">
      <c r="A197" s="32"/>
      <c r="D197" s="75"/>
      <c r="E197" s="125"/>
      <c r="F197" s="121">
        <f t="shared" si="1"/>
        <v>0</v>
      </c>
      <c r="G197" s="122">
        <v>0.01</v>
      </c>
      <c r="H197" s="123">
        <f t="shared" si="2"/>
        <v>0</v>
      </c>
      <c r="I197" s="124"/>
    </row>
    <row r="198" ht="15.75" customHeight="1">
      <c r="A198" s="32"/>
      <c r="D198" s="75"/>
      <c r="E198" s="125"/>
      <c r="F198" s="121">
        <f t="shared" si="1"/>
        <v>0</v>
      </c>
      <c r="G198" s="122">
        <v>0.01</v>
      </c>
      <c r="H198" s="123">
        <f t="shared" si="2"/>
        <v>0</v>
      </c>
      <c r="I198" s="124"/>
    </row>
    <row r="199" ht="15.75" customHeight="1">
      <c r="A199" s="32"/>
      <c r="D199" s="75"/>
      <c r="E199" s="125"/>
      <c r="F199" s="121">
        <f t="shared" si="1"/>
        <v>0</v>
      </c>
      <c r="G199" s="122">
        <v>0.01</v>
      </c>
      <c r="H199" s="123">
        <f t="shared" si="2"/>
        <v>0</v>
      </c>
      <c r="I199" s="124"/>
    </row>
    <row r="200" ht="15.75" customHeight="1">
      <c r="A200" s="32"/>
      <c r="D200" s="75"/>
      <c r="E200" s="125"/>
      <c r="F200" s="121">
        <f t="shared" si="1"/>
        <v>0</v>
      </c>
      <c r="G200" s="122">
        <v>0.01</v>
      </c>
      <c r="H200" s="123">
        <f t="shared" si="2"/>
        <v>0</v>
      </c>
      <c r="I200" s="124"/>
    </row>
    <row r="201" ht="15.75" customHeight="1">
      <c r="A201" s="32"/>
      <c r="D201" s="75"/>
      <c r="E201" s="125"/>
      <c r="F201" s="121">
        <f t="shared" si="1"/>
        <v>0</v>
      </c>
      <c r="G201" s="122">
        <v>0.01</v>
      </c>
      <c r="H201" s="123">
        <f t="shared" si="2"/>
        <v>0</v>
      </c>
      <c r="I201" s="124"/>
    </row>
    <row r="202" ht="15.75" customHeight="1">
      <c r="A202" s="32"/>
      <c r="D202" s="75"/>
      <c r="E202" s="125"/>
      <c r="F202" s="121">
        <f t="shared" si="1"/>
        <v>0</v>
      </c>
      <c r="G202" s="122">
        <v>0.01</v>
      </c>
      <c r="H202" s="123">
        <f t="shared" si="2"/>
        <v>0</v>
      </c>
      <c r="I202" s="124"/>
    </row>
    <row r="203" ht="15.75" customHeight="1">
      <c r="A203" s="32"/>
      <c r="D203" s="75"/>
      <c r="E203" s="125"/>
      <c r="F203" s="121">
        <f t="shared" si="1"/>
        <v>0</v>
      </c>
      <c r="G203" s="122">
        <v>0.01</v>
      </c>
      <c r="H203" s="123">
        <f t="shared" si="2"/>
        <v>0</v>
      </c>
      <c r="I203" s="124"/>
    </row>
    <row r="204" ht="15.75" customHeight="1">
      <c r="A204" s="32"/>
      <c r="D204" s="75"/>
      <c r="E204" s="125"/>
      <c r="F204" s="121">
        <f t="shared" si="1"/>
        <v>0</v>
      </c>
      <c r="G204" s="122">
        <v>0.01</v>
      </c>
      <c r="H204" s="123">
        <f t="shared" si="2"/>
        <v>0</v>
      </c>
      <c r="I204" s="124"/>
    </row>
    <row r="205" ht="15.75" customHeight="1">
      <c r="A205" s="32"/>
      <c r="D205" s="75"/>
      <c r="E205" s="125"/>
      <c r="F205" s="121">
        <f t="shared" si="1"/>
        <v>0</v>
      </c>
      <c r="G205" s="122">
        <v>0.01</v>
      </c>
      <c r="H205" s="123">
        <f t="shared" si="2"/>
        <v>0</v>
      </c>
      <c r="I205" s="124"/>
    </row>
    <row r="206" ht="15.75" customHeight="1">
      <c r="A206" s="32"/>
      <c r="D206" s="75"/>
      <c r="E206" s="125"/>
      <c r="F206" s="121">
        <f t="shared" si="1"/>
        <v>0</v>
      </c>
      <c r="G206" s="122">
        <v>0.01</v>
      </c>
      <c r="H206" s="123">
        <f t="shared" si="2"/>
        <v>0</v>
      </c>
      <c r="I206" s="124"/>
    </row>
    <row r="207" ht="15.75" customHeight="1">
      <c r="A207" s="32"/>
      <c r="D207" s="75"/>
      <c r="E207" s="125"/>
      <c r="F207" s="121">
        <f t="shared" si="1"/>
        <v>0</v>
      </c>
      <c r="G207" s="122">
        <v>0.01</v>
      </c>
      <c r="H207" s="123">
        <f t="shared" si="2"/>
        <v>0</v>
      </c>
      <c r="I207" s="124"/>
    </row>
    <row r="208" ht="15.75" customHeight="1">
      <c r="A208" s="32"/>
      <c r="D208" s="75"/>
      <c r="E208" s="125"/>
      <c r="F208" s="121">
        <f t="shared" si="1"/>
        <v>0</v>
      </c>
      <c r="G208" s="122">
        <v>0.01</v>
      </c>
      <c r="H208" s="123">
        <f t="shared" si="2"/>
        <v>0</v>
      </c>
      <c r="I208" s="124"/>
    </row>
    <row r="209" ht="15.75" customHeight="1">
      <c r="A209" s="32"/>
      <c r="D209" s="75"/>
      <c r="E209" s="125"/>
      <c r="F209" s="121">
        <f t="shared" si="1"/>
        <v>0</v>
      </c>
      <c r="G209" s="122">
        <v>0.01</v>
      </c>
      <c r="H209" s="123">
        <f t="shared" si="2"/>
        <v>0</v>
      </c>
      <c r="I209" s="124"/>
    </row>
    <row r="210" ht="15.75" customHeight="1">
      <c r="A210" s="32"/>
      <c r="D210" s="75"/>
      <c r="E210" s="125"/>
      <c r="F210" s="121">
        <f t="shared" si="1"/>
        <v>0</v>
      </c>
      <c r="G210" s="122">
        <v>0.01</v>
      </c>
      <c r="H210" s="123">
        <f t="shared" si="2"/>
        <v>0</v>
      </c>
      <c r="I210" s="124"/>
    </row>
    <row r="211" ht="15.75" customHeight="1">
      <c r="A211" s="32"/>
      <c r="D211" s="75"/>
      <c r="E211" s="125"/>
      <c r="F211" s="121">
        <f t="shared" si="1"/>
        <v>0</v>
      </c>
      <c r="G211" s="122">
        <v>0.01</v>
      </c>
      <c r="H211" s="123">
        <f t="shared" si="2"/>
        <v>0</v>
      </c>
      <c r="I211" s="124"/>
    </row>
    <row r="212" ht="15.75" customHeight="1">
      <c r="A212" s="32"/>
      <c r="D212" s="75"/>
      <c r="E212" s="125"/>
      <c r="F212" s="121">
        <f t="shared" si="1"/>
        <v>0</v>
      </c>
      <c r="G212" s="122">
        <v>0.01</v>
      </c>
      <c r="H212" s="123">
        <f t="shared" si="2"/>
        <v>0</v>
      </c>
      <c r="I212" s="124"/>
    </row>
    <row r="213" ht="15.75" customHeight="1">
      <c r="A213" s="32"/>
      <c r="D213" s="75"/>
      <c r="E213" s="125"/>
      <c r="F213" s="121">
        <f t="shared" si="1"/>
        <v>0</v>
      </c>
      <c r="G213" s="122">
        <v>0.01</v>
      </c>
      <c r="H213" s="123">
        <f t="shared" si="2"/>
        <v>0</v>
      </c>
      <c r="I213" s="124"/>
    </row>
    <row r="214" ht="15.75" customHeight="1">
      <c r="A214" s="32"/>
      <c r="D214" s="75"/>
      <c r="E214" s="125"/>
      <c r="F214" s="121">
        <f t="shared" si="1"/>
        <v>0</v>
      </c>
      <c r="G214" s="122">
        <v>0.01</v>
      </c>
      <c r="H214" s="123">
        <f t="shared" si="2"/>
        <v>0</v>
      </c>
      <c r="I214" s="124"/>
    </row>
    <row r="215" ht="15.75" customHeight="1">
      <c r="A215" s="32"/>
      <c r="D215" s="75"/>
      <c r="E215" s="125"/>
      <c r="F215" s="121">
        <f t="shared" si="1"/>
        <v>0</v>
      </c>
      <c r="G215" s="122">
        <v>0.01</v>
      </c>
      <c r="H215" s="123">
        <f t="shared" si="2"/>
        <v>0</v>
      </c>
      <c r="I215" s="124"/>
    </row>
    <row r="216" ht="15.75" customHeight="1">
      <c r="A216" s="32"/>
      <c r="D216" s="75"/>
      <c r="E216" s="125"/>
      <c r="F216" s="121">
        <f t="shared" si="1"/>
        <v>0</v>
      </c>
      <c r="G216" s="122">
        <v>0.01</v>
      </c>
      <c r="H216" s="123">
        <f t="shared" si="2"/>
        <v>0</v>
      </c>
      <c r="I216" s="124"/>
    </row>
    <row r="217" ht="15.75" customHeight="1">
      <c r="A217" s="32"/>
      <c r="D217" s="75"/>
      <c r="E217" s="125"/>
      <c r="F217" s="121">
        <f t="shared" si="1"/>
        <v>0</v>
      </c>
      <c r="G217" s="122">
        <v>0.01</v>
      </c>
      <c r="H217" s="123">
        <f t="shared" si="2"/>
        <v>0</v>
      </c>
      <c r="I217" s="124"/>
    </row>
    <row r="218" ht="15.75" customHeight="1">
      <c r="A218" s="32"/>
      <c r="D218" s="75"/>
      <c r="E218" s="125"/>
      <c r="F218" s="121">
        <f t="shared" si="1"/>
        <v>0</v>
      </c>
      <c r="G218" s="122">
        <v>0.01</v>
      </c>
      <c r="H218" s="123">
        <f t="shared" si="2"/>
        <v>0</v>
      </c>
      <c r="I218" s="124"/>
    </row>
    <row r="219" ht="15.75" customHeight="1">
      <c r="A219" s="32"/>
      <c r="D219" s="75"/>
      <c r="E219" s="125"/>
      <c r="F219" s="121">
        <f t="shared" si="1"/>
        <v>0</v>
      </c>
      <c r="G219" s="122">
        <v>0.01</v>
      </c>
      <c r="H219" s="123">
        <f t="shared" si="2"/>
        <v>0</v>
      </c>
      <c r="I219" s="124"/>
    </row>
    <row r="220" ht="15.75" customHeight="1">
      <c r="A220" s="32"/>
      <c r="D220" s="75"/>
      <c r="E220" s="125"/>
      <c r="F220" s="121">
        <f t="shared" si="1"/>
        <v>0</v>
      </c>
      <c r="G220" s="122">
        <v>0.01</v>
      </c>
      <c r="H220" s="123">
        <f t="shared" si="2"/>
        <v>0</v>
      </c>
      <c r="I220" s="124"/>
    </row>
    <row r="221" ht="15.75" customHeight="1">
      <c r="A221" s="32"/>
      <c r="D221" s="75"/>
      <c r="E221" s="125"/>
      <c r="F221" s="121">
        <f t="shared" si="1"/>
        <v>0</v>
      </c>
      <c r="G221" s="122">
        <v>0.01</v>
      </c>
      <c r="H221" s="123">
        <f t="shared" si="2"/>
        <v>0</v>
      </c>
      <c r="I221" s="124"/>
    </row>
    <row r="222" ht="15.75" customHeight="1">
      <c r="A222" s="32"/>
      <c r="D222" s="75"/>
      <c r="E222" s="125"/>
      <c r="F222" s="121">
        <f t="shared" si="1"/>
        <v>0</v>
      </c>
      <c r="G222" s="122">
        <v>0.01</v>
      </c>
      <c r="H222" s="123">
        <f t="shared" si="2"/>
        <v>0</v>
      </c>
      <c r="I222" s="124"/>
    </row>
    <row r="223" ht="15.75" customHeight="1">
      <c r="A223" s="32"/>
      <c r="D223" s="75"/>
      <c r="E223" s="125"/>
      <c r="F223" s="121">
        <f t="shared" si="1"/>
        <v>0</v>
      </c>
      <c r="G223" s="122">
        <v>0.01</v>
      </c>
      <c r="H223" s="123">
        <f t="shared" si="2"/>
        <v>0</v>
      </c>
      <c r="I223" s="124"/>
    </row>
    <row r="224" ht="15.75" customHeight="1">
      <c r="A224" s="32"/>
      <c r="D224" s="75"/>
      <c r="E224" s="125"/>
      <c r="F224" s="121">
        <f t="shared" si="1"/>
        <v>0</v>
      </c>
      <c r="G224" s="122">
        <v>0.01</v>
      </c>
      <c r="H224" s="123">
        <f t="shared" si="2"/>
        <v>0</v>
      </c>
      <c r="I224" s="124"/>
    </row>
    <row r="225" ht="15.75" customHeight="1">
      <c r="A225" s="32"/>
      <c r="D225" s="75"/>
      <c r="E225" s="125"/>
      <c r="F225" s="121">
        <f t="shared" si="1"/>
        <v>0</v>
      </c>
      <c r="G225" s="122">
        <v>0.01</v>
      </c>
      <c r="H225" s="123">
        <f t="shared" si="2"/>
        <v>0</v>
      </c>
      <c r="I225" s="124"/>
    </row>
    <row r="226" ht="15.75" customHeight="1">
      <c r="A226" s="32"/>
      <c r="D226" s="75"/>
      <c r="E226" s="125"/>
      <c r="F226" s="121">
        <f t="shared" si="1"/>
        <v>0</v>
      </c>
      <c r="G226" s="122">
        <v>0.01</v>
      </c>
      <c r="H226" s="123">
        <f t="shared" si="2"/>
        <v>0</v>
      </c>
      <c r="I226" s="124"/>
    </row>
    <row r="227" ht="15.75" customHeight="1">
      <c r="A227" s="32"/>
      <c r="D227" s="75"/>
      <c r="E227" s="125"/>
      <c r="F227" s="121">
        <f t="shared" si="1"/>
        <v>0</v>
      </c>
      <c r="G227" s="122">
        <v>0.01</v>
      </c>
      <c r="H227" s="123">
        <f t="shared" si="2"/>
        <v>0</v>
      </c>
      <c r="I227" s="124"/>
    </row>
    <row r="228" ht="15.75" customHeight="1">
      <c r="A228" s="32"/>
      <c r="D228" s="75"/>
      <c r="E228" s="125"/>
      <c r="F228" s="121">
        <f t="shared" si="1"/>
        <v>0</v>
      </c>
      <c r="G228" s="122">
        <v>0.01</v>
      </c>
      <c r="H228" s="123">
        <f t="shared" si="2"/>
        <v>0</v>
      </c>
      <c r="I228" s="124"/>
    </row>
    <row r="229" ht="15.75" customHeight="1">
      <c r="A229" s="32"/>
      <c r="D229" s="75"/>
      <c r="E229" s="125"/>
      <c r="F229" s="121">
        <f t="shared" si="1"/>
        <v>0</v>
      </c>
      <c r="G229" s="122">
        <v>0.01</v>
      </c>
      <c r="H229" s="123">
        <f t="shared" si="2"/>
        <v>0</v>
      </c>
      <c r="I229" s="124"/>
    </row>
    <row r="230" ht="15.75" customHeight="1">
      <c r="A230" s="32"/>
      <c r="D230" s="75"/>
      <c r="E230" s="125"/>
      <c r="F230" s="121">
        <f t="shared" si="1"/>
        <v>0</v>
      </c>
      <c r="G230" s="122">
        <v>0.01</v>
      </c>
      <c r="H230" s="123">
        <f t="shared" si="2"/>
        <v>0</v>
      </c>
      <c r="I230" s="124"/>
    </row>
    <row r="231" ht="15.75" customHeight="1">
      <c r="A231" s="32"/>
      <c r="D231" s="75"/>
      <c r="E231" s="125"/>
      <c r="F231" s="121">
        <f t="shared" si="1"/>
        <v>0</v>
      </c>
      <c r="G231" s="122">
        <v>0.01</v>
      </c>
      <c r="H231" s="123">
        <f t="shared" si="2"/>
        <v>0</v>
      </c>
      <c r="I231" s="124"/>
    </row>
    <row r="232" ht="15.75" customHeight="1">
      <c r="A232" s="32"/>
      <c r="D232" s="75"/>
      <c r="E232" s="125"/>
      <c r="F232" s="121">
        <f t="shared" si="1"/>
        <v>0</v>
      </c>
      <c r="G232" s="122">
        <v>0.01</v>
      </c>
      <c r="H232" s="123">
        <f t="shared" si="2"/>
        <v>0</v>
      </c>
      <c r="I232" s="124"/>
    </row>
    <row r="233" ht="15.75" customHeight="1">
      <c r="A233" s="32"/>
      <c r="D233" s="75"/>
      <c r="E233" s="125"/>
      <c r="F233" s="121">
        <f t="shared" si="1"/>
        <v>0</v>
      </c>
      <c r="G233" s="122">
        <v>0.01</v>
      </c>
      <c r="H233" s="123">
        <f t="shared" si="2"/>
        <v>0</v>
      </c>
      <c r="I233" s="124"/>
    </row>
    <row r="234" ht="15.75" customHeight="1">
      <c r="A234" s="32"/>
      <c r="D234" s="75"/>
      <c r="E234" s="125"/>
      <c r="F234" s="121">
        <f t="shared" si="1"/>
        <v>0</v>
      </c>
      <c r="G234" s="122">
        <v>0.01</v>
      </c>
      <c r="H234" s="123">
        <f t="shared" si="2"/>
        <v>0</v>
      </c>
      <c r="I234" s="124"/>
    </row>
    <row r="235" ht="15.75" customHeight="1">
      <c r="A235" s="32"/>
      <c r="D235" s="75"/>
      <c r="E235" s="125"/>
      <c r="F235" s="121">
        <f t="shared" si="1"/>
        <v>0</v>
      </c>
      <c r="G235" s="122">
        <v>0.01</v>
      </c>
      <c r="H235" s="123">
        <f t="shared" si="2"/>
        <v>0</v>
      </c>
      <c r="I235" s="124"/>
    </row>
    <row r="236" ht="15.75" customHeight="1">
      <c r="A236" s="32"/>
      <c r="D236" s="75"/>
      <c r="E236" s="125"/>
      <c r="F236" s="121">
        <f t="shared" si="1"/>
        <v>0</v>
      </c>
      <c r="G236" s="122">
        <v>0.01</v>
      </c>
      <c r="H236" s="123">
        <f t="shared" si="2"/>
        <v>0</v>
      </c>
      <c r="I236" s="124"/>
    </row>
    <row r="237" ht="15.75" customHeight="1">
      <c r="A237" s="32"/>
      <c r="D237" s="75"/>
      <c r="E237" s="125"/>
      <c r="F237" s="121">
        <f t="shared" si="1"/>
        <v>0</v>
      </c>
      <c r="G237" s="122">
        <v>0.01</v>
      </c>
      <c r="H237" s="123">
        <f t="shared" si="2"/>
        <v>0</v>
      </c>
      <c r="I237" s="124"/>
    </row>
    <row r="238" ht="15.75" customHeight="1">
      <c r="A238" s="32"/>
      <c r="D238" s="75"/>
      <c r="E238" s="125"/>
      <c r="F238" s="121">
        <f t="shared" si="1"/>
        <v>0</v>
      </c>
      <c r="G238" s="122">
        <v>0.01</v>
      </c>
      <c r="H238" s="123">
        <f t="shared" si="2"/>
        <v>0</v>
      </c>
      <c r="I238" s="124"/>
    </row>
    <row r="239" ht="15.75" customHeight="1">
      <c r="A239" s="32"/>
      <c r="D239" s="75"/>
      <c r="E239" s="125"/>
      <c r="F239" s="121">
        <f t="shared" si="1"/>
        <v>0</v>
      </c>
      <c r="G239" s="122">
        <v>0.01</v>
      </c>
      <c r="H239" s="123">
        <f t="shared" si="2"/>
        <v>0</v>
      </c>
      <c r="I239" s="124"/>
    </row>
    <row r="240" ht="15.75" customHeight="1">
      <c r="A240" s="32"/>
      <c r="D240" s="75"/>
      <c r="E240" s="125"/>
      <c r="F240" s="121">
        <f t="shared" si="1"/>
        <v>0</v>
      </c>
      <c r="G240" s="122">
        <v>0.01</v>
      </c>
      <c r="H240" s="123">
        <f t="shared" si="2"/>
        <v>0</v>
      </c>
      <c r="I240" s="124"/>
    </row>
    <row r="241" ht="15.75" customHeight="1">
      <c r="A241" s="32"/>
      <c r="D241" s="75"/>
      <c r="E241" s="125"/>
      <c r="F241" s="121">
        <f t="shared" si="1"/>
        <v>0</v>
      </c>
      <c r="G241" s="122">
        <v>0.01</v>
      </c>
      <c r="H241" s="123">
        <f t="shared" si="2"/>
        <v>0</v>
      </c>
      <c r="I241" s="124"/>
    </row>
    <row r="242" ht="15.75" customHeight="1">
      <c r="A242" s="32"/>
      <c r="D242" s="75"/>
      <c r="E242" s="125"/>
      <c r="F242" s="121">
        <f t="shared" si="1"/>
        <v>0</v>
      </c>
      <c r="G242" s="122">
        <v>0.01</v>
      </c>
      <c r="H242" s="123">
        <f t="shared" si="2"/>
        <v>0</v>
      </c>
      <c r="I242" s="124"/>
    </row>
    <row r="243" ht="15.75" customHeight="1">
      <c r="A243" s="32"/>
      <c r="D243" s="75"/>
      <c r="E243" s="125"/>
      <c r="F243" s="121">
        <f t="shared" si="1"/>
        <v>0</v>
      </c>
      <c r="G243" s="122">
        <v>0.01</v>
      </c>
      <c r="H243" s="123">
        <f t="shared" si="2"/>
        <v>0</v>
      </c>
      <c r="I243" s="124"/>
    </row>
    <row r="244" ht="15.75" customHeight="1">
      <c r="A244" s="32"/>
      <c r="D244" s="75"/>
      <c r="E244" s="125"/>
      <c r="F244" s="121">
        <f t="shared" si="1"/>
        <v>0</v>
      </c>
      <c r="G244" s="122">
        <v>0.01</v>
      </c>
      <c r="H244" s="123">
        <f t="shared" si="2"/>
        <v>0</v>
      </c>
      <c r="I244" s="124"/>
    </row>
    <row r="245" ht="15.75" customHeight="1">
      <c r="A245" s="32"/>
      <c r="D245" s="75"/>
      <c r="E245" s="125"/>
      <c r="F245" s="121">
        <f t="shared" si="1"/>
        <v>0</v>
      </c>
      <c r="G245" s="122">
        <v>0.01</v>
      </c>
      <c r="H245" s="123">
        <f t="shared" si="2"/>
        <v>0</v>
      </c>
      <c r="I245" s="124"/>
    </row>
    <row r="246" ht="15.75" customHeight="1">
      <c r="A246" s="32"/>
      <c r="D246" s="75"/>
      <c r="E246" s="125"/>
      <c r="F246" s="121">
        <f t="shared" si="1"/>
        <v>0</v>
      </c>
      <c r="G246" s="122">
        <v>0.01</v>
      </c>
      <c r="H246" s="123">
        <f t="shared" si="2"/>
        <v>0</v>
      </c>
      <c r="I246" s="124"/>
    </row>
    <row r="247" ht="15.75" customHeight="1">
      <c r="A247" s="32"/>
      <c r="D247" s="75"/>
      <c r="E247" s="125"/>
      <c r="F247" s="121">
        <f t="shared" si="1"/>
        <v>0</v>
      </c>
      <c r="G247" s="122">
        <v>0.01</v>
      </c>
      <c r="H247" s="123">
        <f t="shared" si="2"/>
        <v>0</v>
      </c>
      <c r="I247" s="124"/>
    </row>
    <row r="248" ht="15.75" customHeight="1">
      <c r="A248" s="32"/>
      <c r="D248" s="75"/>
      <c r="E248" s="125"/>
      <c r="F248" s="121">
        <f t="shared" si="1"/>
        <v>0</v>
      </c>
      <c r="G248" s="122">
        <v>0.01</v>
      </c>
      <c r="H248" s="123">
        <f t="shared" si="2"/>
        <v>0</v>
      </c>
      <c r="I248" s="124"/>
    </row>
    <row r="249" ht="15.75" customHeight="1">
      <c r="A249" s="32"/>
      <c r="D249" s="75"/>
      <c r="E249" s="125"/>
      <c r="F249" s="121">
        <f t="shared" si="1"/>
        <v>0</v>
      </c>
      <c r="G249" s="122">
        <v>0.01</v>
      </c>
      <c r="H249" s="123">
        <f t="shared" si="2"/>
        <v>0</v>
      </c>
      <c r="I249" s="124"/>
    </row>
    <row r="250" ht="15.75" customHeight="1">
      <c r="A250" s="32"/>
      <c r="D250" s="75"/>
      <c r="E250" s="125"/>
      <c r="F250" s="121">
        <f t="shared" si="1"/>
        <v>0</v>
      </c>
      <c r="G250" s="122">
        <v>0.01</v>
      </c>
      <c r="H250" s="123">
        <f t="shared" si="2"/>
        <v>0</v>
      </c>
      <c r="I250" s="124"/>
    </row>
    <row r="251" ht="15.75" customHeight="1">
      <c r="A251" s="32"/>
      <c r="D251" s="75"/>
      <c r="E251" s="125"/>
      <c r="F251" s="121">
        <f t="shared" si="1"/>
        <v>0</v>
      </c>
      <c r="G251" s="122">
        <v>0.01</v>
      </c>
      <c r="H251" s="123">
        <f t="shared" si="2"/>
        <v>0</v>
      </c>
      <c r="I251" s="124"/>
    </row>
    <row r="252" ht="15.75" customHeight="1">
      <c r="A252" s="32"/>
      <c r="D252" s="75"/>
      <c r="E252" s="125"/>
      <c r="F252" s="121">
        <f t="shared" si="1"/>
        <v>0</v>
      </c>
      <c r="G252" s="122">
        <v>0.01</v>
      </c>
      <c r="H252" s="123">
        <f t="shared" si="2"/>
        <v>0</v>
      </c>
      <c r="I252" s="124"/>
    </row>
    <row r="253" ht="15.75" customHeight="1">
      <c r="A253" s="32"/>
      <c r="D253" s="75"/>
      <c r="E253" s="125"/>
      <c r="F253" s="121">
        <f t="shared" si="1"/>
        <v>0</v>
      </c>
      <c r="G253" s="122">
        <v>0.01</v>
      </c>
      <c r="H253" s="123">
        <f t="shared" si="2"/>
        <v>0</v>
      </c>
      <c r="I253" s="124"/>
    </row>
    <row r="254" ht="15.75" customHeight="1">
      <c r="A254" s="32"/>
      <c r="D254" s="75"/>
      <c r="E254" s="125"/>
      <c r="F254" s="121">
        <f t="shared" si="1"/>
        <v>0</v>
      </c>
      <c r="G254" s="122">
        <v>0.01</v>
      </c>
      <c r="H254" s="123">
        <f t="shared" si="2"/>
        <v>0</v>
      </c>
      <c r="I254" s="124"/>
    </row>
    <row r="255" ht="15.75" customHeight="1">
      <c r="A255" s="32"/>
      <c r="D255" s="75"/>
      <c r="E255" s="125"/>
      <c r="F255" s="121">
        <f t="shared" si="1"/>
        <v>0</v>
      </c>
      <c r="G255" s="122">
        <v>0.01</v>
      </c>
      <c r="H255" s="123">
        <f t="shared" si="2"/>
        <v>0</v>
      </c>
      <c r="I255" s="124"/>
    </row>
    <row r="256" ht="15.75" customHeight="1">
      <c r="A256" s="32"/>
      <c r="D256" s="75"/>
      <c r="E256" s="125"/>
      <c r="F256" s="121">
        <f t="shared" si="1"/>
        <v>0</v>
      </c>
      <c r="G256" s="122">
        <v>0.01</v>
      </c>
      <c r="H256" s="123">
        <f t="shared" si="2"/>
        <v>0</v>
      </c>
      <c r="I256" s="124"/>
    </row>
    <row r="257" ht="15.75" customHeight="1">
      <c r="A257" s="32"/>
      <c r="D257" s="75"/>
      <c r="E257" s="125"/>
      <c r="F257" s="121">
        <f t="shared" si="1"/>
        <v>0</v>
      </c>
      <c r="G257" s="122">
        <v>0.01</v>
      </c>
      <c r="H257" s="123">
        <f t="shared" si="2"/>
        <v>0</v>
      </c>
      <c r="I257" s="124"/>
    </row>
    <row r="258" ht="15.75" customHeight="1">
      <c r="A258" s="32"/>
      <c r="D258" s="75"/>
      <c r="E258" s="125"/>
      <c r="F258" s="121">
        <f t="shared" si="1"/>
        <v>0</v>
      </c>
      <c r="G258" s="122">
        <v>0.01</v>
      </c>
      <c r="H258" s="123">
        <f t="shared" si="2"/>
        <v>0</v>
      </c>
      <c r="I258" s="124"/>
    </row>
    <row r="259" ht="15.75" customHeight="1">
      <c r="A259" s="32"/>
      <c r="D259" s="75"/>
      <c r="E259" s="125"/>
      <c r="F259" s="121">
        <f t="shared" si="1"/>
        <v>0</v>
      </c>
      <c r="G259" s="122">
        <v>0.01</v>
      </c>
      <c r="H259" s="123">
        <f t="shared" si="2"/>
        <v>0</v>
      </c>
      <c r="I259" s="124"/>
    </row>
    <row r="260" ht="15.75" customHeight="1">
      <c r="A260" s="32"/>
      <c r="D260" s="75"/>
      <c r="E260" s="125"/>
      <c r="F260" s="121">
        <f t="shared" si="1"/>
        <v>0</v>
      </c>
      <c r="G260" s="122">
        <v>0.01</v>
      </c>
      <c r="H260" s="123">
        <f t="shared" si="2"/>
        <v>0</v>
      </c>
      <c r="I260" s="124"/>
    </row>
    <row r="261" ht="15.75" customHeight="1">
      <c r="A261" s="32"/>
      <c r="D261" s="75"/>
      <c r="E261" s="125"/>
      <c r="F261" s="121">
        <f t="shared" si="1"/>
        <v>0</v>
      </c>
      <c r="G261" s="122">
        <v>0.01</v>
      </c>
      <c r="H261" s="123">
        <f t="shared" si="2"/>
        <v>0</v>
      </c>
      <c r="I261" s="124"/>
    </row>
    <row r="262" ht="15.75" customHeight="1">
      <c r="A262" s="32"/>
      <c r="D262" s="75"/>
      <c r="E262" s="125"/>
      <c r="F262" s="121">
        <f t="shared" si="1"/>
        <v>0</v>
      </c>
      <c r="G262" s="122">
        <v>0.01</v>
      </c>
      <c r="H262" s="123">
        <f t="shared" si="2"/>
        <v>0</v>
      </c>
      <c r="I262" s="124"/>
    </row>
    <row r="263" ht="15.75" customHeight="1">
      <c r="A263" s="32"/>
      <c r="D263" s="75"/>
      <c r="E263" s="125"/>
      <c r="F263" s="121">
        <f t="shared" si="1"/>
        <v>0</v>
      </c>
      <c r="G263" s="122">
        <v>0.01</v>
      </c>
      <c r="H263" s="123">
        <f t="shared" si="2"/>
        <v>0</v>
      </c>
      <c r="I263" s="124"/>
    </row>
    <row r="264" ht="15.75" customHeight="1">
      <c r="A264" s="32"/>
      <c r="D264" s="75"/>
      <c r="E264" s="125"/>
      <c r="F264" s="121">
        <f t="shared" si="1"/>
        <v>0</v>
      </c>
      <c r="G264" s="122">
        <v>0.01</v>
      </c>
      <c r="H264" s="123">
        <f t="shared" si="2"/>
        <v>0</v>
      </c>
      <c r="I264" s="124"/>
    </row>
    <row r="265" ht="15.75" customHeight="1">
      <c r="A265" s="32"/>
      <c r="D265" s="75"/>
      <c r="E265" s="125"/>
      <c r="F265" s="121">
        <f t="shared" si="1"/>
        <v>0</v>
      </c>
      <c r="G265" s="122">
        <v>0.01</v>
      </c>
      <c r="H265" s="123">
        <f t="shared" si="2"/>
        <v>0</v>
      </c>
      <c r="I265" s="124"/>
    </row>
    <row r="266" ht="15.75" customHeight="1">
      <c r="A266" s="32"/>
      <c r="D266" s="75"/>
      <c r="E266" s="125"/>
      <c r="F266" s="121">
        <f t="shared" si="1"/>
        <v>0</v>
      </c>
      <c r="G266" s="122">
        <v>0.01</v>
      </c>
      <c r="H266" s="123">
        <f t="shared" si="2"/>
        <v>0</v>
      </c>
      <c r="I266" s="124"/>
    </row>
    <row r="267" ht="15.75" customHeight="1">
      <c r="A267" s="32"/>
      <c r="D267" s="75"/>
      <c r="E267" s="125"/>
      <c r="F267" s="121">
        <f t="shared" si="1"/>
        <v>0</v>
      </c>
      <c r="G267" s="122">
        <v>0.01</v>
      </c>
      <c r="H267" s="123">
        <f t="shared" si="2"/>
        <v>0</v>
      </c>
      <c r="I267" s="124"/>
    </row>
    <row r="268" ht="15.75" customHeight="1">
      <c r="A268" s="32"/>
      <c r="D268" s="75"/>
      <c r="E268" s="125"/>
      <c r="F268" s="121">
        <f t="shared" si="1"/>
        <v>0</v>
      </c>
      <c r="G268" s="122">
        <v>0.01</v>
      </c>
      <c r="H268" s="123">
        <f t="shared" si="2"/>
        <v>0</v>
      </c>
      <c r="I268" s="124"/>
    </row>
    <row r="269" ht="15.75" customHeight="1">
      <c r="A269" s="32"/>
      <c r="D269" s="75"/>
      <c r="E269" s="125"/>
      <c r="F269" s="121">
        <f t="shared" si="1"/>
        <v>0</v>
      </c>
      <c r="G269" s="122">
        <v>0.01</v>
      </c>
      <c r="H269" s="123">
        <f t="shared" si="2"/>
        <v>0</v>
      </c>
      <c r="I269" s="124"/>
    </row>
    <row r="270" ht="15.75" customHeight="1">
      <c r="A270" s="32"/>
      <c r="D270" s="75"/>
      <c r="E270" s="125"/>
      <c r="F270" s="121">
        <f t="shared" si="1"/>
        <v>0</v>
      </c>
      <c r="G270" s="122">
        <v>0.01</v>
      </c>
      <c r="H270" s="123">
        <f t="shared" si="2"/>
        <v>0</v>
      </c>
      <c r="I270" s="124"/>
    </row>
    <row r="271" ht="15.75" customHeight="1">
      <c r="A271" s="32"/>
      <c r="D271" s="75"/>
      <c r="E271" s="125"/>
      <c r="F271" s="121">
        <f t="shared" si="1"/>
        <v>0</v>
      </c>
      <c r="G271" s="122">
        <v>0.01</v>
      </c>
      <c r="H271" s="123">
        <f t="shared" si="2"/>
        <v>0</v>
      </c>
      <c r="I271" s="124"/>
    </row>
    <row r="272" ht="15.75" customHeight="1">
      <c r="A272" s="32"/>
      <c r="D272" s="75"/>
      <c r="E272" s="125"/>
      <c r="F272" s="121">
        <f t="shared" si="1"/>
        <v>0</v>
      </c>
      <c r="G272" s="122">
        <v>0.01</v>
      </c>
      <c r="H272" s="123">
        <f t="shared" si="2"/>
        <v>0</v>
      </c>
      <c r="I272" s="124"/>
    </row>
    <row r="273" ht="15.75" customHeight="1">
      <c r="A273" s="32"/>
      <c r="D273" s="75"/>
      <c r="E273" s="125"/>
      <c r="F273" s="121">
        <f t="shared" si="1"/>
        <v>0</v>
      </c>
      <c r="G273" s="122">
        <v>0.01</v>
      </c>
      <c r="H273" s="123">
        <f t="shared" si="2"/>
        <v>0</v>
      </c>
      <c r="I273" s="124"/>
    </row>
    <row r="274" ht="15.75" customHeight="1">
      <c r="A274" s="32"/>
      <c r="D274" s="75"/>
      <c r="E274" s="125"/>
      <c r="F274" s="121">
        <f t="shared" si="1"/>
        <v>0</v>
      </c>
      <c r="G274" s="122">
        <v>0.01</v>
      </c>
      <c r="H274" s="123">
        <f t="shared" si="2"/>
        <v>0</v>
      </c>
      <c r="I274" s="124"/>
    </row>
    <row r="275" ht="15.75" customHeight="1">
      <c r="A275" s="32"/>
      <c r="D275" s="75"/>
      <c r="E275" s="125"/>
      <c r="F275" s="121">
        <f t="shared" si="1"/>
        <v>0</v>
      </c>
      <c r="G275" s="122">
        <v>0.01</v>
      </c>
      <c r="H275" s="123">
        <f t="shared" si="2"/>
        <v>0</v>
      </c>
      <c r="I275" s="124"/>
    </row>
    <row r="276" ht="15.75" customHeight="1">
      <c r="A276" s="32"/>
      <c r="D276" s="75"/>
      <c r="E276" s="125"/>
      <c r="F276" s="121">
        <f t="shared" si="1"/>
        <v>0</v>
      </c>
      <c r="G276" s="122">
        <v>0.01</v>
      </c>
      <c r="H276" s="123">
        <f t="shared" si="2"/>
        <v>0</v>
      </c>
      <c r="I276" s="124"/>
    </row>
    <row r="277" ht="15.75" customHeight="1">
      <c r="A277" s="32"/>
      <c r="D277" s="75"/>
      <c r="E277" s="125"/>
      <c r="F277" s="121">
        <f t="shared" si="1"/>
        <v>0</v>
      </c>
      <c r="G277" s="122">
        <v>0.01</v>
      </c>
      <c r="H277" s="123">
        <f t="shared" si="2"/>
        <v>0</v>
      </c>
      <c r="I277" s="124"/>
    </row>
    <row r="278" ht="15.75" customHeight="1">
      <c r="A278" s="32"/>
      <c r="D278" s="75"/>
      <c r="E278" s="125"/>
      <c r="F278" s="121">
        <f t="shared" si="1"/>
        <v>0</v>
      </c>
      <c r="G278" s="122">
        <v>0.01</v>
      </c>
      <c r="H278" s="123">
        <f t="shared" si="2"/>
        <v>0</v>
      </c>
      <c r="I278" s="124"/>
    </row>
    <row r="279" ht="15.75" customHeight="1">
      <c r="A279" s="32"/>
      <c r="D279" s="75"/>
      <c r="E279" s="125"/>
      <c r="F279" s="121">
        <f t="shared" si="1"/>
        <v>0</v>
      </c>
      <c r="G279" s="122">
        <v>0.01</v>
      </c>
      <c r="H279" s="123">
        <f t="shared" si="2"/>
        <v>0</v>
      </c>
      <c r="I279" s="124"/>
    </row>
    <row r="280" ht="15.75" customHeight="1">
      <c r="A280" s="32"/>
      <c r="D280" s="75"/>
      <c r="E280" s="125"/>
      <c r="F280" s="121">
        <f t="shared" si="1"/>
        <v>0</v>
      </c>
      <c r="G280" s="122">
        <v>0.01</v>
      </c>
      <c r="H280" s="123">
        <f t="shared" si="2"/>
        <v>0</v>
      </c>
      <c r="I280" s="124"/>
    </row>
    <row r="281" ht="15.75" customHeight="1">
      <c r="A281" s="32"/>
      <c r="D281" s="75"/>
      <c r="E281" s="125"/>
      <c r="F281" s="121">
        <f t="shared" si="1"/>
        <v>0</v>
      </c>
      <c r="G281" s="122">
        <v>0.01</v>
      </c>
      <c r="H281" s="123">
        <f t="shared" si="2"/>
        <v>0</v>
      </c>
      <c r="I281" s="124"/>
    </row>
    <row r="282" ht="15.75" customHeight="1">
      <c r="A282" s="32"/>
      <c r="D282" s="75"/>
      <c r="E282" s="125"/>
      <c r="F282" s="121">
        <f t="shared" si="1"/>
        <v>0</v>
      </c>
      <c r="G282" s="122">
        <v>0.01</v>
      </c>
      <c r="H282" s="123">
        <f t="shared" si="2"/>
        <v>0</v>
      </c>
      <c r="I282" s="124"/>
    </row>
    <row r="283" ht="15.75" customHeight="1">
      <c r="A283" s="32"/>
      <c r="D283" s="75"/>
      <c r="E283" s="125"/>
      <c r="F283" s="121">
        <f t="shared" si="1"/>
        <v>0</v>
      </c>
      <c r="G283" s="122">
        <v>0.01</v>
      </c>
      <c r="H283" s="123">
        <f t="shared" si="2"/>
        <v>0</v>
      </c>
      <c r="I283" s="124"/>
    </row>
    <row r="284" ht="15.75" customHeight="1">
      <c r="A284" s="32"/>
      <c r="D284" s="75"/>
      <c r="E284" s="125"/>
      <c r="F284" s="121">
        <f t="shared" si="1"/>
        <v>0</v>
      </c>
      <c r="G284" s="122">
        <v>0.01</v>
      </c>
      <c r="H284" s="123">
        <f t="shared" si="2"/>
        <v>0</v>
      </c>
      <c r="I284" s="124"/>
    </row>
    <row r="285" ht="15.75" customHeight="1">
      <c r="A285" s="32"/>
      <c r="D285" s="75"/>
      <c r="E285" s="125"/>
      <c r="F285" s="121">
        <f t="shared" si="1"/>
        <v>0</v>
      </c>
      <c r="G285" s="122">
        <v>0.01</v>
      </c>
      <c r="H285" s="123">
        <f t="shared" si="2"/>
        <v>0</v>
      </c>
      <c r="I285" s="124"/>
    </row>
    <row r="286" ht="15.75" customHeight="1">
      <c r="A286" s="32"/>
      <c r="D286" s="75"/>
      <c r="E286" s="125"/>
      <c r="F286" s="121">
        <f t="shared" si="1"/>
        <v>0</v>
      </c>
      <c r="G286" s="122">
        <v>0.01</v>
      </c>
      <c r="H286" s="123">
        <f t="shared" si="2"/>
        <v>0</v>
      </c>
      <c r="I286" s="124"/>
    </row>
    <row r="287" ht="15.75" customHeight="1">
      <c r="A287" s="32"/>
      <c r="D287" s="75"/>
      <c r="E287" s="125"/>
      <c r="F287" s="121">
        <f t="shared" si="1"/>
        <v>0</v>
      </c>
      <c r="G287" s="122">
        <v>0.01</v>
      </c>
      <c r="H287" s="123">
        <f t="shared" si="2"/>
        <v>0</v>
      </c>
      <c r="I287" s="124"/>
    </row>
    <row r="288" ht="15.75" customHeight="1">
      <c r="A288" s="32"/>
      <c r="D288" s="75"/>
      <c r="E288" s="125"/>
      <c r="F288" s="121">
        <f t="shared" si="1"/>
        <v>0</v>
      </c>
      <c r="G288" s="122">
        <v>0.01</v>
      </c>
      <c r="H288" s="123">
        <f t="shared" si="2"/>
        <v>0</v>
      </c>
      <c r="I288" s="124"/>
    </row>
    <row r="289" ht="15.75" customHeight="1">
      <c r="A289" s="32"/>
      <c r="D289" s="75"/>
      <c r="E289" s="125"/>
      <c r="F289" s="121">
        <f t="shared" si="1"/>
        <v>0</v>
      </c>
      <c r="G289" s="122">
        <v>0.01</v>
      </c>
      <c r="H289" s="123">
        <f t="shared" si="2"/>
        <v>0</v>
      </c>
      <c r="I289" s="124"/>
    </row>
    <row r="290" ht="15.75" customHeight="1">
      <c r="A290" s="32"/>
      <c r="D290" s="75"/>
      <c r="E290" s="125"/>
      <c r="F290" s="121">
        <f t="shared" si="1"/>
        <v>0</v>
      </c>
      <c r="G290" s="122">
        <v>0.01</v>
      </c>
      <c r="H290" s="123">
        <f t="shared" si="2"/>
        <v>0</v>
      </c>
      <c r="I290" s="124"/>
    </row>
    <row r="291" ht="15.75" customHeight="1">
      <c r="A291" s="32"/>
      <c r="D291" s="75"/>
      <c r="E291" s="125"/>
      <c r="F291" s="121">
        <f t="shared" si="1"/>
        <v>0</v>
      </c>
      <c r="G291" s="122">
        <v>0.01</v>
      </c>
      <c r="H291" s="123">
        <f t="shared" si="2"/>
        <v>0</v>
      </c>
      <c r="I291" s="124"/>
    </row>
    <row r="292" ht="15.75" customHeight="1">
      <c r="A292" s="32"/>
      <c r="D292" s="75"/>
      <c r="E292" s="125"/>
      <c r="F292" s="121">
        <f t="shared" si="1"/>
        <v>0</v>
      </c>
      <c r="G292" s="122">
        <v>0.01</v>
      </c>
      <c r="H292" s="123">
        <f t="shared" si="2"/>
        <v>0</v>
      </c>
      <c r="I292" s="124"/>
    </row>
    <row r="293" ht="15.75" customHeight="1">
      <c r="A293" s="32"/>
      <c r="D293" s="75"/>
      <c r="E293" s="125"/>
      <c r="F293" s="121">
        <f t="shared" si="1"/>
        <v>0</v>
      </c>
      <c r="G293" s="122">
        <v>0.01</v>
      </c>
      <c r="H293" s="123">
        <f t="shared" si="2"/>
        <v>0</v>
      </c>
      <c r="I293" s="124"/>
    </row>
    <row r="294" ht="15.75" customHeight="1">
      <c r="A294" s="32"/>
      <c r="D294" s="75"/>
      <c r="E294" s="125"/>
      <c r="F294" s="121">
        <f t="shared" si="1"/>
        <v>0</v>
      </c>
      <c r="G294" s="122">
        <v>0.01</v>
      </c>
      <c r="H294" s="123">
        <f t="shared" si="2"/>
        <v>0</v>
      </c>
      <c r="I294" s="124"/>
    </row>
    <row r="295" ht="15.75" customHeight="1">
      <c r="A295" s="32"/>
      <c r="D295" s="75"/>
      <c r="E295" s="125"/>
      <c r="F295" s="121">
        <f t="shared" si="1"/>
        <v>0</v>
      </c>
      <c r="G295" s="122">
        <v>0.01</v>
      </c>
      <c r="H295" s="123">
        <f t="shared" si="2"/>
        <v>0</v>
      </c>
      <c r="I295" s="124"/>
    </row>
    <row r="296" ht="15.75" customHeight="1">
      <c r="A296" s="32"/>
      <c r="D296" s="75"/>
      <c r="E296" s="125"/>
      <c r="F296" s="121">
        <f t="shared" si="1"/>
        <v>0</v>
      </c>
      <c r="G296" s="122">
        <v>0.01</v>
      </c>
      <c r="H296" s="123">
        <f t="shared" si="2"/>
        <v>0</v>
      </c>
      <c r="I296" s="124"/>
    </row>
    <row r="297" ht="15.75" customHeight="1">
      <c r="A297" s="32"/>
      <c r="D297" s="75"/>
      <c r="E297" s="125"/>
      <c r="F297" s="121">
        <f t="shared" si="1"/>
        <v>0</v>
      </c>
      <c r="G297" s="122">
        <v>0.01</v>
      </c>
      <c r="H297" s="123">
        <f t="shared" si="2"/>
        <v>0</v>
      </c>
      <c r="I297" s="124"/>
    </row>
    <row r="298" ht="15.75" customHeight="1">
      <c r="A298" s="32"/>
      <c r="D298" s="75"/>
      <c r="E298" s="125"/>
      <c r="F298" s="121">
        <f t="shared" si="1"/>
        <v>0</v>
      </c>
      <c r="G298" s="122">
        <v>0.01</v>
      </c>
      <c r="H298" s="123">
        <f t="shared" si="2"/>
        <v>0</v>
      </c>
      <c r="I298" s="124"/>
    </row>
    <row r="299" ht="15.75" customHeight="1">
      <c r="A299" s="32"/>
      <c r="D299" s="75"/>
      <c r="E299" s="125"/>
      <c r="F299" s="121">
        <f t="shared" si="1"/>
        <v>0</v>
      </c>
      <c r="G299" s="122">
        <v>0.01</v>
      </c>
      <c r="H299" s="123">
        <f t="shared" si="2"/>
        <v>0</v>
      </c>
      <c r="I299" s="124"/>
    </row>
    <row r="300" ht="15.75" customHeight="1">
      <c r="A300" s="32"/>
      <c r="D300" s="75"/>
      <c r="E300" s="125"/>
      <c r="F300" s="121">
        <f t="shared" si="1"/>
        <v>0</v>
      </c>
      <c r="G300" s="122">
        <v>0.01</v>
      </c>
      <c r="H300" s="123">
        <f t="shared" si="2"/>
        <v>0</v>
      </c>
      <c r="I300" s="124"/>
    </row>
    <row r="301" ht="15.75" customHeight="1">
      <c r="A301" s="32"/>
      <c r="D301" s="75"/>
      <c r="E301" s="125"/>
      <c r="F301" s="121">
        <f t="shared" si="1"/>
        <v>0</v>
      </c>
      <c r="G301" s="122">
        <v>0.01</v>
      </c>
      <c r="H301" s="123">
        <f t="shared" si="2"/>
        <v>0</v>
      </c>
      <c r="I301" s="124"/>
    </row>
    <row r="302" ht="15.75" customHeight="1">
      <c r="A302" s="32"/>
      <c r="D302" s="75"/>
      <c r="E302" s="125"/>
      <c r="F302" s="121">
        <f t="shared" si="1"/>
        <v>0</v>
      </c>
      <c r="G302" s="122">
        <v>0.01</v>
      </c>
      <c r="H302" s="123">
        <f t="shared" si="2"/>
        <v>0</v>
      </c>
      <c r="I302" s="124"/>
    </row>
    <row r="303" ht="15.75" customHeight="1">
      <c r="A303" s="32"/>
      <c r="D303" s="75"/>
      <c r="E303" s="125"/>
      <c r="F303" s="121">
        <f t="shared" si="1"/>
        <v>0</v>
      </c>
      <c r="G303" s="122">
        <v>0.01</v>
      </c>
      <c r="H303" s="123">
        <f t="shared" si="2"/>
        <v>0</v>
      </c>
      <c r="I303" s="124"/>
    </row>
    <row r="304" ht="15.75" customHeight="1">
      <c r="A304" s="32"/>
      <c r="D304" s="75"/>
      <c r="E304" s="125"/>
      <c r="F304" s="121">
        <f t="shared" si="1"/>
        <v>0</v>
      </c>
      <c r="G304" s="122">
        <v>0.01</v>
      </c>
      <c r="H304" s="123">
        <f t="shared" si="2"/>
        <v>0</v>
      </c>
      <c r="I304" s="124"/>
    </row>
    <row r="305" ht="15.75" customHeight="1">
      <c r="A305" s="32"/>
      <c r="D305" s="75"/>
      <c r="E305" s="125"/>
      <c r="F305" s="121">
        <f t="shared" si="1"/>
        <v>0</v>
      </c>
      <c r="G305" s="122">
        <v>0.01</v>
      </c>
      <c r="H305" s="123">
        <f t="shared" si="2"/>
        <v>0</v>
      </c>
      <c r="I305" s="124"/>
    </row>
    <row r="306" ht="15.75" customHeight="1">
      <c r="A306" s="32"/>
      <c r="D306" s="75"/>
      <c r="E306" s="125"/>
      <c r="F306" s="121">
        <f t="shared" si="1"/>
        <v>0</v>
      </c>
      <c r="G306" s="122">
        <v>0.01</v>
      </c>
      <c r="H306" s="123">
        <f t="shared" si="2"/>
        <v>0</v>
      </c>
      <c r="I306" s="124"/>
    </row>
    <row r="307" ht="15.75" customHeight="1">
      <c r="A307" s="32"/>
      <c r="D307" s="75"/>
      <c r="E307" s="125"/>
      <c r="F307" s="121">
        <f t="shared" si="1"/>
        <v>0</v>
      </c>
      <c r="G307" s="122">
        <v>0.01</v>
      </c>
      <c r="H307" s="123">
        <f t="shared" si="2"/>
        <v>0</v>
      </c>
      <c r="I307" s="124"/>
    </row>
    <row r="308" ht="15.75" customHeight="1">
      <c r="A308" s="32"/>
      <c r="D308" s="75"/>
      <c r="E308" s="125"/>
      <c r="F308" s="121">
        <f t="shared" si="1"/>
        <v>0</v>
      </c>
      <c r="G308" s="122">
        <v>0.01</v>
      </c>
      <c r="H308" s="123">
        <f t="shared" si="2"/>
        <v>0</v>
      </c>
      <c r="I308" s="124"/>
    </row>
    <row r="309" ht="15.75" customHeight="1">
      <c r="A309" s="32"/>
      <c r="D309" s="75"/>
      <c r="E309" s="125"/>
      <c r="F309" s="121">
        <f t="shared" si="1"/>
        <v>0</v>
      </c>
      <c r="G309" s="122">
        <v>0.01</v>
      </c>
      <c r="H309" s="123">
        <f t="shared" si="2"/>
        <v>0</v>
      </c>
      <c r="I309" s="124"/>
    </row>
    <row r="310" ht="15.75" customHeight="1">
      <c r="A310" s="32"/>
      <c r="D310" s="75"/>
      <c r="E310" s="125"/>
      <c r="F310" s="121">
        <f t="shared" si="1"/>
        <v>0</v>
      </c>
      <c r="G310" s="122">
        <v>0.01</v>
      </c>
      <c r="H310" s="123">
        <f t="shared" si="2"/>
        <v>0</v>
      </c>
      <c r="I310" s="124"/>
    </row>
    <row r="311" ht="15.75" customHeight="1">
      <c r="A311" s="32"/>
      <c r="D311" s="75"/>
      <c r="E311" s="125"/>
      <c r="F311" s="121">
        <f t="shared" si="1"/>
        <v>0</v>
      </c>
      <c r="G311" s="122">
        <v>0.01</v>
      </c>
      <c r="H311" s="123">
        <f t="shared" si="2"/>
        <v>0</v>
      </c>
      <c r="I311" s="124"/>
    </row>
    <row r="312" ht="15.75" customHeight="1">
      <c r="A312" s="32"/>
      <c r="D312" s="75"/>
      <c r="E312" s="125"/>
      <c r="F312" s="121">
        <f t="shared" si="1"/>
        <v>0</v>
      </c>
      <c r="G312" s="122">
        <v>0.01</v>
      </c>
      <c r="H312" s="123">
        <f t="shared" si="2"/>
        <v>0</v>
      </c>
      <c r="I312" s="124"/>
    </row>
    <row r="313" ht="15.75" customHeight="1">
      <c r="A313" s="32"/>
      <c r="D313" s="75"/>
      <c r="E313" s="125"/>
      <c r="F313" s="121">
        <f t="shared" si="1"/>
        <v>0</v>
      </c>
      <c r="G313" s="122">
        <v>0.01</v>
      </c>
      <c r="H313" s="123">
        <f t="shared" si="2"/>
        <v>0</v>
      </c>
      <c r="I313" s="124"/>
    </row>
    <row r="314" ht="15.75" customHeight="1">
      <c r="A314" s="32"/>
      <c r="D314" s="75"/>
      <c r="E314" s="125"/>
      <c r="F314" s="121">
        <f t="shared" si="1"/>
        <v>0</v>
      </c>
      <c r="G314" s="122">
        <v>0.01</v>
      </c>
      <c r="H314" s="123">
        <f t="shared" si="2"/>
        <v>0</v>
      </c>
      <c r="I314" s="124"/>
    </row>
    <row r="315" ht="15.75" customHeight="1">
      <c r="A315" s="32"/>
      <c r="D315" s="75"/>
      <c r="E315" s="125"/>
      <c r="F315" s="121">
        <f t="shared" si="1"/>
        <v>0</v>
      </c>
      <c r="G315" s="122">
        <v>0.01</v>
      </c>
      <c r="H315" s="123">
        <f t="shared" si="2"/>
        <v>0</v>
      </c>
      <c r="I315" s="124"/>
    </row>
    <row r="316" ht="15.75" customHeight="1">
      <c r="A316" s="32"/>
      <c r="D316" s="75"/>
      <c r="E316" s="125"/>
      <c r="F316" s="121">
        <f t="shared" si="1"/>
        <v>0</v>
      </c>
      <c r="G316" s="122">
        <v>0.01</v>
      </c>
      <c r="H316" s="123">
        <f t="shared" si="2"/>
        <v>0</v>
      </c>
      <c r="I316" s="124"/>
    </row>
    <row r="317" ht="15.75" customHeight="1">
      <c r="A317" s="32"/>
      <c r="D317" s="75"/>
      <c r="E317" s="125"/>
      <c r="F317" s="121">
        <f t="shared" si="1"/>
        <v>0</v>
      </c>
      <c r="G317" s="122">
        <v>0.01</v>
      </c>
      <c r="H317" s="123">
        <f t="shared" si="2"/>
        <v>0</v>
      </c>
      <c r="I317" s="124"/>
    </row>
    <row r="318" ht="15.75" customHeight="1">
      <c r="A318" s="32"/>
      <c r="D318" s="75"/>
      <c r="E318" s="125"/>
      <c r="F318" s="121">
        <f t="shared" si="1"/>
        <v>0</v>
      </c>
      <c r="G318" s="122">
        <v>0.01</v>
      </c>
      <c r="H318" s="123">
        <f t="shared" si="2"/>
        <v>0</v>
      </c>
      <c r="I318" s="124"/>
    </row>
    <row r="319" ht="15.75" customHeight="1">
      <c r="A319" s="32"/>
      <c r="D319" s="75"/>
      <c r="E319" s="125"/>
      <c r="F319" s="121">
        <f t="shared" si="1"/>
        <v>0</v>
      </c>
      <c r="G319" s="122">
        <v>0.01</v>
      </c>
      <c r="H319" s="123">
        <f t="shared" si="2"/>
        <v>0</v>
      </c>
      <c r="I319" s="124"/>
    </row>
    <row r="320" ht="15.75" customHeight="1">
      <c r="A320" s="32"/>
      <c r="D320" s="75"/>
      <c r="E320" s="125"/>
      <c r="F320" s="121">
        <f t="shared" si="1"/>
        <v>0</v>
      </c>
      <c r="G320" s="122">
        <v>0.01</v>
      </c>
      <c r="H320" s="123">
        <f t="shared" si="2"/>
        <v>0</v>
      </c>
      <c r="I320" s="124"/>
    </row>
    <row r="321" ht="15.75" customHeight="1">
      <c r="A321" s="32"/>
      <c r="D321" s="75"/>
      <c r="E321" s="125"/>
      <c r="F321" s="121">
        <f t="shared" si="1"/>
        <v>0</v>
      </c>
      <c r="G321" s="122">
        <v>0.01</v>
      </c>
      <c r="H321" s="123">
        <f t="shared" si="2"/>
        <v>0</v>
      </c>
      <c r="I321" s="124"/>
    </row>
    <row r="322" ht="15.75" customHeight="1">
      <c r="A322" s="32"/>
      <c r="D322" s="75"/>
      <c r="E322" s="125"/>
      <c r="F322" s="121">
        <f t="shared" si="1"/>
        <v>0</v>
      </c>
      <c r="G322" s="122">
        <v>0.01</v>
      </c>
      <c r="H322" s="123">
        <f t="shared" si="2"/>
        <v>0</v>
      </c>
      <c r="I322" s="124"/>
    </row>
    <row r="323" ht="15.75" customHeight="1">
      <c r="A323" s="32"/>
      <c r="D323" s="75"/>
      <c r="E323" s="125"/>
      <c r="F323" s="121">
        <f t="shared" si="1"/>
        <v>0</v>
      </c>
      <c r="G323" s="122">
        <v>0.01</v>
      </c>
      <c r="H323" s="123">
        <f t="shared" si="2"/>
        <v>0</v>
      </c>
      <c r="I323" s="124"/>
    </row>
    <row r="324" ht="15.75" customHeight="1">
      <c r="A324" s="32"/>
      <c r="D324" s="75"/>
      <c r="E324" s="125"/>
      <c r="F324" s="121">
        <f t="shared" si="1"/>
        <v>0</v>
      </c>
      <c r="G324" s="122">
        <v>0.01</v>
      </c>
      <c r="H324" s="123">
        <f t="shared" si="2"/>
        <v>0</v>
      </c>
      <c r="I324" s="124"/>
    </row>
    <row r="325" ht="15.75" customHeight="1">
      <c r="A325" s="32"/>
      <c r="D325" s="75"/>
      <c r="E325" s="125"/>
      <c r="F325" s="121">
        <f t="shared" si="1"/>
        <v>0</v>
      </c>
      <c r="G325" s="122">
        <v>0.01</v>
      </c>
      <c r="H325" s="123">
        <f t="shared" si="2"/>
        <v>0</v>
      </c>
      <c r="I325" s="124"/>
    </row>
    <row r="326" ht="15.75" customHeight="1">
      <c r="A326" s="32"/>
      <c r="D326" s="75"/>
      <c r="E326" s="125"/>
      <c r="F326" s="121">
        <f t="shared" si="1"/>
        <v>0</v>
      </c>
      <c r="G326" s="122">
        <v>0.01</v>
      </c>
      <c r="H326" s="123">
        <f t="shared" si="2"/>
        <v>0</v>
      </c>
      <c r="I326" s="124"/>
    </row>
    <row r="327" ht="15.75" customHeight="1">
      <c r="A327" s="32"/>
      <c r="D327" s="75"/>
      <c r="E327" s="125"/>
      <c r="F327" s="121">
        <f t="shared" si="1"/>
        <v>0</v>
      </c>
      <c r="G327" s="122">
        <v>0.01</v>
      </c>
      <c r="H327" s="123">
        <f t="shared" si="2"/>
        <v>0</v>
      </c>
      <c r="I327" s="124"/>
    </row>
    <row r="328" ht="15.75" customHeight="1">
      <c r="A328" s="32"/>
      <c r="D328" s="75"/>
      <c r="E328" s="125"/>
      <c r="F328" s="121">
        <f t="shared" si="1"/>
        <v>0</v>
      </c>
      <c r="G328" s="122">
        <v>0.01</v>
      </c>
      <c r="H328" s="123">
        <f t="shared" si="2"/>
        <v>0</v>
      </c>
      <c r="I328" s="124"/>
    </row>
    <row r="329" ht="15.75" customHeight="1">
      <c r="A329" s="32"/>
      <c r="D329" s="75"/>
      <c r="E329" s="125"/>
      <c r="F329" s="121">
        <f t="shared" si="1"/>
        <v>0</v>
      </c>
      <c r="G329" s="122">
        <v>0.01</v>
      </c>
      <c r="H329" s="123">
        <f t="shared" si="2"/>
        <v>0</v>
      </c>
      <c r="I329" s="124"/>
    </row>
    <row r="330" ht="15.75" customHeight="1">
      <c r="A330" s="32"/>
      <c r="D330" s="75"/>
      <c r="E330" s="125"/>
      <c r="F330" s="121">
        <f t="shared" si="1"/>
        <v>0</v>
      </c>
      <c r="G330" s="122">
        <v>0.01</v>
      </c>
      <c r="H330" s="123">
        <f t="shared" si="2"/>
        <v>0</v>
      </c>
      <c r="I330" s="124"/>
    </row>
    <row r="331" ht="15.75" customHeight="1">
      <c r="A331" s="32"/>
      <c r="D331" s="75"/>
      <c r="E331" s="125"/>
      <c r="F331" s="121">
        <f t="shared" si="1"/>
        <v>0</v>
      </c>
      <c r="G331" s="122">
        <v>0.01</v>
      </c>
      <c r="H331" s="123">
        <f t="shared" si="2"/>
        <v>0</v>
      </c>
      <c r="I331" s="124"/>
    </row>
    <row r="332" ht="15.75" customHeight="1">
      <c r="A332" s="32"/>
      <c r="D332" s="75"/>
      <c r="E332" s="125"/>
      <c r="F332" s="121">
        <f t="shared" si="1"/>
        <v>0</v>
      </c>
      <c r="G332" s="122">
        <v>0.01</v>
      </c>
      <c r="H332" s="123">
        <f t="shared" si="2"/>
        <v>0</v>
      </c>
      <c r="I332" s="124"/>
    </row>
    <row r="333" ht="15.75" customHeight="1">
      <c r="A333" s="32"/>
      <c r="D333" s="75"/>
      <c r="E333" s="125"/>
      <c r="F333" s="121">
        <f t="shared" si="1"/>
        <v>0</v>
      </c>
      <c r="G333" s="122">
        <v>0.01</v>
      </c>
      <c r="H333" s="123">
        <f t="shared" si="2"/>
        <v>0</v>
      </c>
      <c r="I333" s="124"/>
    </row>
    <row r="334" ht="15.75" customHeight="1">
      <c r="A334" s="32"/>
      <c r="D334" s="75"/>
      <c r="E334" s="125"/>
      <c r="F334" s="121">
        <f t="shared" si="1"/>
        <v>0</v>
      </c>
      <c r="G334" s="122">
        <v>0.01</v>
      </c>
      <c r="H334" s="123">
        <f t="shared" si="2"/>
        <v>0</v>
      </c>
      <c r="I334" s="124"/>
    </row>
    <row r="335" ht="15.75" customHeight="1">
      <c r="A335" s="32"/>
      <c r="D335" s="75"/>
      <c r="E335" s="125"/>
      <c r="F335" s="121">
        <f t="shared" si="1"/>
        <v>0</v>
      </c>
      <c r="G335" s="122">
        <v>0.01</v>
      </c>
      <c r="H335" s="123">
        <f t="shared" si="2"/>
        <v>0</v>
      </c>
      <c r="I335" s="124"/>
    </row>
    <row r="336" ht="15.75" customHeight="1">
      <c r="A336" s="32"/>
      <c r="D336" s="75"/>
      <c r="E336" s="125"/>
      <c r="F336" s="121">
        <f t="shared" si="1"/>
        <v>0</v>
      </c>
      <c r="G336" s="122">
        <v>0.01</v>
      </c>
      <c r="H336" s="123">
        <f t="shared" si="2"/>
        <v>0</v>
      </c>
      <c r="I336" s="124"/>
    </row>
    <row r="337" ht="15.75" customHeight="1">
      <c r="A337" s="32"/>
      <c r="D337" s="75"/>
      <c r="E337" s="125"/>
      <c r="F337" s="121">
        <f t="shared" si="1"/>
        <v>0</v>
      </c>
      <c r="G337" s="122">
        <v>0.01</v>
      </c>
      <c r="H337" s="123">
        <f t="shared" si="2"/>
        <v>0</v>
      </c>
      <c r="I337" s="124"/>
    </row>
    <row r="338" ht="15.75" customHeight="1">
      <c r="A338" s="32"/>
      <c r="D338" s="75"/>
      <c r="E338" s="125"/>
      <c r="F338" s="121">
        <f t="shared" si="1"/>
        <v>0</v>
      </c>
      <c r="G338" s="122">
        <v>0.01</v>
      </c>
      <c r="H338" s="123">
        <f t="shared" si="2"/>
        <v>0</v>
      </c>
      <c r="I338" s="124"/>
    </row>
    <row r="339" ht="15.75" customHeight="1">
      <c r="A339" s="32"/>
      <c r="D339" s="75"/>
      <c r="E339" s="125"/>
      <c r="F339" s="121">
        <f t="shared" si="1"/>
        <v>0</v>
      </c>
      <c r="G339" s="122">
        <v>0.01</v>
      </c>
      <c r="H339" s="123">
        <f t="shared" si="2"/>
        <v>0</v>
      </c>
      <c r="I339" s="124"/>
    </row>
    <row r="340" ht="15.75" customHeight="1">
      <c r="A340" s="32"/>
      <c r="D340" s="75"/>
      <c r="E340" s="125"/>
      <c r="F340" s="121">
        <f t="shared" si="1"/>
        <v>0</v>
      </c>
      <c r="G340" s="122">
        <v>0.01</v>
      </c>
      <c r="H340" s="123">
        <f t="shared" si="2"/>
        <v>0</v>
      </c>
      <c r="I340" s="124"/>
    </row>
    <row r="341" ht="15.75" customHeight="1">
      <c r="A341" s="32"/>
      <c r="D341" s="75"/>
      <c r="E341" s="125"/>
      <c r="F341" s="121">
        <f t="shared" si="1"/>
        <v>0</v>
      </c>
      <c r="G341" s="122">
        <v>0.01</v>
      </c>
      <c r="H341" s="123">
        <f t="shared" si="2"/>
        <v>0</v>
      </c>
      <c r="I341" s="124"/>
    </row>
    <row r="342" ht="15.75" customHeight="1">
      <c r="A342" s="32"/>
      <c r="D342" s="75"/>
      <c r="E342" s="125"/>
      <c r="F342" s="121">
        <f t="shared" si="1"/>
        <v>0</v>
      </c>
      <c r="G342" s="122">
        <v>0.01</v>
      </c>
      <c r="H342" s="123">
        <f t="shared" si="2"/>
        <v>0</v>
      </c>
      <c r="I342" s="124"/>
    </row>
    <row r="343" ht="15.75" customHeight="1">
      <c r="A343" s="32"/>
      <c r="D343" s="75"/>
      <c r="E343" s="125"/>
      <c r="F343" s="121">
        <f t="shared" si="1"/>
        <v>0</v>
      </c>
      <c r="G343" s="122">
        <v>0.01</v>
      </c>
      <c r="H343" s="123">
        <f t="shared" si="2"/>
        <v>0</v>
      </c>
      <c r="I343" s="124"/>
    </row>
    <row r="344" ht="15.75" customHeight="1">
      <c r="A344" s="32"/>
      <c r="D344" s="75"/>
      <c r="E344" s="125"/>
      <c r="F344" s="121">
        <f t="shared" si="1"/>
        <v>0</v>
      </c>
      <c r="G344" s="122">
        <v>0.01</v>
      </c>
      <c r="H344" s="123">
        <f t="shared" si="2"/>
        <v>0</v>
      </c>
      <c r="I344" s="124"/>
    </row>
    <row r="345" ht="15.75" customHeight="1">
      <c r="A345" s="32"/>
      <c r="D345" s="75"/>
      <c r="E345" s="125"/>
      <c r="F345" s="121">
        <f t="shared" si="1"/>
        <v>0</v>
      </c>
      <c r="G345" s="122">
        <v>0.01</v>
      </c>
      <c r="H345" s="123">
        <f t="shared" si="2"/>
        <v>0</v>
      </c>
      <c r="I345" s="124"/>
    </row>
    <row r="346" ht="15.75" customHeight="1">
      <c r="A346" s="32"/>
      <c r="D346" s="75"/>
      <c r="E346" s="125"/>
      <c r="F346" s="121">
        <f t="shared" si="1"/>
        <v>0</v>
      </c>
      <c r="G346" s="122">
        <v>0.01</v>
      </c>
      <c r="H346" s="123">
        <f t="shared" si="2"/>
        <v>0</v>
      </c>
      <c r="I346" s="124"/>
    </row>
    <row r="347" ht="15.75" customHeight="1">
      <c r="A347" s="32"/>
      <c r="D347" s="75"/>
      <c r="E347" s="125"/>
      <c r="F347" s="121">
        <f t="shared" si="1"/>
        <v>0</v>
      </c>
      <c r="G347" s="122">
        <v>0.01</v>
      </c>
      <c r="H347" s="123">
        <f t="shared" si="2"/>
        <v>0</v>
      </c>
      <c r="I347" s="124"/>
    </row>
    <row r="348" ht="15.75" customHeight="1">
      <c r="A348" s="32"/>
      <c r="D348" s="75"/>
      <c r="E348" s="125"/>
      <c r="F348" s="121">
        <f t="shared" si="1"/>
        <v>0</v>
      </c>
      <c r="G348" s="122">
        <v>0.01</v>
      </c>
      <c r="H348" s="123">
        <f t="shared" si="2"/>
        <v>0</v>
      </c>
      <c r="I348" s="124"/>
    </row>
    <row r="349" ht="15.75" customHeight="1">
      <c r="A349" s="32"/>
      <c r="D349" s="75"/>
      <c r="E349" s="125"/>
      <c r="F349" s="121">
        <f t="shared" si="1"/>
        <v>0</v>
      </c>
      <c r="G349" s="122">
        <v>0.01</v>
      </c>
      <c r="H349" s="123">
        <f t="shared" si="2"/>
        <v>0</v>
      </c>
      <c r="I349" s="124"/>
    </row>
    <row r="350" ht="15.75" customHeight="1">
      <c r="A350" s="32"/>
      <c r="D350" s="75"/>
      <c r="E350" s="125"/>
      <c r="F350" s="121">
        <f t="shared" si="1"/>
        <v>0</v>
      </c>
      <c r="G350" s="122">
        <v>0.01</v>
      </c>
      <c r="H350" s="123">
        <f t="shared" si="2"/>
        <v>0</v>
      </c>
      <c r="I350" s="124"/>
    </row>
    <row r="351" ht="15.75" customHeight="1">
      <c r="A351" s="32"/>
      <c r="D351" s="75"/>
      <c r="E351" s="125"/>
      <c r="F351" s="121">
        <f t="shared" si="1"/>
        <v>0</v>
      </c>
      <c r="G351" s="122">
        <v>0.01</v>
      </c>
      <c r="H351" s="123">
        <f t="shared" si="2"/>
        <v>0</v>
      </c>
      <c r="I351" s="124"/>
    </row>
    <row r="352" ht="15.75" customHeight="1">
      <c r="A352" s="32"/>
      <c r="D352" s="75"/>
      <c r="E352" s="125"/>
      <c r="F352" s="121">
        <f t="shared" si="1"/>
        <v>0</v>
      </c>
      <c r="G352" s="122">
        <v>0.01</v>
      </c>
      <c r="H352" s="123">
        <f t="shared" si="2"/>
        <v>0</v>
      </c>
      <c r="I352" s="124"/>
    </row>
    <row r="353" ht="15.75" customHeight="1">
      <c r="A353" s="32"/>
      <c r="D353" s="75"/>
      <c r="E353" s="125"/>
      <c r="F353" s="121">
        <f t="shared" si="1"/>
        <v>0</v>
      </c>
      <c r="G353" s="122">
        <v>0.01</v>
      </c>
      <c r="H353" s="123">
        <f t="shared" si="2"/>
        <v>0</v>
      </c>
      <c r="I353" s="124"/>
    </row>
    <row r="354" ht="15.75" customHeight="1">
      <c r="A354" s="32"/>
      <c r="D354" s="75"/>
      <c r="E354" s="125"/>
      <c r="F354" s="121">
        <f t="shared" si="1"/>
        <v>0</v>
      </c>
      <c r="G354" s="122">
        <v>0.01</v>
      </c>
      <c r="H354" s="123">
        <f t="shared" si="2"/>
        <v>0</v>
      </c>
      <c r="I354" s="124"/>
    </row>
    <row r="355" ht="15.75" customHeight="1">
      <c r="A355" s="32"/>
      <c r="D355" s="75"/>
      <c r="E355" s="125"/>
      <c r="F355" s="121">
        <f t="shared" si="1"/>
        <v>0</v>
      </c>
      <c r="G355" s="122">
        <v>0.01</v>
      </c>
      <c r="H355" s="123">
        <f t="shared" si="2"/>
        <v>0</v>
      </c>
      <c r="I355" s="124"/>
    </row>
    <row r="356" ht="15.75" customHeight="1">
      <c r="A356" s="32"/>
      <c r="D356" s="75"/>
      <c r="E356" s="125"/>
      <c r="F356" s="121">
        <f t="shared" si="1"/>
        <v>0</v>
      </c>
      <c r="G356" s="122">
        <v>0.01</v>
      </c>
      <c r="H356" s="123">
        <f t="shared" si="2"/>
        <v>0</v>
      </c>
      <c r="I356" s="124"/>
    </row>
    <row r="357" ht="15.75" customHeight="1">
      <c r="A357" s="32"/>
      <c r="D357" s="75"/>
      <c r="E357" s="125"/>
      <c r="F357" s="121">
        <f t="shared" si="1"/>
        <v>0</v>
      </c>
      <c r="G357" s="122">
        <v>0.01</v>
      </c>
      <c r="H357" s="123">
        <f t="shared" si="2"/>
        <v>0</v>
      </c>
      <c r="I357" s="124"/>
    </row>
    <row r="358" ht="15.75" customHeight="1">
      <c r="A358" s="32"/>
      <c r="D358" s="75"/>
      <c r="E358" s="125"/>
      <c r="F358" s="121">
        <f t="shared" si="1"/>
        <v>0</v>
      </c>
      <c r="G358" s="122">
        <v>0.01</v>
      </c>
      <c r="H358" s="123">
        <f t="shared" si="2"/>
        <v>0</v>
      </c>
      <c r="I358" s="124"/>
    </row>
    <row r="359" ht="15.75" customHeight="1">
      <c r="A359" s="32"/>
      <c r="D359" s="75"/>
      <c r="E359" s="125"/>
      <c r="F359" s="121">
        <f t="shared" si="1"/>
        <v>0</v>
      </c>
      <c r="G359" s="122">
        <v>0.01</v>
      </c>
      <c r="H359" s="123">
        <f t="shared" si="2"/>
        <v>0</v>
      </c>
      <c r="I359" s="124"/>
    </row>
    <row r="360" ht="15.75" customHeight="1">
      <c r="A360" s="32"/>
      <c r="D360" s="75"/>
      <c r="E360" s="125"/>
      <c r="F360" s="121">
        <f t="shared" si="1"/>
        <v>0</v>
      </c>
      <c r="G360" s="122">
        <v>0.01</v>
      </c>
      <c r="H360" s="123">
        <f t="shared" si="2"/>
        <v>0</v>
      </c>
      <c r="I360" s="124"/>
    </row>
    <row r="361" ht="15.75" customHeight="1">
      <c r="A361" s="32"/>
      <c r="D361" s="75"/>
      <c r="E361" s="125"/>
      <c r="F361" s="121">
        <f t="shared" si="1"/>
        <v>0</v>
      </c>
      <c r="G361" s="122">
        <v>0.01</v>
      </c>
      <c r="H361" s="123">
        <f t="shared" si="2"/>
        <v>0</v>
      </c>
      <c r="I361" s="124"/>
    </row>
    <row r="362" ht="15.75" customHeight="1">
      <c r="A362" s="32"/>
      <c r="D362" s="75"/>
      <c r="E362" s="125"/>
      <c r="F362" s="121">
        <f t="shared" si="1"/>
        <v>0</v>
      </c>
      <c r="G362" s="122">
        <v>0.01</v>
      </c>
      <c r="H362" s="123">
        <f t="shared" si="2"/>
        <v>0</v>
      </c>
      <c r="I362" s="124"/>
    </row>
    <row r="363" ht="15.75" customHeight="1">
      <c r="A363" s="32"/>
      <c r="D363" s="75"/>
      <c r="E363" s="125"/>
      <c r="F363" s="121">
        <f t="shared" si="1"/>
        <v>0</v>
      </c>
      <c r="G363" s="122">
        <v>0.01</v>
      </c>
      <c r="H363" s="123">
        <f t="shared" si="2"/>
        <v>0</v>
      </c>
      <c r="I363" s="124"/>
    </row>
    <row r="364" ht="15.75" customHeight="1">
      <c r="A364" s="32"/>
      <c r="D364" s="75"/>
      <c r="E364" s="125"/>
      <c r="F364" s="121">
        <f t="shared" si="1"/>
        <v>0</v>
      </c>
      <c r="G364" s="122">
        <v>0.01</v>
      </c>
      <c r="H364" s="123">
        <f t="shared" si="2"/>
        <v>0</v>
      </c>
      <c r="I364" s="124"/>
    </row>
    <row r="365" ht="15.75" customHeight="1">
      <c r="A365" s="32"/>
      <c r="D365" s="75"/>
      <c r="E365" s="125"/>
      <c r="F365" s="121">
        <f t="shared" si="1"/>
        <v>0</v>
      </c>
      <c r="G365" s="122">
        <v>0.01</v>
      </c>
      <c r="H365" s="123">
        <f t="shared" si="2"/>
        <v>0</v>
      </c>
      <c r="I365" s="124"/>
    </row>
    <row r="366" ht="15.75" customHeight="1">
      <c r="A366" s="32"/>
      <c r="D366" s="75"/>
      <c r="E366" s="125"/>
      <c r="F366" s="121">
        <f t="shared" si="1"/>
        <v>0</v>
      </c>
      <c r="G366" s="126"/>
      <c r="H366" s="123">
        <f t="shared" si="2"/>
        <v>0</v>
      </c>
      <c r="I366" s="124"/>
    </row>
    <row r="367" ht="15.75" customHeight="1">
      <c r="A367" s="32"/>
      <c r="D367" s="75"/>
      <c r="E367" s="125"/>
      <c r="F367" s="121">
        <f t="shared" si="1"/>
        <v>0</v>
      </c>
      <c r="G367" s="126"/>
      <c r="H367" s="123">
        <f t="shared" si="2"/>
        <v>0</v>
      </c>
      <c r="I367" s="124"/>
    </row>
    <row r="368" ht="15.75" customHeight="1">
      <c r="A368" s="32"/>
      <c r="D368" s="75"/>
      <c r="E368" s="125"/>
      <c r="F368" s="121">
        <f t="shared" si="1"/>
        <v>0</v>
      </c>
      <c r="G368" s="126"/>
      <c r="H368" s="123">
        <f t="shared" si="2"/>
        <v>0</v>
      </c>
      <c r="I368" s="124"/>
    </row>
    <row r="369" ht="15.75" customHeight="1">
      <c r="A369" s="32"/>
      <c r="D369" s="75"/>
      <c r="E369" s="125"/>
      <c r="F369" s="121">
        <f t="shared" si="1"/>
        <v>0</v>
      </c>
      <c r="G369" s="126"/>
      <c r="H369" s="123">
        <f t="shared" si="2"/>
        <v>0</v>
      </c>
      <c r="I369" s="124"/>
    </row>
    <row r="370" ht="15.75" customHeight="1">
      <c r="A370" s="32"/>
      <c r="D370" s="75"/>
      <c r="E370" s="125"/>
      <c r="F370" s="121">
        <f t="shared" si="1"/>
        <v>0</v>
      </c>
      <c r="G370" s="126"/>
      <c r="H370" s="123">
        <f t="shared" si="2"/>
        <v>0</v>
      </c>
      <c r="I370" s="124"/>
    </row>
    <row r="371" ht="15.75" customHeight="1">
      <c r="A371" s="32"/>
      <c r="D371" s="75"/>
      <c r="E371" s="125"/>
      <c r="F371" s="121">
        <f t="shared" si="1"/>
        <v>0</v>
      </c>
      <c r="G371" s="126"/>
      <c r="H371" s="123">
        <f t="shared" si="2"/>
        <v>0</v>
      </c>
      <c r="I371" s="124"/>
    </row>
    <row r="372" ht="15.75" customHeight="1">
      <c r="A372" s="32"/>
      <c r="D372" s="75"/>
      <c r="E372" s="125"/>
      <c r="F372" s="121">
        <f t="shared" si="1"/>
        <v>0</v>
      </c>
      <c r="G372" s="126"/>
      <c r="H372" s="123">
        <f t="shared" si="2"/>
        <v>0</v>
      </c>
      <c r="I372" s="124"/>
    </row>
    <row r="373" ht="15.75" customHeight="1">
      <c r="A373" s="32"/>
      <c r="D373" s="75"/>
      <c r="E373" s="125"/>
      <c r="F373" s="121">
        <f t="shared" si="1"/>
        <v>0</v>
      </c>
      <c r="G373" s="126"/>
      <c r="H373" s="123">
        <f t="shared" si="2"/>
        <v>0</v>
      </c>
      <c r="I373" s="124"/>
    </row>
    <row r="374" ht="15.75" customHeight="1">
      <c r="A374" s="32"/>
      <c r="D374" s="75"/>
      <c r="E374" s="125"/>
      <c r="F374" s="121">
        <f t="shared" si="1"/>
        <v>0</v>
      </c>
      <c r="G374" s="126"/>
      <c r="H374" s="123">
        <f t="shared" si="2"/>
        <v>0</v>
      </c>
      <c r="I374" s="124"/>
    </row>
    <row r="375" ht="15.75" customHeight="1">
      <c r="A375" s="32"/>
      <c r="D375" s="75"/>
      <c r="E375" s="125"/>
      <c r="F375" s="121">
        <f t="shared" si="1"/>
        <v>0</v>
      </c>
      <c r="G375" s="126"/>
      <c r="H375" s="123">
        <f t="shared" si="2"/>
        <v>0</v>
      </c>
      <c r="I375" s="124"/>
    </row>
    <row r="376" ht="15.75" customHeight="1">
      <c r="A376" s="32"/>
      <c r="D376" s="75"/>
      <c r="E376" s="125"/>
      <c r="F376" s="121">
        <f t="shared" si="1"/>
        <v>0</v>
      </c>
      <c r="G376" s="126"/>
      <c r="H376" s="123">
        <f t="shared" si="2"/>
        <v>0</v>
      </c>
      <c r="I376" s="124"/>
    </row>
    <row r="377" ht="15.75" customHeight="1">
      <c r="A377" s="32"/>
      <c r="D377" s="75"/>
      <c r="E377" s="125"/>
      <c r="F377" s="121">
        <f t="shared" si="1"/>
        <v>0</v>
      </c>
      <c r="G377" s="126"/>
      <c r="H377" s="123">
        <f t="shared" si="2"/>
        <v>0</v>
      </c>
      <c r="I377" s="124"/>
    </row>
    <row r="378" ht="15.75" customHeight="1">
      <c r="A378" s="32"/>
      <c r="D378" s="75"/>
      <c r="E378" s="125"/>
      <c r="F378" s="121">
        <f t="shared" si="1"/>
        <v>0</v>
      </c>
      <c r="G378" s="126"/>
      <c r="H378" s="123">
        <f t="shared" si="2"/>
        <v>0</v>
      </c>
      <c r="I378" s="124"/>
    </row>
    <row r="379" ht="15.75" customHeight="1">
      <c r="A379" s="32"/>
      <c r="D379" s="75"/>
      <c r="E379" s="125"/>
      <c r="F379" s="121">
        <f t="shared" si="1"/>
        <v>0</v>
      </c>
      <c r="G379" s="126"/>
      <c r="H379" s="123">
        <f t="shared" si="2"/>
        <v>0</v>
      </c>
      <c r="I379" s="124"/>
    </row>
    <row r="380" ht="15.75" customHeight="1">
      <c r="A380" s="32"/>
      <c r="D380" s="75"/>
      <c r="E380" s="125"/>
      <c r="F380" s="121">
        <f t="shared" si="1"/>
        <v>0</v>
      </c>
      <c r="G380" s="126"/>
      <c r="H380" s="123">
        <f t="shared" si="2"/>
        <v>0</v>
      </c>
      <c r="I380" s="124"/>
    </row>
    <row r="381" ht="15.75" customHeight="1">
      <c r="A381" s="32"/>
      <c r="D381" s="75"/>
      <c r="E381" s="125"/>
      <c r="F381" s="121">
        <f t="shared" si="1"/>
        <v>0</v>
      </c>
      <c r="G381" s="126"/>
      <c r="H381" s="123">
        <f t="shared" si="2"/>
        <v>0</v>
      </c>
      <c r="I381" s="124"/>
    </row>
    <row r="382" ht="15.75" customHeight="1">
      <c r="A382" s="32"/>
      <c r="D382" s="75"/>
      <c r="E382" s="125"/>
      <c r="F382" s="121">
        <f t="shared" si="1"/>
        <v>0</v>
      </c>
      <c r="G382" s="126"/>
      <c r="H382" s="123">
        <f t="shared" si="2"/>
        <v>0</v>
      </c>
      <c r="I382" s="124"/>
    </row>
    <row r="383" ht="15.75" customHeight="1">
      <c r="A383" s="32"/>
      <c r="D383" s="75"/>
      <c r="E383" s="125"/>
      <c r="F383" s="121">
        <f t="shared" si="1"/>
        <v>0</v>
      </c>
      <c r="G383" s="126"/>
      <c r="H383" s="123">
        <f t="shared" si="2"/>
        <v>0</v>
      </c>
      <c r="I383" s="124"/>
    </row>
    <row r="384" ht="15.75" customHeight="1">
      <c r="A384" s="32"/>
      <c r="D384" s="75"/>
      <c r="E384" s="125"/>
      <c r="F384" s="121">
        <f t="shared" si="1"/>
        <v>0</v>
      </c>
      <c r="G384" s="126"/>
      <c r="H384" s="123">
        <f t="shared" si="2"/>
        <v>0</v>
      </c>
      <c r="I384" s="124"/>
    </row>
    <row r="385" ht="15.75" customHeight="1">
      <c r="A385" s="32"/>
      <c r="D385" s="75"/>
      <c r="E385" s="125"/>
      <c r="F385" s="121">
        <f t="shared" si="1"/>
        <v>0</v>
      </c>
      <c r="G385" s="126"/>
      <c r="H385" s="123">
        <f t="shared" si="2"/>
        <v>0</v>
      </c>
      <c r="I385" s="124"/>
    </row>
    <row r="386" ht="15.75" customHeight="1">
      <c r="A386" s="32"/>
      <c r="D386" s="75"/>
      <c r="E386" s="125"/>
      <c r="F386" s="121">
        <f t="shared" si="1"/>
        <v>0</v>
      </c>
      <c r="G386" s="126"/>
      <c r="H386" s="123">
        <f t="shared" si="2"/>
        <v>0</v>
      </c>
      <c r="I386" s="124"/>
    </row>
    <row r="387" ht="15.75" customHeight="1">
      <c r="A387" s="32"/>
      <c r="D387" s="75"/>
      <c r="E387" s="125"/>
      <c r="F387" s="121">
        <f t="shared" si="1"/>
        <v>0</v>
      </c>
      <c r="G387" s="126"/>
      <c r="H387" s="123">
        <f t="shared" si="2"/>
        <v>0</v>
      </c>
      <c r="I387" s="124"/>
    </row>
    <row r="388" ht="15.75" customHeight="1">
      <c r="A388" s="32"/>
      <c r="D388" s="75"/>
      <c r="E388" s="125"/>
      <c r="F388" s="121">
        <f t="shared" si="1"/>
        <v>0</v>
      </c>
      <c r="G388" s="126"/>
      <c r="H388" s="123">
        <f t="shared" si="2"/>
        <v>0</v>
      </c>
      <c r="I388" s="124"/>
    </row>
    <row r="389" ht="15.75" customHeight="1">
      <c r="A389" s="32"/>
      <c r="D389" s="75"/>
      <c r="E389" s="125"/>
      <c r="F389" s="121">
        <f t="shared" si="1"/>
        <v>0</v>
      </c>
      <c r="G389" s="126"/>
      <c r="H389" s="123">
        <f t="shared" si="2"/>
        <v>0</v>
      </c>
      <c r="I389" s="124"/>
    </row>
    <row r="390" ht="15.75" customHeight="1">
      <c r="A390" s="32"/>
      <c r="D390" s="75"/>
      <c r="E390" s="125"/>
      <c r="F390" s="121">
        <f t="shared" si="1"/>
        <v>0</v>
      </c>
      <c r="G390" s="126"/>
      <c r="H390" s="123">
        <f t="shared" si="2"/>
        <v>0</v>
      </c>
      <c r="I390" s="124"/>
    </row>
    <row r="391" ht="15.75" customHeight="1">
      <c r="A391" s="32"/>
      <c r="D391" s="75"/>
      <c r="E391" s="125"/>
      <c r="F391" s="121">
        <f t="shared" si="1"/>
        <v>0</v>
      </c>
      <c r="G391" s="126"/>
      <c r="H391" s="123">
        <f t="shared" si="2"/>
        <v>0</v>
      </c>
      <c r="I391" s="124"/>
    </row>
    <row r="392" ht="15.75" customHeight="1">
      <c r="A392" s="32"/>
      <c r="D392" s="75"/>
      <c r="E392" s="125"/>
      <c r="F392" s="121">
        <f t="shared" si="1"/>
        <v>0</v>
      </c>
      <c r="G392" s="126"/>
      <c r="H392" s="123">
        <f t="shared" si="2"/>
        <v>0</v>
      </c>
      <c r="I392" s="124"/>
    </row>
    <row r="393" ht="15.75" customHeight="1">
      <c r="A393" s="32"/>
      <c r="D393" s="75"/>
      <c r="E393" s="125"/>
      <c r="F393" s="121">
        <f t="shared" si="1"/>
        <v>0</v>
      </c>
      <c r="G393" s="126"/>
      <c r="H393" s="123">
        <f t="shared" si="2"/>
        <v>0</v>
      </c>
      <c r="I393" s="124"/>
    </row>
    <row r="394" ht="15.75" customHeight="1">
      <c r="A394" s="32"/>
      <c r="D394" s="75"/>
      <c r="E394" s="125"/>
      <c r="F394" s="121">
        <f t="shared" si="1"/>
        <v>0</v>
      </c>
      <c r="G394" s="126"/>
      <c r="H394" s="123">
        <f t="shared" si="2"/>
        <v>0</v>
      </c>
      <c r="I394" s="124"/>
    </row>
    <row r="395" ht="15.75" customHeight="1">
      <c r="A395" s="32"/>
      <c r="D395" s="75"/>
      <c r="E395" s="125"/>
      <c r="F395" s="121">
        <f t="shared" si="1"/>
        <v>0</v>
      </c>
      <c r="G395" s="126"/>
      <c r="H395" s="123">
        <f t="shared" si="2"/>
        <v>0</v>
      </c>
      <c r="I395" s="124"/>
    </row>
    <row r="396" ht="15.75" customHeight="1">
      <c r="A396" s="32"/>
      <c r="D396" s="75"/>
      <c r="E396" s="125"/>
      <c r="F396" s="121">
        <f t="shared" si="1"/>
        <v>0</v>
      </c>
      <c r="G396" s="126"/>
      <c r="H396" s="123">
        <f t="shared" si="2"/>
        <v>0</v>
      </c>
      <c r="I396" s="124"/>
    </row>
    <row r="397" ht="15.75" customHeight="1">
      <c r="A397" s="32"/>
      <c r="D397" s="75"/>
      <c r="E397" s="125"/>
      <c r="F397" s="121">
        <f t="shared" si="1"/>
        <v>0</v>
      </c>
      <c r="G397" s="126"/>
      <c r="H397" s="123">
        <f t="shared" si="2"/>
        <v>0</v>
      </c>
      <c r="I397" s="124"/>
    </row>
    <row r="398" ht="15.75" customHeight="1">
      <c r="A398" s="32"/>
      <c r="D398" s="75"/>
      <c r="E398" s="125"/>
      <c r="F398" s="121">
        <f t="shared" si="1"/>
        <v>0</v>
      </c>
      <c r="G398" s="126"/>
      <c r="H398" s="123">
        <f t="shared" si="2"/>
        <v>0</v>
      </c>
      <c r="I398" s="124"/>
    </row>
    <row r="399" ht="15.75" customHeight="1">
      <c r="A399" s="32"/>
      <c r="D399" s="75"/>
      <c r="E399" s="125"/>
      <c r="F399" s="121">
        <f t="shared" si="1"/>
        <v>0</v>
      </c>
      <c r="G399" s="126"/>
      <c r="H399" s="123">
        <f t="shared" si="2"/>
        <v>0</v>
      </c>
      <c r="I399" s="124"/>
    </row>
    <row r="400" ht="15.75" customHeight="1">
      <c r="A400" s="32"/>
      <c r="D400" s="75"/>
      <c r="E400" s="125"/>
      <c r="F400" s="121">
        <f t="shared" si="1"/>
        <v>0</v>
      </c>
      <c r="G400" s="126"/>
      <c r="H400" s="123">
        <f t="shared" si="2"/>
        <v>0</v>
      </c>
      <c r="I400" s="124"/>
    </row>
    <row r="401" ht="15.75" customHeight="1">
      <c r="A401" s="32"/>
      <c r="D401" s="75"/>
      <c r="E401" s="125"/>
      <c r="F401" s="121">
        <f t="shared" si="1"/>
        <v>0</v>
      </c>
      <c r="G401" s="126"/>
      <c r="H401" s="123">
        <f t="shared" si="2"/>
        <v>0</v>
      </c>
      <c r="I401" s="124"/>
    </row>
    <row r="402" ht="15.75" customHeight="1">
      <c r="A402" s="32"/>
      <c r="D402" s="75"/>
      <c r="E402" s="125"/>
      <c r="F402" s="121">
        <f t="shared" si="1"/>
        <v>0</v>
      </c>
      <c r="G402" s="126"/>
      <c r="H402" s="123">
        <f t="shared" si="2"/>
        <v>0</v>
      </c>
      <c r="I402" s="124"/>
    </row>
    <row r="403" ht="15.75" customHeight="1">
      <c r="A403" s="32"/>
      <c r="D403" s="75"/>
      <c r="E403" s="125"/>
      <c r="F403" s="121">
        <f t="shared" si="1"/>
        <v>0</v>
      </c>
      <c r="G403" s="126"/>
      <c r="H403" s="123">
        <f t="shared" si="2"/>
        <v>0</v>
      </c>
      <c r="I403" s="124"/>
    </row>
    <row r="404" ht="15.75" customHeight="1">
      <c r="A404" s="32"/>
      <c r="D404" s="75"/>
      <c r="E404" s="125"/>
      <c r="F404" s="121">
        <f t="shared" si="1"/>
        <v>0</v>
      </c>
      <c r="G404" s="126"/>
      <c r="H404" s="123">
        <f t="shared" si="2"/>
        <v>0</v>
      </c>
      <c r="I404" s="124"/>
    </row>
    <row r="405" ht="15.75" customHeight="1">
      <c r="A405" s="32"/>
      <c r="D405" s="75"/>
      <c r="E405" s="125"/>
      <c r="F405" s="121">
        <f t="shared" si="1"/>
        <v>0</v>
      </c>
      <c r="G405" s="126"/>
      <c r="H405" s="123">
        <f t="shared" si="2"/>
        <v>0</v>
      </c>
      <c r="I405" s="124"/>
    </row>
    <row r="406" ht="15.75" customHeight="1">
      <c r="A406" s="32"/>
      <c r="D406" s="75"/>
      <c r="E406" s="125"/>
      <c r="F406" s="121">
        <f t="shared" si="1"/>
        <v>0</v>
      </c>
      <c r="G406" s="126"/>
      <c r="H406" s="123">
        <f t="shared" si="2"/>
        <v>0</v>
      </c>
      <c r="I406" s="124"/>
    </row>
    <row r="407" ht="15.75" customHeight="1">
      <c r="A407" s="32"/>
      <c r="D407" s="75"/>
      <c r="E407" s="125"/>
      <c r="F407" s="121">
        <f t="shared" si="1"/>
        <v>0</v>
      </c>
      <c r="G407" s="126"/>
      <c r="H407" s="123">
        <f t="shared" si="2"/>
        <v>0</v>
      </c>
      <c r="I407" s="124"/>
    </row>
    <row r="408" ht="15.75" customHeight="1">
      <c r="A408" s="32"/>
      <c r="D408" s="75"/>
      <c r="E408" s="125"/>
      <c r="F408" s="121">
        <f t="shared" si="1"/>
        <v>0</v>
      </c>
      <c r="G408" s="126"/>
      <c r="H408" s="123">
        <f t="shared" si="2"/>
        <v>0</v>
      </c>
      <c r="I408" s="124"/>
    </row>
    <row r="409" ht="15.75" customHeight="1">
      <c r="A409" s="32"/>
      <c r="D409" s="75"/>
      <c r="E409" s="125"/>
      <c r="F409" s="121">
        <f t="shared" si="1"/>
        <v>0</v>
      </c>
      <c r="G409" s="126"/>
      <c r="H409" s="123">
        <f t="shared" si="2"/>
        <v>0</v>
      </c>
      <c r="I409" s="124"/>
    </row>
    <row r="410" ht="15.75" customHeight="1">
      <c r="A410" s="32"/>
      <c r="D410" s="75"/>
      <c r="E410" s="125"/>
      <c r="F410" s="121">
        <f t="shared" si="1"/>
        <v>0</v>
      </c>
      <c r="G410" s="126"/>
      <c r="H410" s="123">
        <f t="shared" si="2"/>
        <v>0</v>
      </c>
      <c r="I410" s="124"/>
    </row>
    <row r="411" ht="15.75" customHeight="1">
      <c r="A411" s="32"/>
      <c r="D411" s="75"/>
      <c r="E411" s="125"/>
      <c r="F411" s="121">
        <f t="shared" si="1"/>
        <v>0</v>
      </c>
      <c r="G411" s="126"/>
      <c r="H411" s="123">
        <f t="shared" si="2"/>
        <v>0</v>
      </c>
      <c r="I411" s="124"/>
    </row>
    <row r="412" ht="15.75" customHeight="1">
      <c r="A412" s="32"/>
      <c r="D412" s="75"/>
      <c r="E412" s="125"/>
      <c r="F412" s="121">
        <f t="shared" si="1"/>
        <v>0</v>
      </c>
      <c r="G412" s="126"/>
      <c r="H412" s="123">
        <f t="shared" si="2"/>
        <v>0</v>
      </c>
      <c r="I412" s="124"/>
    </row>
    <row r="413" ht="15.75" customHeight="1">
      <c r="A413" s="32"/>
      <c r="D413" s="75"/>
      <c r="E413" s="125"/>
      <c r="F413" s="121">
        <f t="shared" si="1"/>
        <v>0</v>
      </c>
      <c r="G413" s="126"/>
      <c r="H413" s="123">
        <f t="shared" si="2"/>
        <v>0</v>
      </c>
      <c r="I413" s="124"/>
    </row>
    <row r="414" ht="15.75" customHeight="1">
      <c r="A414" s="32"/>
      <c r="D414" s="75"/>
      <c r="E414" s="125"/>
      <c r="F414" s="121">
        <f t="shared" si="1"/>
        <v>0</v>
      </c>
      <c r="G414" s="126"/>
      <c r="H414" s="123">
        <f t="shared" si="2"/>
        <v>0</v>
      </c>
      <c r="I414" s="124"/>
    </row>
    <row r="415" ht="15.75" customHeight="1">
      <c r="A415" s="32"/>
      <c r="D415" s="75"/>
      <c r="E415" s="125"/>
      <c r="F415" s="121">
        <f t="shared" si="1"/>
        <v>0</v>
      </c>
      <c r="G415" s="126"/>
      <c r="H415" s="123">
        <f t="shared" si="2"/>
        <v>0</v>
      </c>
      <c r="I415" s="124"/>
    </row>
    <row r="416" ht="15.75" customHeight="1">
      <c r="A416" s="32"/>
      <c r="D416" s="75"/>
      <c r="E416" s="125"/>
      <c r="F416" s="121">
        <f t="shared" si="1"/>
        <v>0</v>
      </c>
      <c r="G416" s="126"/>
      <c r="H416" s="123">
        <f t="shared" si="2"/>
        <v>0</v>
      </c>
      <c r="I416" s="124"/>
    </row>
    <row r="417" ht="15.75" customHeight="1">
      <c r="A417" s="32"/>
      <c r="D417" s="75"/>
      <c r="E417" s="125"/>
      <c r="F417" s="121">
        <f t="shared" si="1"/>
        <v>0</v>
      </c>
      <c r="G417" s="126"/>
      <c r="H417" s="123">
        <f t="shared" si="2"/>
        <v>0</v>
      </c>
      <c r="I417" s="124"/>
    </row>
    <row r="418" ht="15.75" customHeight="1">
      <c r="A418" s="32"/>
      <c r="D418" s="75"/>
      <c r="E418" s="125"/>
      <c r="F418" s="121">
        <f t="shared" si="1"/>
        <v>0</v>
      </c>
      <c r="G418" s="126"/>
      <c r="H418" s="123">
        <f t="shared" si="2"/>
        <v>0</v>
      </c>
      <c r="I418" s="124"/>
    </row>
    <row r="419" ht="15.75" customHeight="1">
      <c r="A419" s="32"/>
      <c r="D419" s="75"/>
      <c r="E419" s="125"/>
      <c r="F419" s="121">
        <f t="shared" si="1"/>
        <v>0</v>
      </c>
      <c r="G419" s="126"/>
      <c r="H419" s="123">
        <f t="shared" si="2"/>
        <v>0</v>
      </c>
      <c r="I419" s="124"/>
    </row>
    <row r="420" ht="15.75" customHeight="1">
      <c r="A420" s="32"/>
      <c r="D420" s="75"/>
      <c r="E420" s="125"/>
      <c r="F420" s="121">
        <f t="shared" si="1"/>
        <v>0</v>
      </c>
      <c r="G420" s="126"/>
      <c r="H420" s="123">
        <f t="shared" si="2"/>
        <v>0</v>
      </c>
      <c r="I420" s="124"/>
    </row>
    <row r="421" ht="15.75" customHeight="1">
      <c r="A421" s="32"/>
      <c r="D421" s="75"/>
      <c r="E421" s="125"/>
      <c r="F421" s="121">
        <f t="shared" si="1"/>
        <v>0</v>
      </c>
      <c r="G421" s="126"/>
      <c r="H421" s="123">
        <f t="shared" si="2"/>
        <v>0</v>
      </c>
      <c r="I421" s="124"/>
    </row>
    <row r="422" ht="15.75" customHeight="1">
      <c r="A422" s="32"/>
      <c r="D422" s="75"/>
      <c r="E422" s="125"/>
      <c r="F422" s="121">
        <f t="shared" si="1"/>
        <v>0</v>
      </c>
      <c r="G422" s="126"/>
      <c r="H422" s="123">
        <f t="shared" si="2"/>
        <v>0</v>
      </c>
      <c r="I422" s="124"/>
    </row>
    <row r="423" ht="15.75" customHeight="1">
      <c r="A423" s="32"/>
      <c r="D423" s="75"/>
      <c r="E423" s="125"/>
      <c r="F423" s="121">
        <f t="shared" si="1"/>
        <v>0</v>
      </c>
      <c r="G423" s="126"/>
      <c r="H423" s="123">
        <f t="shared" si="2"/>
        <v>0</v>
      </c>
      <c r="I423" s="124"/>
    </row>
    <row r="424" ht="15.75" customHeight="1">
      <c r="A424" s="32"/>
      <c r="D424" s="75"/>
      <c r="E424" s="125"/>
      <c r="F424" s="121">
        <f t="shared" si="1"/>
        <v>0</v>
      </c>
      <c r="G424" s="126"/>
      <c r="H424" s="123">
        <f t="shared" si="2"/>
        <v>0</v>
      </c>
      <c r="I424" s="124"/>
    </row>
    <row r="425" ht="15.75" customHeight="1">
      <c r="A425" s="32"/>
      <c r="D425" s="75"/>
      <c r="E425" s="125"/>
      <c r="F425" s="121">
        <f t="shared" si="1"/>
        <v>0</v>
      </c>
      <c r="G425" s="126"/>
      <c r="H425" s="123">
        <f t="shared" si="2"/>
        <v>0</v>
      </c>
      <c r="I425" s="124"/>
    </row>
    <row r="426" ht="15.75" customHeight="1">
      <c r="A426" s="32"/>
      <c r="D426" s="75"/>
      <c r="E426" s="125"/>
      <c r="F426" s="121">
        <f t="shared" si="1"/>
        <v>0</v>
      </c>
      <c r="G426" s="126"/>
      <c r="H426" s="123">
        <f t="shared" si="2"/>
        <v>0</v>
      </c>
      <c r="I426" s="124"/>
    </row>
    <row r="427" ht="15.75" customHeight="1">
      <c r="A427" s="32"/>
      <c r="D427" s="75"/>
      <c r="E427" s="125"/>
      <c r="F427" s="121">
        <f t="shared" si="1"/>
        <v>0</v>
      </c>
      <c r="G427" s="126"/>
      <c r="H427" s="123">
        <f t="shared" si="2"/>
        <v>0</v>
      </c>
      <c r="I427" s="124"/>
    </row>
    <row r="428" ht="15.75" customHeight="1">
      <c r="A428" s="32"/>
      <c r="D428" s="75"/>
      <c r="E428" s="125"/>
      <c r="F428" s="121">
        <f t="shared" si="1"/>
        <v>0</v>
      </c>
      <c r="G428" s="126"/>
      <c r="H428" s="123">
        <f t="shared" si="2"/>
        <v>0</v>
      </c>
      <c r="I428" s="124"/>
    </row>
    <row r="429" ht="15.75" customHeight="1">
      <c r="A429" s="32"/>
      <c r="D429" s="75"/>
      <c r="E429" s="125"/>
      <c r="F429" s="121">
        <f t="shared" si="1"/>
        <v>0</v>
      </c>
      <c r="G429" s="126"/>
      <c r="H429" s="123">
        <f t="shared" si="2"/>
        <v>0</v>
      </c>
      <c r="I429" s="124"/>
    </row>
    <row r="430" ht="15.75" customHeight="1">
      <c r="A430" s="32"/>
      <c r="D430" s="75"/>
      <c r="E430" s="125"/>
      <c r="F430" s="121">
        <f t="shared" si="1"/>
        <v>0</v>
      </c>
      <c r="G430" s="126"/>
      <c r="H430" s="123">
        <f t="shared" si="2"/>
        <v>0</v>
      </c>
      <c r="I430" s="124"/>
    </row>
    <row r="431" ht="15.75" customHeight="1">
      <c r="A431" s="32"/>
      <c r="D431" s="75"/>
      <c r="E431" s="125"/>
      <c r="F431" s="121">
        <f t="shared" si="1"/>
        <v>0</v>
      </c>
      <c r="G431" s="126"/>
      <c r="H431" s="123">
        <f t="shared" si="2"/>
        <v>0</v>
      </c>
      <c r="I431" s="124"/>
    </row>
    <row r="432" ht="15.75" customHeight="1">
      <c r="A432" s="32"/>
      <c r="D432" s="75"/>
      <c r="E432" s="125"/>
      <c r="F432" s="121">
        <f t="shared" si="1"/>
        <v>0</v>
      </c>
      <c r="G432" s="126"/>
      <c r="H432" s="123">
        <f t="shared" si="2"/>
        <v>0</v>
      </c>
      <c r="I432" s="124"/>
    </row>
    <row r="433" ht="15.75" customHeight="1">
      <c r="A433" s="32"/>
      <c r="D433" s="75"/>
      <c r="E433" s="125"/>
      <c r="F433" s="121">
        <f t="shared" si="1"/>
        <v>0</v>
      </c>
      <c r="G433" s="126"/>
      <c r="H433" s="123">
        <f t="shared" si="2"/>
        <v>0</v>
      </c>
      <c r="I433" s="124"/>
    </row>
    <row r="434" ht="15.75" customHeight="1">
      <c r="A434" s="32"/>
      <c r="D434" s="75"/>
      <c r="E434" s="125"/>
      <c r="F434" s="121">
        <f t="shared" si="1"/>
        <v>0</v>
      </c>
      <c r="G434" s="126"/>
      <c r="H434" s="123">
        <f t="shared" si="2"/>
        <v>0</v>
      </c>
      <c r="I434" s="124"/>
    </row>
    <row r="435" ht="15.75" customHeight="1">
      <c r="A435" s="32"/>
      <c r="D435" s="75"/>
      <c r="E435" s="125"/>
      <c r="F435" s="121">
        <f t="shared" si="1"/>
        <v>0</v>
      </c>
      <c r="G435" s="126"/>
      <c r="H435" s="123">
        <f t="shared" si="2"/>
        <v>0</v>
      </c>
      <c r="I435" s="124"/>
    </row>
    <row r="436" ht="15.75" customHeight="1">
      <c r="A436" s="32"/>
      <c r="D436" s="75"/>
      <c r="E436" s="125"/>
      <c r="F436" s="121">
        <f t="shared" si="1"/>
        <v>0</v>
      </c>
      <c r="G436" s="126"/>
      <c r="H436" s="123">
        <f t="shared" si="2"/>
        <v>0</v>
      </c>
      <c r="I436" s="124"/>
    </row>
    <row r="437" ht="15.75" customHeight="1">
      <c r="A437" s="32"/>
      <c r="D437" s="75"/>
      <c r="E437" s="125"/>
      <c r="F437" s="121">
        <f t="shared" si="1"/>
        <v>0</v>
      </c>
      <c r="G437" s="126"/>
      <c r="H437" s="123">
        <f t="shared" si="2"/>
        <v>0</v>
      </c>
      <c r="I437" s="124"/>
    </row>
    <row r="438" ht="15.75" customHeight="1">
      <c r="A438" s="32"/>
      <c r="D438" s="75"/>
      <c r="E438" s="125"/>
      <c r="F438" s="121">
        <f t="shared" si="1"/>
        <v>0</v>
      </c>
      <c r="G438" s="126"/>
      <c r="H438" s="123">
        <f t="shared" si="2"/>
        <v>0</v>
      </c>
      <c r="I438" s="124"/>
    </row>
    <row r="439" ht="15.75" customHeight="1">
      <c r="A439" s="32"/>
      <c r="D439" s="75"/>
      <c r="E439" s="125"/>
      <c r="F439" s="121">
        <f t="shared" si="1"/>
        <v>0</v>
      </c>
      <c r="G439" s="126"/>
      <c r="H439" s="123">
        <f t="shared" si="2"/>
        <v>0</v>
      </c>
      <c r="I439" s="124"/>
    </row>
    <row r="440" ht="15.75" customHeight="1">
      <c r="A440" s="32"/>
      <c r="D440" s="75"/>
      <c r="E440" s="125"/>
      <c r="F440" s="121">
        <f t="shared" si="1"/>
        <v>0</v>
      </c>
      <c r="G440" s="126"/>
      <c r="H440" s="123">
        <f t="shared" si="2"/>
        <v>0</v>
      </c>
      <c r="I440" s="124"/>
    </row>
    <row r="441" ht="15.75" customHeight="1">
      <c r="A441" s="32"/>
      <c r="D441" s="75"/>
      <c r="E441" s="125"/>
      <c r="F441" s="121">
        <f t="shared" si="1"/>
        <v>0</v>
      </c>
      <c r="G441" s="126"/>
      <c r="H441" s="123">
        <f t="shared" si="2"/>
        <v>0</v>
      </c>
      <c r="I441" s="124"/>
    </row>
    <row r="442" ht="15.75" customHeight="1">
      <c r="A442" s="32"/>
      <c r="D442" s="75"/>
      <c r="E442" s="125"/>
      <c r="F442" s="121">
        <f t="shared" si="1"/>
        <v>0</v>
      </c>
      <c r="G442" s="126"/>
      <c r="H442" s="123">
        <f t="shared" si="2"/>
        <v>0</v>
      </c>
      <c r="I442" s="124"/>
    </row>
    <row r="443" ht="15.75" customHeight="1">
      <c r="A443" s="32"/>
      <c r="D443" s="75"/>
      <c r="E443" s="125"/>
      <c r="F443" s="121">
        <f t="shared" si="1"/>
        <v>0</v>
      </c>
      <c r="G443" s="126"/>
      <c r="H443" s="123">
        <f t="shared" si="2"/>
        <v>0</v>
      </c>
      <c r="I443" s="124"/>
    </row>
    <row r="444" ht="15.75" customHeight="1">
      <c r="A444" s="32"/>
      <c r="D444" s="75"/>
      <c r="E444" s="125"/>
      <c r="F444" s="121">
        <f t="shared" si="1"/>
        <v>0</v>
      </c>
      <c r="G444" s="126"/>
      <c r="H444" s="123">
        <f t="shared" si="2"/>
        <v>0</v>
      </c>
      <c r="I444" s="124"/>
    </row>
    <row r="445" ht="15.75" customHeight="1">
      <c r="A445" s="32"/>
      <c r="D445" s="75"/>
      <c r="E445" s="125"/>
      <c r="F445" s="121">
        <f t="shared" si="1"/>
        <v>0</v>
      </c>
      <c r="G445" s="126"/>
      <c r="H445" s="123">
        <f t="shared" si="2"/>
        <v>0</v>
      </c>
      <c r="I445" s="124"/>
    </row>
    <row r="446" ht="15.75" customHeight="1">
      <c r="A446" s="32"/>
      <c r="D446" s="75"/>
      <c r="E446" s="125"/>
      <c r="F446" s="121">
        <f t="shared" si="1"/>
        <v>0</v>
      </c>
      <c r="G446" s="126"/>
      <c r="H446" s="123">
        <f t="shared" si="2"/>
        <v>0</v>
      </c>
      <c r="I446" s="124"/>
    </row>
    <row r="447" ht="15.75" customHeight="1">
      <c r="A447" s="32"/>
      <c r="D447" s="75"/>
      <c r="E447" s="125"/>
      <c r="F447" s="121">
        <f t="shared" si="1"/>
        <v>0</v>
      </c>
      <c r="G447" s="126"/>
      <c r="H447" s="123">
        <f t="shared" si="2"/>
        <v>0</v>
      </c>
      <c r="I447" s="124"/>
    </row>
    <row r="448" ht="15.75" customHeight="1">
      <c r="A448" s="32"/>
      <c r="D448" s="75"/>
      <c r="E448" s="125"/>
      <c r="F448" s="121">
        <f t="shared" si="1"/>
        <v>0</v>
      </c>
      <c r="G448" s="126"/>
      <c r="H448" s="123">
        <f t="shared" si="2"/>
        <v>0</v>
      </c>
      <c r="I448" s="124"/>
    </row>
    <row r="449" ht="15.75" customHeight="1">
      <c r="A449" s="32"/>
      <c r="D449" s="75"/>
      <c r="E449" s="125"/>
      <c r="F449" s="121">
        <f t="shared" si="1"/>
        <v>0</v>
      </c>
      <c r="G449" s="126"/>
      <c r="H449" s="123">
        <f t="shared" si="2"/>
        <v>0</v>
      </c>
      <c r="I449" s="124"/>
    </row>
    <row r="450" ht="15.75" customHeight="1">
      <c r="A450" s="32"/>
      <c r="D450" s="75"/>
      <c r="E450" s="125"/>
      <c r="F450" s="121">
        <f t="shared" si="1"/>
        <v>0</v>
      </c>
      <c r="G450" s="126"/>
      <c r="H450" s="123">
        <f t="shared" si="2"/>
        <v>0</v>
      </c>
      <c r="I450" s="124"/>
    </row>
    <row r="451" ht="15.75" customHeight="1">
      <c r="A451" s="32"/>
      <c r="D451" s="75"/>
      <c r="E451" s="125"/>
      <c r="F451" s="121">
        <f t="shared" si="1"/>
        <v>0</v>
      </c>
      <c r="G451" s="126"/>
      <c r="H451" s="123">
        <f t="shared" si="2"/>
        <v>0</v>
      </c>
      <c r="I451" s="124"/>
    </row>
    <row r="452" ht="15.75" customHeight="1">
      <c r="A452" s="32"/>
      <c r="D452" s="75"/>
      <c r="E452" s="125"/>
      <c r="F452" s="121">
        <f t="shared" si="1"/>
        <v>0</v>
      </c>
      <c r="G452" s="126"/>
      <c r="H452" s="123">
        <f t="shared" si="2"/>
        <v>0</v>
      </c>
      <c r="I452" s="124"/>
    </row>
    <row r="453" ht="15.75" customHeight="1">
      <c r="A453" s="32"/>
      <c r="D453" s="75"/>
      <c r="E453" s="125"/>
      <c r="F453" s="121">
        <f t="shared" si="1"/>
        <v>0</v>
      </c>
      <c r="G453" s="126"/>
      <c r="H453" s="123">
        <f t="shared" si="2"/>
        <v>0</v>
      </c>
      <c r="I453" s="124"/>
    </row>
    <row r="454" ht="15.75" customHeight="1">
      <c r="A454" s="32"/>
      <c r="D454" s="75"/>
      <c r="E454" s="125"/>
      <c r="F454" s="121">
        <f t="shared" si="1"/>
        <v>0</v>
      </c>
      <c r="G454" s="126"/>
      <c r="H454" s="123">
        <f t="shared" si="2"/>
        <v>0</v>
      </c>
      <c r="I454" s="124"/>
    </row>
    <row r="455" ht="15.75" customHeight="1">
      <c r="A455" s="32"/>
      <c r="D455" s="75"/>
      <c r="E455" s="125"/>
      <c r="F455" s="121">
        <f t="shared" si="1"/>
        <v>0</v>
      </c>
      <c r="G455" s="126"/>
      <c r="H455" s="123">
        <f t="shared" si="2"/>
        <v>0</v>
      </c>
      <c r="I455" s="124"/>
    </row>
    <row r="456" ht="15.75" customHeight="1">
      <c r="A456" s="32"/>
      <c r="D456" s="75"/>
      <c r="E456" s="125"/>
      <c r="F456" s="121">
        <f t="shared" si="1"/>
        <v>0</v>
      </c>
      <c r="G456" s="126"/>
      <c r="H456" s="123">
        <f t="shared" si="2"/>
        <v>0</v>
      </c>
      <c r="I456" s="124"/>
    </row>
    <row r="457" ht="15.75" customHeight="1">
      <c r="A457" s="32"/>
      <c r="D457" s="75"/>
      <c r="E457" s="125"/>
      <c r="F457" s="121">
        <f t="shared" si="1"/>
        <v>0</v>
      </c>
      <c r="G457" s="126"/>
      <c r="H457" s="123">
        <f t="shared" si="2"/>
        <v>0</v>
      </c>
      <c r="I457" s="124"/>
    </row>
    <row r="458" ht="15.75" customHeight="1">
      <c r="A458" s="32"/>
      <c r="D458" s="75"/>
      <c r="E458" s="125"/>
      <c r="F458" s="121">
        <f t="shared" si="1"/>
        <v>0</v>
      </c>
      <c r="G458" s="126"/>
      <c r="H458" s="123">
        <f t="shared" si="2"/>
        <v>0</v>
      </c>
      <c r="I458" s="124"/>
    </row>
    <row r="459" ht="15.75" customHeight="1">
      <c r="A459" s="32"/>
      <c r="D459" s="75"/>
      <c r="E459" s="125"/>
      <c r="F459" s="121">
        <f t="shared" si="1"/>
        <v>0</v>
      </c>
      <c r="G459" s="126"/>
      <c r="H459" s="123">
        <f t="shared" si="2"/>
        <v>0</v>
      </c>
      <c r="I459" s="124"/>
    </row>
    <row r="460" ht="15.75" customHeight="1">
      <c r="A460" s="32"/>
      <c r="D460" s="75"/>
      <c r="E460" s="125"/>
      <c r="F460" s="121">
        <f t="shared" si="1"/>
        <v>0</v>
      </c>
      <c r="G460" s="126"/>
      <c r="H460" s="123">
        <f t="shared" si="2"/>
        <v>0</v>
      </c>
      <c r="I460" s="124"/>
    </row>
    <row r="461" ht="15.75" customHeight="1">
      <c r="A461" s="32"/>
      <c r="D461" s="75"/>
      <c r="E461" s="125"/>
      <c r="F461" s="121">
        <f t="shared" si="1"/>
        <v>0</v>
      </c>
      <c r="G461" s="126"/>
      <c r="H461" s="123">
        <f t="shared" si="2"/>
        <v>0</v>
      </c>
      <c r="I461" s="124"/>
    </row>
    <row r="462" ht="15.75" customHeight="1">
      <c r="A462" s="32"/>
      <c r="D462" s="75"/>
      <c r="E462" s="125"/>
      <c r="F462" s="121">
        <f t="shared" si="1"/>
        <v>0</v>
      </c>
      <c r="G462" s="126"/>
      <c r="H462" s="123">
        <f t="shared" si="2"/>
        <v>0</v>
      </c>
      <c r="I462" s="124"/>
    </row>
    <row r="463" ht="15.75" customHeight="1">
      <c r="A463" s="32"/>
      <c r="D463" s="75"/>
      <c r="E463" s="125"/>
      <c r="F463" s="121">
        <f t="shared" si="1"/>
        <v>0</v>
      </c>
      <c r="G463" s="126"/>
      <c r="H463" s="123">
        <f t="shared" si="2"/>
        <v>0</v>
      </c>
      <c r="I463" s="124"/>
    </row>
    <row r="464" ht="15.75" customHeight="1">
      <c r="A464" s="32"/>
      <c r="D464" s="75"/>
      <c r="E464" s="125"/>
      <c r="F464" s="121">
        <f t="shared" si="1"/>
        <v>0</v>
      </c>
      <c r="G464" s="126"/>
      <c r="H464" s="123">
        <f t="shared" si="2"/>
        <v>0</v>
      </c>
      <c r="I464" s="124"/>
    </row>
    <row r="465" ht="15.75" customHeight="1">
      <c r="A465" s="32"/>
      <c r="D465" s="75"/>
      <c r="E465" s="125"/>
      <c r="F465" s="121">
        <f t="shared" si="1"/>
        <v>0</v>
      </c>
      <c r="G465" s="126"/>
      <c r="H465" s="123">
        <f t="shared" si="2"/>
        <v>0</v>
      </c>
      <c r="I465" s="124"/>
    </row>
    <row r="466" ht="15.75" customHeight="1">
      <c r="A466" s="32"/>
      <c r="D466" s="75"/>
      <c r="E466" s="125"/>
      <c r="F466" s="121">
        <f t="shared" si="1"/>
        <v>0</v>
      </c>
      <c r="G466" s="126"/>
      <c r="H466" s="123">
        <f t="shared" si="2"/>
        <v>0</v>
      </c>
      <c r="I466" s="124"/>
    </row>
    <row r="467" ht="15.75" customHeight="1">
      <c r="A467" s="32"/>
      <c r="D467" s="75"/>
      <c r="E467" s="125"/>
      <c r="F467" s="121">
        <f t="shared" si="1"/>
        <v>0</v>
      </c>
      <c r="G467" s="126"/>
      <c r="H467" s="123">
        <f t="shared" si="2"/>
        <v>0</v>
      </c>
      <c r="I467" s="124"/>
    </row>
    <row r="468" ht="15.75" customHeight="1">
      <c r="A468" s="32"/>
      <c r="D468" s="75"/>
      <c r="E468" s="125"/>
      <c r="F468" s="121">
        <f t="shared" si="1"/>
        <v>0</v>
      </c>
      <c r="G468" s="126"/>
      <c r="H468" s="123">
        <f t="shared" si="2"/>
        <v>0</v>
      </c>
      <c r="I468" s="124"/>
    </row>
    <row r="469" ht="15.75" customHeight="1">
      <c r="A469" s="32"/>
      <c r="D469" s="75"/>
      <c r="E469" s="125"/>
      <c r="F469" s="121">
        <f t="shared" si="1"/>
        <v>0</v>
      </c>
      <c r="G469" s="126"/>
      <c r="H469" s="123">
        <f t="shared" si="2"/>
        <v>0</v>
      </c>
      <c r="I469" s="124"/>
    </row>
    <row r="470" ht="15.75" customHeight="1">
      <c r="A470" s="32"/>
      <c r="D470" s="75"/>
      <c r="E470" s="125"/>
      <c r="F470" s="121">
        <f t="shared" si="1"/>
        <v>0</v>
      </c>
      <c r="G470" s="126"/>
      <c r="H470" s="123">
        <f t="shared" si="2"/>
        <v>0</v>
      </c>
      <c r="I470" s="124"/>
    </row>
    <row r="471" ht="15.75" customHeight="1">
      <c r="A471" s="32"/>
      <c r="D471" s="75"/>
      <c r="E471" s="125"/>
      <c r="F471" s="121">
        <f t="shared" si="1"/>
        <v>0</v>
      </c>
      <c r="G471" s="126"/>
      <c r="H471" s="123">
        <f t="shared" si="2"/>
        <v>0</v>
      </c>
      <c r="I471" s="124"/>
    </row>
    <row r="472" ht="15.75" customHeight="1">
      <c r="A472" s="32"/>
      <c r="D472" s="75"/>
      <c r="E472" s="125"/>
      <c r="F472" s="121">
        <f t="shared" si="1"/>
        <v>0</v>
      </c>
      <c r="G472" s="126"/>
      <c r="H472" s="123">
        <f t="shared" si="2"/>
        <v>0</v>
      </c>
      <c r="I472" s="124"/>
    </row>
    <row r="473" ht="15.75" customHeight="1">
      <c r="A473" s="32"/>
      <c r="D473" s="75"/>
      <c r="E473" s="125"/>
      <c r="F473" s="121">
        <f t="shared" si="1"/>
        <v>0</v>
      </c>
      <c r="G473" s="126"/>
      <c r="H473" s="123">
        <f t="shared" si="2"/>
        <v>0</v>
      </c>
      <c r="I473" s="124"/>
    </row>
    <row r="474" ht="15.75" customHeight="1">
      <c r="A474" s="32"/>
      <c r="D474" s="75"/>
      <c r="E474" s="125"/>
      <c r="F474" s="121">
        <f t="shared" si="1"/>
        <v>0</v>
      </c>
      <c r="G474" s="126"/>
      <c r="H474" s="123">
        <f t="shared" si="2"/>
        <v>0</v>
      </c>
      <c r="I474" s="124"/>
    </row>
    <row r="475" ht="15.75" customHeight="1">
      <c r="A475" s="32"/>
      <c r="D475" s="75"/>
      <c r="E475" s="125"/>
      <c r="F475" s="121">
        <f t="shared" si="1"/>
        <v>0</v>
      </c>
      <c r="G475" s="126"/>
      <c r="H475" s="123">
        <f t="shared" si="2"/>
        <v>0</v>
      </c>
      <c r="I475" s="124"/>
    </row>
    <row r="476" ht="15.75" customHeight="1">
      <c r="A476" s="32"/>
      <c r="D476" s="75"/>
      <c r="E476" s="125"/>
      <c r="F476" s="121">
        <f t="shared" si="1"/>
        <v>0</v>
      </c>
      <c r="G476" s="126"/>
      <c r="H476" s="123">
        <f t="shared" si="2"/>
        <v>0</v>
      </c>
      <c r="I476" s="124"/>
    </row>
    <row r="477" ht="15.75" customHeight="1">
      <c r="A477" s="32"/>
      <c r="D477" s="75"/>
      <c r="E477" s="125"/>
      <c r="F477" s="121">
        <f t="shared" si="1"/>
        <v>0</v>
      </c>
      <c r="G477" s="126"/>
      <c r="H477" s="123">
        <f t="shared" si="2"/>
        <v>0</v>
      </c>
      <c r="I477" s="124"/>
    </row>
    <row r="478" ht="15.75" customHeight="1">
      <c r="A478" s="32"/>
      <c r="D478" s="75"/>
      <c r="E478" s="125"/>
      <c r="F478" s="121">
        <f t="shared" si="1"/>
        <v>0</v>
      </c>
      <c r="G478" s="126"/>
      <c r="H478" s="123">
        <f t="shared" si="2"/>
        <v>0</v>
      </c>
      <c r="I478" s="124"/>
    </row>
    <row r="479" ht="15.75" customHeight="1">
      <c r="A479" s="32"/>
      <c r="D479" s="75"/>
      <c r="E479" s="125"/>
      <c r="F479" s="121">
        <f t="shared" si="1"/>
        <v>0</v>
      </c>
      <c r="G479" s="126"/>
      <c r="H479" s="123">
        <f t="shared" si="2"/>
        <v>0</v>
      </c>
      <c r="I479" s="124"/>
    </row>
    <row r="480" ht="15.75" customHeight="1">
      <c r="A480" s="32"/>
      <c r="D480" s="75"/>
      <c r="E480" s="125"/>
      <c r="F480" s="121">
        <f t="shared" si="1"/>
        <v>0</v>
      </c>
      <c r="G480" s="126"/>
      <c r="H480" s="123">
        <f t="shared" si="2"/>
        <v>0</v>
      </c>
      <c r="I480" s="124"/>
    </row>
    <row r="481" ht="15.75" customHeight="1">
      <c r="A481" s="32"/>
      <c r="D481" s="75"/>
      <c r="E481" s="125"/>
      <c r="F481" s="121">
        <f t="shared" si="1"/>
        <v>0</v>
      </c>
      <c r="G481" s="126"/>
      <c r="H481" s="123">
        <f t="shared" si="2"/>
        <v>0</v>
      </c>
      <c r="I481" s="124"/>
    </row>
    <row r="482" ht="15.75" customHeight="1">
      <c r="A482" s="32"/>
      <c r="D482" s="75"/>
      <c r="E482" s="125"/>
      <c r="F482" s="121">
        <f t="shared" si="1"/>
        <v>0</v>
      </c>
      <c r="G482" s="126"/>
      <c r="H482" s="123">
        <f t="shared" si="2"/>
        <v>0</v>
      </c>
      <c r="I482" s="124"/>
    </row>
    <row r="483" ht="15.75" customHeight="1">
      <c r="A483" s="32"/>
      <c r="D483" s="75"/>
      <c r="E483" s="125"/>
      <c r="F483" s="121">
        <f t="shared" si="1"/>
        <v>0</v>
      </c>
      <c r="G483" s="126"/>
      <c r="H483" s="123">
        <f t="shared" si="2"/>
        <v>0</v>
      </c>
      <c r="I483" s="124"/>
    </row>
    <row r="484" ht="15.75" customHeight="1">
      <c r="A484" s="32"/>
      <c r="D484" s="75"/>
      <c r="E484" s="125"/>
      <c r="F484" s="121">
        <f t="shared" si="1"/>
        <v>0</v>
      </c>
      <c r="G484" s="126"/>
      <c r="H484" s="123">
        <f t="shared" si="2"/>
        <v>0</v>
      </c>
      <c r="I484" s="124"/>
    </row>
    <row r="485" ht="15.75" customHeight="1">
      <c r="A485" s="32"/>
      <c r="D485" s="75"/>
      <c r="E485" s="125"/>
      <c r="F485" s="121">
        <f t="shared" si="1"/>
        <v>0</v>
      </c>
      <c r="G485" s="126"/>
      <c r="H485" s="123">
        <f t="shared" si="2"/>
        <v>0</v>
      </c>
      <c r="I485" s="124"/>
    </row>
    <row r="486" ht="15.75" customHeight="1">
      <c r="A486" s="32"/>
      <c r="D486" s="75"/>
      <c r="E486" s="125"/>
      <c r="F486" s="121">
        <f t="shared" si="1"/>
        <v>0</v>
      </c>
      <c r="G486" s="126"/>
      <c r="H486" s="123">
        <f t="shared" si="2"/>
        <v>0</v>
      </c>
      <c r="I486" s="124"/>
    </row>
    <row r="487" ht="15.75" customHeight="1">
      <c r="A487" s="32"/>
      <c r="D487" s="75"/>
      <c r="E487" s="125"/>
      <c r="F487" s="121">
        <f t="shared" si="1"/>
        <v>0</v>
      </c>
      <c r="G487" s="126"/>
      <c r="H487" s="123">
        <f t="shared" si="2"/>
        <v>0</v>
      </c>
      <c r="I487" s="124"/>
    </row>
    <row r="488" ht="15.75" customHeight="1">
      <c r="A488" s="32"/>
      <c r="D488" s="75"/>
      <c r="E488" s="125"/>
      <c r="F488" s="121">
        <f t="shared" si="1"/>
        <v>0</v>
      </c>
      <c r="G488" s="126"/>
      <c r="H488" s="123">
        <f t="shared" si="2"/>
        <v>0</v>
      </c>
      <c r="I488" s="124"/>
    </row>
    <row r="489" ht="15.75" customHeight="1">
      <c r="A489" s="32"/>
      <c r="D489" s="75"/>
      <c r="E489" s="125"/>
      <c r="F489" s="121">
        <f t="shared" si="1"/>
        <v>0</v>
      </c>
      <c r="G489" s="126"/>
      <c r="H489" s="123">
        <f t="shared" si="2"/>
        <v>0</v>
      </c>
      <c r="I489" s="124"/>
    </row>
    <row r="490" ht="15.75" customHeight="1">
      <c r="A490" s="32"/>
      <c r="D490" s="75"/>
      <c r="E490" s="125"/>
      <c r="F490" s="121">
        <f t="shared" si="1"/>
        <v>0</v>
      </c>
      <c r="G490" s="126"/>
      <c r="H490" s="123">
        <f t="shared" si="2"/>
        <v>0</v>
      </c>
      <c r="I490" s="124"/>
    </row>
    <row r="491" ht="15.75" customHeight="1">
      <c r="A491" s="32"/>
      <c r="D491" s="75"/>
      <c r="E491" s="125"/>
      <c r="F491" s="121">
        <f t="shared" si="1"/>
        <v>0</v>
      </c>
      <c r="G491" s="126"/>
      <c r="H491" s="123">
        <f t="shared" si="2"/>
        <v>0</v>
      </c>
      <c r="I491" s="124"/>
    </row>
    <row r="492" ht="15.75" customHeight="1">
      <c r="A492" s="32"/>
      <c r="D492" s="75"/>
      <c r="E492" s="125"/>
      <c r="F492" s="121">
        <f t="shared" si="1"/>
        <v>0</v>
      </c>
      <c r="G492" s="126"/>
      <c r="H492" s="123">
        <f t="shared" si="2"/>
        <v>0</v>
      </c>
      <c r="I492" s="124"/>
    </row>
    <row r="493" ht="15.75" customHeight="1">
      <c r="A493" s="32"/>
      <c r="D493" s="75"/>
      <c r="E493" s="125"/>
      <c r="F493" s="121">
        <f t="shared" si="1"/>
        <v>0</v>
      </c>
      <c r="G493" s="126"/>
      <c r="H493" s="123">
        <f t="shared" si="2"/>
        <v>0</v>
      </c>
      <c r="I493" s="124"/>
    </row>
    <row r="494" ht="15.75" customHeight="1">
      <c r="A494" s="32"/>
      <c r="D494" s="75"/>
      <c r="E494" s="125"/>
      <c r="F494" s="121">
        <f t="shared" si="1"/>
        <v>0</v>
      </c>
      <c r="G494" s="126"/>
      <c r="H494" s="123">
        <f t="shared" si="2"/>
        <v>0</v>
      </c>
      <c r="I494" s="124"/>
    </row>
    <row r="495" ht="15.75" customHeight="1">
      <c r="A495" s="32"/>
      <c r="D495" s="75"/>
      <c r="E495" s="125"/>
      <c r="F495" s="121">
        <f t="shared" si="1"/>
        <v>0</v>
      </c>
      <c r="G495" s="126"/>
      <c r="H495" s="123">
        <f t="shared" si="2"/>
        <v>0</v>
      </c>
      <c r="I495" s="124"/>
    </row>
    <row r="496" ht="15.75" customHeight="1">
      <c r="A496" s="32"/>
      <c r="D496" s="75"/>
      <c r="E496" s="125"/>
      <c r="F496" s="121">
        <f t="shared" si="1"/>
        <v>0</v>
      </c>
      <c r="G496" s="126"/>
      <c r="H496" s="123">
        <f t="shared" si="2"/>
        <v>0</v>
      </c>
      <c r="I496" s="124"/>
    </row>
    <row r="497" ht="15.75" customHeight="1">
      <c r="A497" s="32"/>
      <c r="D497" s="75"/>
      <c r="E497" s="125"/>
      <c r="F497" s="121">
        <f t="shared" si="1"/>
        <v>0</v>
      </c>
      <c r="G497" s="126"/>
      <c r="H497" s="123">
        <f t="shared" si="2"/>
        <v>0</v>
      </c>
      <c r="I497" s="124"/>
    </row>
    <row r="498" ht="15.75" customHeight="1">
      <c r="A498" s="32"/>
      <c r="D498" s="75"/>
      <c r="E498" s="125"/>
      <c r="F498" s="121">
        <f t="shared" si="1"/>
        <v>0</v>
      </c>
      <c r="G498" s="126"/>
      <c r="H498" s="123">
        <f t="shared" si="2"/>
        <v>0</v>
      </c>
      <c r="I498" s="124"/>
    </row>
    <row r="499" ht="15.75" customHeight="1">
      <c r="A499" s="32"/>
      <c r="D499" s="75"/>
      <c r="E499" s="125"/>
      <c r="F499" s="121">
        <f t="shared" si="1"/>
        <v>0</v>
      </c>
      <c r="G499" s="126"/>
      <c r="H499" s="123">
        <f t="shared" si="2"/>
        <v>0</v>
      </c>
      <c r="I499" s="124"/>
    </row>
    <row r="500" ht="15.75" customHeight="1">
      <c r="A500" s="32"/>
      <c r="D500" s="75"/>
      <c r="E500" s="125"/>
      <c r="F500" s="121">
        <f t="shared" si="1"/>
        <v>0</v>
      </c>
      <c r="G500" s="126"/>
      <c r="H500" s="123">
        <f t="shared" si="2"/>
        <v>0</v>
      </c>
      <c r="I500" s="124"/>
    </row>
    <row r="501" ht="15.75" customHeight="1">
      <c r="A501" s="32"/>
      <c r="D501" s="75"/>
      <c r="E501" s="125"/>
      <c r="F501" s="121">
        <f t="shared" si="1"/>
        <v>0</v>
      </c>
      <c r="G501" s="126"/>
      <c r="H501" s="123">
        <f t="shared" si="2"/>
        <v>0</v>
      </c>
      <c r="I501" s="124"/>
    </row>
    <row r="502" ht="15.75" customHeight="1">
      <c r="A502" s="32"/>
      <c r="D502" s="75"/>
      <c r="E502" s="125"/>
      <c r="F502" s="121">
        <f t="shared" si="1"/>
        <v>0</v>
      </c>
      <c r="G502" s="126"/>
      <c r="H502" s="123">
        <f t="shared" si="2"/>
        <v>0</v>
      </c>
      <c r="I502" s="124"/>
    </row>
    <row r="503" ht="15.75" customHeight="1">
      <c r="A503" s="32"/>
      <c r="D503" s="75"/>
      <c r="E503" s="125"/>
      <c r="F503" s="121">
        <f t="shared" si="1"/>
        <v>0</v>
      </c>
      <c r="G503" s="126"/>
      <c r="H503" s="123">
        <f t="shared" si="2"/>
        <v>0</v>
      </c>
      <c r="I503" s="124"/>
    </row>
    <row r="504" ht="15.75" customHeight="1">
      <c r="A504" s="32"/>
      <c r="D504" s="75"/>
      <c r="E504" s="125"/>
      <c r="F504" s="121">
        <f t="shared" si="1"/>
        <v>0</v>
      </c>
      <c r="G504" s="126"/>
      <c r="H504" s="123">
        <f t="shared" si="2"/>
        <v>0</v>
      </c>
      <c r="I504" s="124"/>
    </row>
    <row r="505" ht="15.75" customHeight="1">
      <c r="A505" s="32"/>
      <c r="D505" s="75"/>
      <c r="E505" s="125"/>
      <c r="F505" s="121">
        <f t="shared" si="1"/>
        <v>0</v>
      </c>
      <c r="G505" s="126"/>
      <c r="H505" s="123">
        <f t="shared" si="2"/>
        <v>0</v>
      </c>
      <c r="I505" s="124"/>
    </row>
    <row r="506" ht="15.75" customHeight="1">
      <c r="A506" s="32"/>
      <c r="D506" s="75"/>
      <c r="E506" s="125"/>
      <c r="F506" s="121">
        <f t="shared" si="1"/>
        <v>0</v>
      </c>
      <c r="G506" s="126"/>
      <c r="H506" s="123">
        <f t="shared" si="2"/>
        <v>0</v>
      </c>
      <c r="I506" s="124"/>
    </row>
    <row r="507" ht="15.75" customHeight="1">
      <c r="A507" s="32"/>
      <c r="D507" s="75"/>
      <c r="E507" s="125"/>
      <c r="F507" s="121">
        <f t="shared" si="1"/>
        <v>0</v>
      </c>
      <c r="G507" s="126"/>
      <c r="H507" s="123">
        <f t="shared" si="2"/>
        <v>0</v>
      </c>
      <c r="I507" s="124"/>
    </row>
    <row r="508" ht="15.75" customHeight="1">
      <c r="A508" s="32"/>
      <c r="D508" s="75"/>
      <c r="E508" s="125"/>
      <c r="F508" s="121">
        <f t="shared" si="1"/>
        <v>0</v>
      </c>
      <c r="G508" s="126"/>
      <c r="H508" s="123">
        <f t="shared" si="2"/>
        <v>0</v>
      </c>
      <c r="I508" s="124"/>
    </row>
    <row r="509" ht="15.75" customHeight="1">
      <c r="A509" s="32"/>
      <c r="D509" s="75"/>
      <c r="E509" s="125"/>
      <c r="F509" s="121">
        <f t="shared" si="1"/>
        <v>0</v>
      </c>
      <c r="G509" s="126"/>
      <c r="H509" s="123">
        <f t="shared" si="2"/>
        <v>0</v>
      </c>
      <c r="I509" s="124"/>
    </row>
    <row r="510" ht="15.75" customHeight="1">
      <c r="A510" s="32"/>
      <c r="D510" s="75"/>
      <c r="E510" s="125"/>
      <c r="F510" s="121">
        <f t="shared" si="1"/>
        <v>0</v>
      </c>
      <c r="G510" s="126"/>
      <c r="H510" s="123">
        <f t="shared" si="2"/>
        <v>0</v>
      </c>
      <c r="I510" s="124"/>
    </row>
    <row r="511" ht="15.75" customHeight="1">
      <c r="A511" s="32"/>
      <c r="D511" s="75"/>
      <c r="E511" s="125"/>
      <c r="F511" s="121">
        <f t="shared" si="1"/>
        <v>0</v>
      </c>
      <c r="G511" s="126"/>
      <c r="H511" s="123">
        <f t="shared" si="2"/>
        <v>0</v>
      </c>
      <c r="I511" s="124"/>
    </row>
    <row r="512" ht="15.75" customHeight="1">
      <c r="A512" s="32"/>
      <c r="D512" s="75"/>
      <c r="E512" s="125"/>
      <c r="F512" s="121">
        <f t="shared" si="1"/>
        <v>0</v>
      </c>
      <c r="G512" s="126"/>
      <c r="H512" s="123">
        <f t="shared" si="2"/>
        <v>0</v>
      </c>
      <c r="I512" s="124"/>
    </row>
    <row r="513" ht="15.75" customHeight="1">
      <c r="A513" s="32"/>
      <c r="D513" s="75"/>
      <c r="E513" s="125"/>
      <c r="F513" s="121">
        <f t="shared" si="1"/>
        <v>0</v>
      </c>
      <c r="G513" s="126"/>
      <c r="H513" s="123">
        <f t="shared" si="2"/>
        <v>0</v>
      </c>
      <c r="I513" s="124"/>
    </row>
    <row r="514" ht="15.75" customHeight="1">
      <c r="A514" s="32"/>
      <c r="D514" s="75"/>
      <c r="E514" s="125"/>
      <c r="F514" s="121">
        <f t="shared" si="1"/>
        <v>0</v>
      </c>
      <c r="G514" s="126"/>
      <c r="H514" s="123">
        <f t="shared" si="2"/>
        <v>0</v>
      </c>
      <c r="I514" s="124"/>
    </row>
    <row r="515" ht="15.75" customHeight="1">
      <c r="A515" s="32"/>
      <c r="D515" s="75"/>
      <c r="E515" s="125"/>
      <c r="F515" s="121">
        <f t="shared" si="1"/>
        <v>0</v>
      </c>
      <c r="G515" s="126"/>
      <c r="H515" s="123">
        <f t="shared" si="2"/>
        <v>0</v>
      </c>
      <c r="I515" s="124"/>
    </row>
    <row r="516" ht="15.75" customHeight="1">
      <c r="A516" s="32"/>
      <c r="D516" s="75"/>
      <c r="E516" s="125"/>
      <c r="F516" s="121">
        <f t="shared" si="1"/>
        <v>0</v>
      </c>
      <c r="G516" s="126"/>
      <c r="H516" s="123">
        <f t="shared" si="2"/>
        <v>0</v>
      </c>
      <c r="I516" s="124"/>
    </row>
    <row r="517" ht="15.75" customHeight="1">
      <c r="A517" s="32"/>
      <c r="D517" s="75"/>
      <c r="E517" s="125"/>
      <c r="F517" s="121">
        <f t="shared" si="1"/>
        <v>0</v>
      </c>
      <c r="G517" s="126"/>
      <c r="H517" s="123">
        <f t="shared" si="2"/>
        <v>0</v>
      </c>
      <c r="I517" s="124"/>
    </row>
    <row r="518" ht="15.75" customHeight="1">
      <c r="A518" s="32"/>
      <c r="D518" s="75"/>
      <c r="E518" s="125"/>
      <c r="F518" s="121">
        <f t="shared" si="1"/>
        <v>0</v>
      </c>
      <c r="G518" s="126"/>
      <c r="H518" s="123">
        <f t="shared" si="2"/>
        <v>0</v>
      </c>
      <c r="I518" s="124"/>
    </row>
    <row r="519" ht="15.75" customHeight="1">
      <c r="A519" s="32"/>
      <c r="D519" s="75"/>
      <c r="E519" s="125"/>
      <c r="F519" s="121">
        <f t="shared" si="1"/>
        <v>0</v>
      </c>
      <c r="G519" s="126"/>
      <c r="H519" s="123">
        <f t="shared" si="2"/>
        <v>0</v>
      </c>
      <c r="I519" s="124"/>
    </row>
    <row r="520" ht="15.75" customHeight="1">
      <c r="A520" s="32"/>
      <c r="D520" s="75"/>
      <c r="E520" s="125"/>
      <c r="F520" s="121">
        <f t="shared" si="1"/>
        <v>0</v>
      </c>
      <c r="G520" s="126"/>
      <c r="H520" s="123">
        <f t="shared" si="2"/>
        <v>0</v>
      </c>
      <c r="I520" s="124"/>
    </row>
    <row r="521" ht="15.75" customHeight="1">
      <c r="A521" s="32"/>
      <c r="D521" s="75"/>
      <c r="E521" s="125"/>
      <c r="F521" s="121">
        <f t="shared" si="1"/>
        <v>0</v>
      </c>
      <c r="G521" s="126"/>
      <c r="H521" s="123">
        <f t="shared" si="2"/>
        <v>0</v>
      </c>
      <c r="I521" s="124"/>
    </row>
    <row r="522" ht="15.75" customHeight="1">
      <c r="A522" s="32"/>
      <c r="D522" s="75"/>
      <c r="E522" s="125"/>
      <c r="F522" s="121">
        <f t="shared" si="1"/>
        <v>0</v>
      </c>
      <c r="G522" s="126"/>
      <c r="H522" s="123">
        <f t="shared" si="2"/>
        <v>0</v>
      </c>
      <c r="I522" s="124"/>
    </row>
    <row r="523" ht="15.75" customHeight="1">
      <c r="A523" s="32"/>
      <c r="D523" s="75"/>
      <c r="E523" s="125"/>
      <c r="F523" s="121">
        <f t="shared" si="1"/>
        <v>0</v>
      </c>
      <c r="G523" s="126"/>
      <c r="H523" s="123">
        <f t="shared" si="2"/>
        <v>0</v>
      </c>
      <c r="I523" s="124"/>
    </row>
    <row r="524" ht="15.75" customHeight="1">
      <c r="A524" s="32"/>
      <c r="D524" s="75"/>
      <c r="E524" s="125"/>
      <c r="F524" s="121">
        <f t="shared" si="1"/>
        <v>0</v>
      </c>
      <c r="G524" s="126"/>
      <c r="H524" s="123">
        <f t="shared" si="2"/>
        <v>0</v>
      </c>
      <c r="I524" s="124"/>
    </row>
    <row r="525" ht="15.75" customHeight="1">
      <c r="A525" s="32"/>
      <c r="D525" s="75"/>
      <c r="E525" s="125"/>
      <c r="F525" s="121">
        <f t="shared" si="1"/>
        <v>0</v>
      </c>
      <c r="G525" s="126"/>
      <c r="H525" s="123">
        <f t="shared" si="2"/>
        <v>0</v>
      </c>
      <c r="I525" s="124"/>
    </row>
    <row r="526" ht="15.75" customHeight="1">
      <c r="A526" s="32"/>
      <c r="D526" s="75"/>
      <c r="E526" s="125"/>
      <c r="F526" s="121">
        <f t="shared" si="1"/>
        <v>0</v>
      </c>
      <c r="G526" s="126"/>
      <c r="H526" s="123">
        <f t="shared" si="2"/>
        <v>0</v>
      </c>
      <c r="I526" s="124"/>
    </row>
    <row r="527" ht="15.75" customHeight="1">
      <c r="A527" s="32"/>
      <c r="D527" s="75"/>
      <c r="E527" s="125"/>
      <c r="F527" s="121">
        <f t="shared" si="1"/>
        <v>0</v>
      </c>
      <c r="G527" s="126"/>
      <c r="H527" s="123">
        <f t="shared" si="2"/>
        <v>0</v>
      </c>
      <c r="I527" s="124"/>
    </row>
    <row r="528" ht="15.75" customHeight="1">
      <c r="A528" s="32"/>
      <c r="D528" s="75"/>
      <c r="E528" s="125"/>
      <c r="F528" s="121">
        <f t="shared" si="1"/>
        <v>0</v>
      </c>
      <c r="G528" s="126"/>
      <c r="H528" s="123">
        <f t="shared" si="2"/>
        <v>0</v>
      </c>
      <c r="I528" s="124"/>
    </row>
    <row r="529" ht="15.75" customHeight="1">
      <c r="A529" s="32"/>
      <c r="D529" s="75"/>
      <c r="E529" s="125"/>
      <c r="F529" s="121">
        <f t="shared" si="1"/>
        <v>0</v>
      </c>
      <c r="G529" s="126"/>
      <c r="H529" s="123">
        <f t="shared" si="2"/>
        <v>0</v>
      </c>
      <c r="I529" s="124"/>
    </row>
    <row r="530" ht="15.75" customHeight="1">
      <c r="A530" s="32"/>
      <c r="D530" s="75"/>
      <c r="E530" s="125"/>
      <c r="F530" s="121">
        <f t="shared" si="1"/>
        <v>0</v>
      </c>
      <c r="G530" s="126"/>
      <c r="H530" s="123">
        <f t="shared" si="2"/>
        <v>0</v>
      </c>
      <c r="I530" s="124"/>
    </row>
    <row r="531" ht="15.75" customHeight="1">
      <c r="A531" s="32"/>
      <c r="D531" s="75"/>
      <c r="E531" s="125"/>
      <c r="F531" s="121">
        <f t="shared" si="1"/>
        <v>0</v>
      </c>
      <c r="G531" s="126"/>
      <c r="H531" s="123">
        <f t="shared" si="2"/>
        <v>0</v>
      </c>
      <c r="I531" s="124"/>
    </row>
    <row r="532" ht="15.75" customHeight="1">
      <c r="A532" s="32"/>
      <c r="D532" s="75"/>
      <c r="E532" s="125"/>
      <c r="F532" s="121">
        <f t="shared" si="1"/>
        <v>0</v>
      </c>
      <c r="G532" s="126"/>
      <c r="H532" s="123">
        <f t="shared" si="2"/>
        <v>0</v>
      </c>
      <c r="I532" s="124"/>
    </row>
    <row r="533" ht="15.75" customHeight="1">
      <c r="A533" s="32"/>
      <c r="D533" s="75"/>
      <c r="E533" s="125"/>
      <c r="F533" s="121">
        <f t="shared" si="1"/>
        <v>0</v>
      </c>
      <c r="G533" s="126"/>
      <c r="H533" s="123">
        <f t="shared" si="2"/>
        <v>0</v>
      </c>
      <c r="I533" s="124"/>
    </row>
    <row r="534" ht="15.75" customHeight="1">
      <c r="A534" s="32"/>
      <c r="D534" s="75"/>
      <c r="E534" s="125"/>
      <c r="F534" s="121">
        <f t="shared" si="1"/>
        <v>0</v>
      </c>
      <c r="G534" s="126"/>
      <c r="H534" s="123">
        <f t="shared" si="2"/>
        <v>0</v>
      </c>
      <c r="I534" s="124"/>
    </row>
    <row r="535" ht="15.75" customHeight="1">
      <c r="A535" s="32"/>
      <c r="D535" s="75"/>
      <c r="E535" s="125"/>
      <c r="F535" s="121">
        <f t="shared" si="1"/>
        <v>0</v>
      </c>
      <c r="G535" s="126"/>
      <c r="H535" s="123">
        <f t="shared" si="2"/>
        <v>0</v>
      </c>
      <c r="I535" s="124"/>
    </row>
    <row r="536" ht="15.75" customHeight="1">
      <c r="A536" s="32"/>
      <c r="D536" s="75"/>
      <c r="E536" s="125"/>
      <c r="F536" s="121">
        <f t="shared" si="1"/>
        <v>0</v>
      </c>
      <c r="G536" s="126"/>
      <c r="H536" s="123">
        <f t="shared" si="2"/>
        <v>0</v>
      </c>
      <c r="I536" s="124"/>
    </row>
    <row r="537" ht="15.75" customHeight="1">
      <c r="A537" s="32"/>
      <c r="D537" s="75"/>
      <c r="E537" s="125"/>
      <c r="F537" s="121">
        <f t="shared" si="1"/>
        <v>0</v>
      </c>
      <c r="G537" s="126"/>
      <c r="H537" s="123">
        <f t="shared" si="2"/>
        <v>0</v>
      </c>
      <c r="I537" s="124"/>
    </row>
    <row r="538" ht="15.75" customHeight="1">
      <c r="A538" s="32"/>
      <c r="D538" s="75"/>
      <c r="E538" s="125"/>
      <c r="F538" s="121">
        <f t="shared" si="1"/>
        <v>0</v>
      </c>
      <c r="G538" s="126"/>
      <c r="H538" s="123">
        <f t="shared" si="2"/>
        <v>0</v>
      </c>
      <c r="I538" s="124"/>
    </row>
    <row r="539" ht="15.75" customHeight="1">
      <c r="A539" s="32"/>
      <c r="D539" s="75"/>
      <c r="E539" s="125"/>
      <c r="F539" s="121">
        <f t="shared" si="1"/>
        <v>0</v>
      </c>
      <c r="G539" s="126"/>
      <c r="H539" s="123">
        <f t="shared" si="2"/>
        <v>0</v>
      </c>
      <c r="I539" s="124"/>
    </row>
    <row r="540" ht="15.75" customHeight="1">
      <c r="A540" s="32"/>
      <c r="D540" s="75"/>
      <c r="E540" s="125"/>
      <c r="F540" s="121">
        <f t="shared" si="1"/>
        <v>0</v>
      </c>
      <c r="G540" s="126"/>
      <c r="H540" s="123">
        <f t="shared" si="2"/>
        <v>0</v>
      </c>
      <c r="I540" s="124"/>
    </row>
    <row r="541" ht="15.75" customHeight="1">
      <c r="A541" s="32"/>
      <c r="D541" s="75"/>
      <c r="E541" s="125"/>
      <c r="F541" s="121">
        <f t="shared" si="1"/>
        <v>0</v>
      </c>
      <c r="G541" s="126"/>
      <c r="H541" s="123">
        <f t="shared" si="2"/>
        <v>0</v>
      </c>
      <c r="I541" s="124"/>
    </row>
    <row r="542" ht="15.75" customHeight="1">
      <c r="A542" s="32"/>
      <c r="D542" s="75"/>
      <c r="E542" s="125"/>
      <c r="F542" s="121">
        <f t="shared" si="1"/>
        <v>0</v>
      </c>
      <c r="G542" s="126"/>
      <c r="H542" s="123">
        <f t="shared" si="2"/>
        <v>0</v>
      </c>
      <c r="I542" s="124"/>
    </row>
    <row r="543" ht="15.75" customHeight="1">
      <c r="A543" s="32"/>
      <c r="D543" s="75"/>
      <c r="E543" s="125"/>
      <c r="F543" s="121">
        <f t="shared" si="1"/>
        <v>0</v>
      </c>
      <c r="G543" s="126"/>
      <c r="H543" s="123">
        <f t="shared" si="2"/>
        <v>0</v>
      </c>
      <c r="I543" s="124"/>
    </row>
    <row r="544" ht="15.75" customHeight="1">
      <c r="A544" s="32"/>
      <c r="D544" s="75"/>
      <c r="E544" s="125"/>
      <c r="F544" s="121">
        <f t="shared" si="1"/>
        <v>0</v>
      </c>
      <c r="G544" s="126"/>
      <c r="H544" s="123">
        <f t="shared" si="2"/>
        <v>0</v>
      </c>
      <c r="I544" s="124"/>
    </row>
    <row r="545" ht="15.75" customHeight="1">
      <c r="A545" s="32"/>
      <c r="D545" s="75"/>
      <c r="E545" s="125"/>
      <c r="F545" s="121">
        <f t="shared" si="1"/>
        <v>0</v>
      </c>
      <c r="G545" s="126"/>
      <c r="H545" s="123">
        <f t="shared" si="2"/>
        <v>0</v>
      </c>
      <c r="I545" s="124"/>
    </row>
    <row r="546" ht="15.75" customHeight="1">
      <c r="A546" s="32"/>
      <c r="D546" s="75"/>
      <c r="E546" s="125"/>
      <c r="F546" s="121">
        <f t="shared" si="1"/>
        <v>0</v>
      </c>
      <c r="G546" s="126"/>
      <c r="H546" s="123">
        <f t="shared" si="2"/>
        <v>0</v>
      </c>
      <c r="I546" s="124"/>
    </row>
    <row r="547" ht="15.75" customHeight="1">
      <c r="A547" s="32"/>
      <c r="D547" s="75"/>
      <c r="E547" s="125"/>
      <c r="F547" s="121">
        <f t="shared" si="1"/>
        <v>0</v>
      </c>
      <c r="G547" s="126"/>
      <c r="H547" s="123">
        <f t="shared" si="2"/>
        <v>0</v>
      </c>
      <c r="I547" s="124"/>
    </row>
    <row r="548" ht="15.75" customHeight="1">
      <c r="A548" s="32"/>
      <c r="D548" s="75"/>
      <c r="E548" s="125"/>
      <c r="F548" s="121">
        <f t="shared" si="1"/>
        <v>0</v>
      </c>
      <c r="G548" s="126"/>
      <c r="H548" s="123">
        <f t="shared" si="2"/>
        <v>0</v>
      </c>
      <c r="I548" s="124"/>
    </row>
    <row r="549" ht="15.75" customHeight="1">
      <c r="A549" s="32"/>
      <c r="D549" s="75"/>
      <c r="E549" s="125"/>
      <c r="F549" s="121">
        <f t="shared" si="1"/>
        <v>0</v>
      </c>
      <c r="G549" s="126"/>
      <c r="H549" s="123">
        <f t="shared" si="2"/>
        <v>0</v>
      </c>
      <c r="I549" s="124"/>
    </row>
    <row r="550" ht="15.75" customHeight="1">
      <c r="A550" s="32"/>
      <c r="D550" s="75"/>
      <c r="E550" s="125"/>
      <c r="F550" s="121">
        <f t="shared" si="1"/>
        <v>0</v>
      </c>
      <c r="G550" s="126"/>
      <c r="H550" s="123">
        <f t="shared" si="2"/>
        <v>0</v>
      </c>
      <c r="I550" s="124"/>
    </row>
    <row r="551" ht="15.75" customHeight="1">
      <c r="A551" s="32"/>
      <c r="D551" s="75"/>
      <c r="E551" s="125"/>
      <c r="F551" s="121">
        <f t="shared" si="1"/>
        <v>0</v>
      </c>
      <c r="G551" s="126"/>
      <c r="H551" s="123">
        <f t="shared" si="2"/>
        <v>0</v>
      </c>
      <c r="I551" s="124"/>
    </row>
    <row r="552" ht="15.75" customHeight="1">
      <c r="A552" s="32"/>
      <c r="D552" s="75"/>
      <c r="E552" s="125"/>
      <c r="F552" s="121">
        <f t="shared" si="1"/>
        <v>0</v>
      </c>
      <c r="G552" s="126"/>
      <c r="H552" s="123">
        <f t="shared" si="2"/>
        <v>0</v>
      </c>
      <c r="I552" s="124"/>
    </row>
    <row r="553" ht="15.75" customHeight="1">
      <c r="A553" s="32"/>
      <c r="D553" s="75"/>
      <c r="E553" s="125"/>
      <c r="F553" s="121">
        <f t="shared" si="1"/>
        <v>0</v>
      </c>
      <c r="G553" s="126"/>
      <c r="H553" s="123">
        <f t="shared" si="2"/>
        <v>0</v>
      </c>
      <c r="I553" s="124"/>
    </row>
    <row r="554" ht="15.75" customHeight="1">
      <c r="A554" s="32"/>
      <c r="D554" s="75"/>
      <c r="E554" s="125"/>
      <c r="F554" s="121">
        <f t="shared" si="1"/>
        <v>0</v>
      </c>
      <c r="G554" s="126"/>
      <c r="H554" s="123">
        <f t="shared" si="2"/>
        <v>0</v>
      </c>
      <c r="I554" s="124"/>
    </row>
    <row r="555" ht="15.75" customHeight="1">
      <c r="A555" s="32"/>
      <c r="D555" s="75"/>
      <c r="E555" s="125"/>
      <c r="F555" s="121">
        <f t="shared" si="1"/>
        <v>0</v>
      </c>
      <c r="G555" s="126"/>
      <c r="H555" s="123">
        <f t="shared" si="2"/>
        <v>0</v>
      </c>
      <c r="I555" s="124"/>
    </row>
    <row r="556" ht="15.75" customHeight="1">
      <c r="A556" s="32"/>
      <c r="D556" s="75"/>
      <c r="E556" s="125"/>
      <c r="F556" s="121">
        <f t="shared" si="1"/>
        <v>0</v>
      </c>
      <c r="G556" s="126"/>
      <c r="H556" s="123">
        <f t="shared" si="2"/>
        <v>0</v>
      </c>
      <c r="I556" s="124"/>
    </row>
    <row r="557" ht="15.75" customHeight="1">
      <c r="A557" s="32"/>
      <c r="D557" s="75"/>
      <c r="E557" s="125"/>
      <c r="F557" s="121">
        <f t="shared" si="1"/>
        <v>0</v>
      </c>
      <c r="G557" s="126"/>
      <c r="H557" s="123">
        <f t="shared" si="2"/>
        <v>0</v>
      </c>
      <c r="I557" s="124"/>
    </row>
    <row r="558" ht="15.75" customHeight="1">
      <c r="A558" s="32"/>
      <c r="D558" s="75"/>
      <c r="E558" s="125"/>
      <c r="F558" s="121">
        <f t="shared" si="1"/>
        <v>0</v>
      </c>
      <c r="G558" s="126"/>
      <c r="H558" s="123">
        <f t="shared" si="2"/>
        <v>0</v>
      </c>
      <c r="I558" s="124"/>
    </row>
    <row r="559" ht="15.75" customHeight="1">
      <c r="A559" s="32"/>
      <c r="D559" s="75"/>
      <c r="E559" s="125"/>
      <c r="F559" s="121">
        <f t="shared" si="1"/>
        <v>0</v>
      </c>
      <c r="G559" s="126"/>
      <c r="H559" s="123">
        <f t="shared" si="2"/>
        <v>0</v>
      </c>
      <c r="I559" s="124"/>
    </row>
    <row r="560" ht="15.75" customHeight="1">
      <c r="A560" s="32"/>
      <c r="D560" s="75"/>
      <c r="E560" s="125"/>
      <c r="F560" s="121">
        <f t="shared" si="1"/>
        <v>0</v>
      </c>
      <c r="G560" s="126"/>
      <c r="H560" s="123">
        <f t="shared" si="2"/>
        <v>0</v>
      </c>
      <c r="I560" s="124"/>
    </row>
    <row r="561" ht="15.75" customHeight="1">
      <c r="A561" s="32"/>
      <c r="D561" s="75"/>
      <c r="E561" s="125"/>
      <c r="F561" s="121">
        <f t="shared" si="1"/>
        <v>0</v>
      </c>
      <c r="G561" s="126"/>
      <c r="H561" s="123">
        <f t="shared" si="2"/>
        <v>0</v>
      </c>
      <c r="I561" s="124"/>
    </row>
    <row r="562" ht="15.75" customHeight="1">
      <c r="A562" s="32"/>
      <c r="D562" s="75"/>
      <c r="E562" s="125"/>
      <c r="F562" s="121">
        <f t="shared" si="1"/>
        <v>0</v>
      </c>
      <c r="G562" s="126"/>
      <c r="H562" s="123">
        <f t="shared" si="2"/>
        <v>0</v>
      </c>
      <c r="I562" s="124"/>
    </row>
    <row r="563" ht="15.75" customHeight="1">
      <c r="A563" s="32"/>
      <c r="D563" s="75"/>
      <c r="E563" s="125"/>
      <c r="F563" s="121">
        <f t="shared" si="1"/>
        <v>0</v>
      </c>
      <c r="G563" s="126"/>
      <c r="H563" s="123">
        <f t="shared" si="2"/>
        <v>0</v>
      </c>
      <c r="I563" s="124"/>
    </row>
    <row r="564" ht="15.75" customHeight="1">
      <c r="A564" s="32"/>
      <c r="D564" s="75"/>
      <c r="E564" s="125"/>
      <c r="F564" s="121">
        <f t="shared" si="1"/>
        <v>0</v>
      </c>
      <c r="G564" s="126"/>
      <c r="H564" s="123">
        <f t="shared" si="2"/>
        <v>0</v>
      </c>
      <c r="I564" s="124"/>
    </row>
    <row r="565" ht="15.75" customHeight="1">
      <c r="A565" s="32"/>
      <c r="D565" s="75"/>
      <c r="E565" s="125"/>
      <c r="F565" s="121">
        <f t="shared" si="1"/>
        <v>0</v>
      </c>
      <c r="G565" s="126"/>
      <c r="H565" s="123">
        <f t="shared" si="2"/>
        <v>0</v>
      </c>
      <c r="I565" s="124"/>
    </row>
    <row r="566" ht="15.75" customHeight="1">
      <c r="A566" s="32"/>
      <c r="D566" s="75"/>
      <c r="E566" s="125"/>
      <c r="F566" s="121">
        <f t="shared" si="1"/>
        <v>0</v>
      </c>
      <c r="G566" s="126"/>
      <c r="H566" s="123">
        <f t="shared" si="2"/>
        <v>0</v>
      </c>
      <c r="I566" s="124"/>
    </row>
    <row r="567" ht="15.75" customHeight="1">
      <c r="A567" s="32"/>
      <c r="D567" s="75"/>
      <c r="E567" s="125"/>
      <c r="F567" s="121">
        <f t="shared" si="1"/>
        <v>0</v>
      </c>
      <c r="G567" s="126"/>
      <c r="H567" s="123">
        <f t="shared" si="2"/>
        <v>0</v>
      </c>
      <c r="I567" s="124"/>
    </row>
    <row r="568" ht="15.75" customHeight="1">
      <c r="A568" s="32"/>
      <c r="D568" s="75"/>
      <c r="E568" s="125"/>
      <c r="F568" s="121">
        <f t="shared" si="1"/>
        <v>0</v>
      </c>
      <c r="G568" s="126"/>
      <c r="H568" s="123">
        <f t="shared" si="2"/>
        <v>0</v>
      </c>
      <c r="I568" s="124"/>
    </row>
    <row r="569" ht="15.75" customHeight="1">
      <c r="A569" s="32"/>
      <c r="D569" s="75"/>
      <c r="E569" s="125"/>
      <c r="F569" s="121">
        <f t="shared" si="1"/>
        <v>0</v>
      </c>
      <c r="G569" s="126"/>
      <c r="H569" s="123">
        <f t="shared" si="2"/>
        <v>0</v>
      </c>
      <c r="I569" s="124"/>
    </row>
    <row r="570" ht="15.75" customHeight="1">
      <c r="A570" s="32"/>
      <c r="D570" s="75"/>
      <c r="E570" s="125"/>
      <c r="F570" s="121">
        <f t="shared" si="1"/>
        <v>0</v>
      </c>
      <c r="G570" s="126"/>
      <c r="H570" s="123">
        <f t="shared" si="2"/>
        <v>0</v>
      </c>
      <c r="I570" s="124"/>
    </row>
    <row r="571" ht="15.75" customHeight="1">
      <c r="A571" s="32"/>
      <c r="D571" s="75"/>
      <c r="E571" s="125"/>
      <c r="F571" s="121">
        <f t="shared" si="1"/>
        <v>0</v>
      </c>
      <c r="G571" s="126"/>
      <c r="H571" s="123">
        <f t="shared" si="2"/>
        <v>0</v>
      </c>
      <c r="I571" s="124"/>
    </row>
    <row r="572" ht="15.75" customHeight="1">
      <c r="A572" s="32"/>
      <c r="D572" s="75"/>
      <c r="E572" s="125"/>
      <c r="F572" s="121">
        <f t="shared" si="1"/>
        <v>0</v>
      </c>
      <c r="G572" s="126"/>
      <c r="H572" s="123">
        <f t="shared" si="2"/>
        <v>0</v>
      </c>
      <c r="I572" s="124"/>
    </row>
    <row r="573" ht="15.75" customHeight="1">
      <c r="A573" s="32"/>
      <c r="D573" s="75"/>
      <c r="E573" s="125"/>
      <c r="F573" s="121">
        <f t="shared" si="1"/>
        <v>0</v>
      </c>
      <c r="G573" s="126"/>
      <c r="H573" s="123">
        <f t="shared" si="2"/>
        <v>0</v>
      </c>
      <c r="I573" s="124"/>
    </row>
    <row r="574" ht="15.75" customHeight="1">
      <c r="A574" s="32"/>
      <c r="D574" s="75"/>
      <c r="E574" s="125"/>
      <c r="F574" s="121">
        <f t="shared" si="1"/>
        <v>0</v>
      </c>
      <c r="G574" s="126"/>
      <c r="H574" s="123">
        <f t="shared" si="2"/>
        <v>0</v>
      </c>
      <c r="I574" s="124"/>
    </row>
    <row r="575" ht="15.75" customHeight="1">
      <c r="A575" s="32"/>
      <c r="D575" s="75"/>
      <c r="E575" s="125"/>
      <c r="F575" s="121">
        <f t="shared" si="1"/>
        <v>0</v>
      </c>
      <c r="G575" s="126"/>
      <c r="H575" s="123">
        <f t="shared" si="2"/>
        <v>0</v>
      </c>
      <c r="I575" s="124"/>
    </row>
    <row r="576" ht="15.75" customHeight="1">
      <c r="A576" s="32"/>
      <c r="D576" s="75"/>
      <c r="E576" s="125"/>
      <c r="F576" s="121">
        <f t="shared" si="1"/>
        <v>0</v>
      </c>
      <c r="G576" s="126"/>
      <c r="H576" s="123">
        <f t="shared" si="2"/>
        <v>0</v>
      </c>
      <c r="I576" s="124"/>
    </row>
    <row r="577" ht="15.75" customHeight="1">
      <c r="A577" s="32"/>
      <c r="D577" s="75"/>
      <c r="E577" s="125"/>
      <c r="F577" s="121">
        <f t="shared" si="1"/>
        <v>0</v>
      </c>
      <c r="G577" s="126"/>
      <c r="H577" s="123">
        <f t="shared" si="2"/>
        <v>0</v>
      </c>
      <c r="I577" s="124"/>
    </row>
    <row r="578" ht="15.75" customHeight="1">
      <c r="A578" s="32"/>
      <c r="D578" s="75"/>
      <c r="E578" s="125"/>
      <c r="F578" s="121">
        <f t="shared" si="1"/>
        <v>0</v>
      </c>
      <c r="G578" s="126"/>
      <c r="H578" s="123">
        <f t="shared" si="2"/>
        <v>0</v>
      </c>
      <c r="I578" s="124"/>
    </row>
    <row r="579" ht="15.75" customHeight="1">
      <c r="A579" s="32"/>
      <c r="D579" s="75"/>
      <c r="E579" s="125"/>
      <c r="F579" s="121">
        <f t="shared" si="1"/>
        <v>0</v>
      </c>
      <c r="G579" s="126"/>
      <c r="H579" s="123">
        <f t="shared" si="2"/>
        <v>0</v>
      </c>
      <c r="I579" s="124"/>
    </row>
    <row r="580" ht="15.75" customHeight="1">
      <c r="A580" s="32"/>
      <c r="D580" s="75"/>
      <c r="E580" s="125"/>
      <c r="F580" s="121">
        <f t="shared" si="1"/>
        <v>0</v>
      </c>
      <c r="G580" s="126"/>
      <c r="H580" s="123">
        <f t="shared" si="2"/>
        <v>0</v>
      </c>
      <c r="I580" s="124"/>
    </row>
    <row r="581" ht="15.75" customHeight="1">
      <c r="A581" s="32"/>
      <c r="D581" s="75"/>
      <c r="E581" s="125"/>
      <c r="F581" s="121">
        <f t="shared" si="1"/>
        <v>0</v>
      </c>
      <c r="G581" s="126"/>
      <c r="H581" s="123">
        <f t="shared" si="2"/>
        <v>0</v>
      </c>
      <c r="I581" s="124"/>
    </row>
    <row r="582" ht="15.75" customHeight="1">
      <c r="A582" s="32"/>
      <c r="D582" s="75"/>
      <c r="E582" s="125"/>
      <c r="F582" s="121">
        <f t="shared" si="1"/>
        <v>0</v>
      </c>
      <c r="G582" s="126"/>
      <c r="H582" s="123">
        <f t="shared" si="2"/>
        <v>0</v>
      </c>
      <c r="I582" s="124"/>
    </row>
    <row r="583" ht="15.75" customHeight="1">
      <c r="A583" s="32"/>
      <c r="D583" s="75"/>
      <c r="E583" s="125"/>
      <c r="F583" s="121">
        <f t="shared" si="1"/>
        <v>0</v>
      </c>
      <c r="G583" s="126"/>
      <c r="H583" s="123">
        <f t="shared" si="2"/>
        <v>0</v>
      </c>
      <c r="I583" s="124"/>
    </row>
    <row r="584" ht="15.75" customHeight="1">
      <c r="A584" s="32"/>
      <c r="D584" s="75"/>
      <c r="E584" s="125"/>
      <c r="F584" s="121">
        <f t="shared" si="1"/>
        <v>0</v>
      </c>
      <c r="G584" s="126"/>
      <c r="H584" s="123">
        <f t="shared" si="2"/>
        <v>0</v>
      </c>
      <c r="I584" s="124"/>
    </row>
    <row r="585" ht="15.75" customHeight="1">
      <c r="A585" s="32"/>
      <c r="D585" s="75"/>
      <c r="E585" s="125"/>
      <c r="F585" s="121">
        <f t="shared" si="1"/>
        <v>0</v>
      </c>
      <c r="G585" s="126"/>
      <c r="H585" s="123">
        <f t="shared" si="2"/>
        <v>0</v>
      </c>
      <c r="I585" s="124"/>
    </row>
    <row r="586" ht="15.75" customHeight="1">
      <c r="A586" s="32"/>
      <c r="D586" s="75"/>
      <c r="E586" s="125"/>
      <c r="F586" s="121">
        <f t="shared" si="1"/>
        <v>0</v>
      </c>
      <c r="G586" s="126"/>
      <c r="H586" s="123">
        <f t="shared" si="2"/>
        <v>0</v>
      </c>
      <c r="I586" s="124"/>
    </row>
    <row r="587" ht="15.75" customHeight="1">
      <c r="A587" s="32"/>
      <c r="D587" s="75"/>
      <c r="E587" s="125"/>
      <c r="F587" s="121">
        <f t="shared" si="1"/>
        <v>0</v>
      </c>
      <c r="G587" s="126"/>
      <c r="H587" s="123">
        <f t="shared" si="2"/>
        <v>0</v>
      </c>
      <c r="I587" s="124"/>
    </row>
    <row r="588" ht="15.75" customHeight="1">
      <c r="A588" s="32"/>
      <c r="D588" s="75"/>
      <c r="E588" s="125"/>
      <c r="F588" s="121">
        <f t="shared" si="1"/>
        <v>0</v>
      </c>
      <c r="G588" s="126"/>
      <c r="H588" s="123">
        <f t="shared" si="2"/>
        <v>0</v>
      </c>
      <c r="I588" s="124"/>
    </row>
    <row r="589" ht="15.75" customHeight="1">
      <c r="A589" s="32"/>
      <c r="D589" s="75"/>
      <c r="E589" s="125"/>
      <c r="F589" s="121">
        <f t="shared" si="1"/>
        <v>0</v>
      </c>
      <c r="G589" s="126"/>
      <c r="H589" s="123">
        <f t="shared" si="2"/>
        <v>0</v>
      </c>
      <c r="I589" s="124"/>
    </row>
    <row r="590" ht="15.75" customHeight="1">
      <c r="A590" s="32"/>
      <c r="D590" s="75"/>
      <c r="E590" s="125"/>
      <c r="F590" s="121">
        <f t="shared" si="1"/>
        <v>0</v>
      </c>
      <c r="G590" s="126"/>
      <c r="H590" s="123">
        <f t="shared" si="2"/>
        <v>0</v>
      </c>
      <c r="I590" s="124"/>
    </row>
    <row r="591" ht="15.75" customHeight="1">
      <c r="A591" s="32"/>
      <c r="D591" s="75"/>
      <c r="E591" s="125"/>
      <c r="F591" s="121">
        <f t="shared" si="1"/>
        <v>0</v>
      </c>
      <c r="G591" s="126"/>
      <c r="H591" s="123">
        <f t="shared" si="2"/>
        <v>0</v>
      </c>
      <c r="I591" s="124"/>
    </row>
    <row r="592" ht="15.75" customHeight="1">
      <c r="A592" s="32"/>
      <c r="D592" s="75"/>
      <c r="E592" s="125"/>
      <c r="F592" s="121">
        <f t="shared" si="1"/>
        <v>0</v>
      </c>
      <c r="G592" s="126"/>
      <c r="H592" s="123">
        <f t="shared" si="2"/>
        <v>0</v>
      </c>
      <c r="I592" s="124"/>
    </row>
    <row r="593" ht="15.75" customHeight="1">
      <c r="A593" s="32"/>
      <c r="D593" s="75"/>
      <c r="E593" s="125"/>
      <c r="F593" s="121">
        <f t="shared" si="1"/>
        <v>0</v>
      </c>
      <c r="G593" s="126"/>
      <c r="H593" s="123">
        <f t="shared" si="2"/>
        <v>0</v>
      </c>
      <c r="I593" s="124"/>
    </row>
    <row r="594" ht="15.75" customHeight="1">
      <c r="A594" s="32"/>
      <c r="D594" s="75"/>
      <c r="E594" s="125"/>
      <c r="F594" s="121">
        <f t="shared" si="1"/>
        <v>0</v>
      </c>
      <c r="G594" s="126"/>
      <c r="H594" s="123">
        <f t="shared" si="2"/>
        <v>0</v>
      </c>
      <c r="I594" s="124"/>
    </row>
    <row r="595" ht="15.75" customHeight="1">
      <c r="A595" s="32"/>
      <c r="D595" s="75"/>
      <c r="E595" s="125"/>
      <c r="F595" s="121">
        <f t="shared" si="1"/>
        <v>0</v>
      </c>
      <c r="G595" s="126"/>
      <c r="H595" s="123">
        <f t="shared" si="2"/>
        <v>0</v>
      </c>
      <c r="I595" s="124"/>
    </row>
    <row r="596" ht="15.75" customHeight="1">
      <c r="A596" s="32"/>
      <c r="D596" s="75"/>
      <c r="E596" s="125"/>
      <c r="F596" s="121">
        <f t="shared" si="1"/>
        <v>0</v>
      </c>
      <c r="G596" s="126"/>
      <c r="H596" s="123">
        <f t="shared" si="2"/>
        <v>0</v>
      </c>
      <c r="I596" s="124"/>
    </row>
    <row r="597" ht="15.75" customHeight="1">
      <c r="A597" s="32"/>
      <c r="D597" s="75"/>
      <c r="E597" s="125"/>
      <c r="F597" s="121">
        <f t="shared" si="1"/>
        <v>0</v>
      </c>
      <c r="G597" s="126"/>
      <c r="H597" s="123">
        <f t="shared" si="2"/>
        <v>0</v>
      </c>
      <c r="I597" s="124"/>
    </row>
    <row r="598" ht="15.75" customHeight="1">
      <c r="A598" s="32"/>
      <c r="D598" s="75"/>
      <c r="E598" s="125"/>
      <c r="F598" s="121">
        <f t="shared" si="1"/>
        <v>0</v>
      </c>
      <c r="G598" s="126"/>
      <c r="H598" s="123">
        <f t="shared" si="2"/>
        <v>0</v>
      </c>
      <c r="I598" s="124"/>
    </row>
    <row r="599" ht="15.75" customHeight="1">
      <c r="A599" s="32"/>
      <c r="D599" s="75"/>
      <c r="E599" s="125"/>
      <c r="F599" s="121">
        <f t="shared" si="1"/>
        <v>0</v>
      </c>
      <c r="G599" s="126"/>
      <c r="H599" s="123">
        <f t="shared" si="2"/>
        <v>0</v>
      </c>
      <c r="I599" s="124"/>
    </row>
    <row r="600" ht="15.75" customHeight="1">
      <c r="A600" s="32"/>
      <c r="D600" s="75"/>
      <c r="E600" s="125"/>
      <c r="F600" s="121">
        <f t="shared" si="1"/>
        <v>0</v>
      </c>
      <c r="G600" s="126"/>
      <c r="H600" s="123">
        <f t="shared" si="2"/>
        <v>0</v>
      </c>
      <c r="I600" s="124"/>
    </row>
    <row r="601" ht="15.75" customHeight="1">
      <c r="A601" s="32"/>
      <c r="D601" s="75"/>
      <c r="E601" s="125"/>
      <c r="F601" s="121">
        <f t="shared" si="1"/>
        <v>0</v>
      </c>
      <c r="G601" s="126"/>
      <c r="H601" s="123">
        <f t="shared" si="2"/>
        <v>0</v>
      </c>
      <c r="I601" s="124"/>
    </row>
    <row r="602" ht="15.75" customHeight="1">
      <c r="A602" s="32"/>
      <c r="D602" s="75"/>
      <c r="E602" s="125"/>
      <c r="F602" s="121">
        <f t="shared" si="1"/>
        <v>0</v>
      </c>
      <c r="G602" s="126"/>
      <c r="H602" s="123">
        <f t="shared" si="2"/>
        <v>0</v>
      </c>
      <c r="I602" s="124"/>
    </row>
    <row r="603" ht="15.75" customHeight="1">
      <c r="A603" s="32"/>
      <c r="D603" s="75"/>
      <c r="E603" s="125"/>
      <c r="F603" s="121">
        <f t="shared" si="1"/>
        <v>0</v>
      </c>
      <c r="G603" s="126"/>
      <c r="H603" s="123">
        <f t="shared" si="2"/>
        <v>0</v>
      </c>
      <c r="I603" s="124"/>
    </row>
    <row r="604" ht="15.75" customHeight="1">
      <c r="A604" s="32"/>
      <c r="D604" s="75"/>
      <c r="E604" s="125"/>
      <c r="F604" s="121">
        <f t="shared" si="1"/>
        <v>0</v>
      </c>
      <c r="G604" s="126"/>
      <c r="H604" s="123">
        <f t="shared" si="2"/>
        <v>0</v>
      </c>
      <c r="I604" s="124"/>
    </row>
    <row r="605" ht="15.75" customHeight="1">
      <c r="A605" s="32"/>
      <c r="D605" s="75"/>
      <c r="E605" s="125"/>
      <c r="F605" s="121">
        <f t="shared" si="1"/>
        <v>0</v>
      </c>
      <c r="G605" s="126"/>
      <c r="H605" s="123">
        <f t="shared" si="2"/>
        <v>0</v>
      </c>
      <c r="I605" s="124"/>
    </row>
    <row r="606" ht="15.75" customHeight="1">
      <c r="A606" s="32"/>
      <c r="D606" s="75"/>
      <c r="E606" s="125"/>
      <c r="F606" s="121">
        <f t="shared" si="1"/>
        <v>0</v>
      </c>
      <c r="G606" s="126"/>
      <c r="H606" s="123">
        <f t="shared" si="2"/>
        <v>0</v>
      </c>
      <c r="I606" s="124"/>
    </row>
    <row r="607" ht="15.75" customHeight="1">
      <c r="A607" s="32"/>
      <c r="D607" s="75"/>
      <c r="E607" s="125"/>
      <c r="F607" s="121">
        <f t="shared" si="1"/>
        <v>0</v>
      </c>
      <c r="G607" s="126"/>
      <c r="H607" s="123">
        <f t="shared" si="2"/>
        <v>0</v>
      </c>
      <c r="I607" s="124"/>
    </row>
    <row r="608" ht="15.75" customHeight="1">
      <c r="A608" s="32"/>
      <c r="D608" s="75"/>
      <c r="E608" s="125"/>
      <c r="F608" s="121">
        <f t="shared" si="1"/>
        <v>0</v>
      </c>
      <c r="G608" s="126"/>
      <c r="H608" s="123">
        <f t="shared" si="2"/>
        <v>0</v>
      </c>
      <c r="I608" s="124"/>
    </row>
    <row r="609" ht="15.75" customHeight="1">
      <c r="A609" s="32"/>
      <c r="D609" s="75"/>
      <c r="E609" s="125"/>
      <c r="F609" s="121">
        <f t="shared" si="1"/>
        <v>0</v>
      </c>
      <c r="G609" s="126"/>
      <c r="H609" s="123">
        <f t="shared" si="2"/>
        <v>0</v>
      </c>
      <c r="I609" s="124"/>
    </row>
    <row r="610" ht="15.75" customHeight="1">
      <c r="A610" s="32"/>
      <c r="D610" s="75"/>
      <c r="E610" s="125"/>
      <c r="F610" s="121">
        <f t="shared" si="1"/>
        <v>0</v>
      </c>
      <c r="G610" s="126"/>
      <c r="H610" s="123">
        <f t="shared" si="2"/>
        <v>0</v>
      </c>
      <c r="I610" s="124"/>
    </row>
    <row r="611" ht="15.75" customHeight="1">
      <c r="A611" s="32"/>
      <c r="D611" s="75"/>
      <c r="E611" s="125"/>
      <c r="F611" s="121">
        <f t="shared" si="1"/>
        <v>0</v>
      </c>
      <c r="G611" s="126"/>
      <c r="H611" s="123">
        <f t="shared" si="2"/>
        <v>0</v>
      </c>
      <c r="I611" s="124"/>
    </row>
    <row r="612" ht="15.75" customHeight="1">
      <c r="A612" s="32"/>
      <c r="D612" s="75"/>
      <c r="E612" s="125"/>
      <c r="F612" s="121">
        <f t="shared" si="1"/>
        <v>0</v>
      </c>
      <c r="G612" s="126"/>
      <c r="H612" s="123">
        <f t="shared" si="2"/>
        <v>0</v>
      </c>
      <c r="I612" s="124"/>
    </row>
    <row r="613" ht="15.75" customHeight="1">
      <c r="A613" s="32"/>
      <c r="D613" s="75"/>
      <c r="E613" s="125"/>
      <c r="F613" s="121">
        <f t="shared" si="1"/>
        <v>0</v>
      </c>
      <c r="G613" s="126"/>
      <c r="H613" s="123">
        <f t="shared" si="2"/>
        <v>0</v>
      </c>
      <c r="I613" s="124"/>
    </row>
    <row r="614" ht="15.75" customHeight="1">
      <c r="A614" s="32"/>
      <c r="D614" s="75"/>
      <c r="E614" s="125"/>
      <c r="F614" s="121">
        <f t="shared" si="1"/>
        <v>0</v>
      </c>
      <c r="G614" s="126"/>
      <c r="H614" s="123">
        <f t="shared" si="2"/>
        <v>0</v>
      </c>
      <c r="I614" s="124"/>
    </row>
    <row r="615" ht="15.75" customHeight="1">
      <c r="A615" s="32"/>
      <c r="D615" s="75"/>
      <c r="E615" s="125"/>
      <c r="F615" s="121">
        <f t="shared" si="1"/>
        <v>0</v>
      </c>
      <c r="G615" s="126"/>
      <c r="H615" s="123">
        <f t="shared" si="2"/>
        <v>0</v>
      </c>
      <c r="I615" s="124"/>
    </row>
    <row r="616" ht="15.75" customHeight="1">
      <c r="A616" s="32"/>
      <c r="D616" s="75"/>
      <c r="E616" s="125"/>
      <c r="F616" s="121">
        <f t="shared" si="1"/>
        <v>0</v>
      </c>
      <c r="G616" s="126"/>
      <c r="H616" s="123">
        <f t="shared" si="2"/>
        <v>0</v>
      </c>
      <c r="I616" s="124"/>
    </row>
    <row r="617" ht="15.75" customHeight="1">
      <c r="A617" s="32"/>
      <c r="D617" s="75"/>
      <c r="E617" s="125"/>
      <c r="F617" s="121">
        <f t="shared" si="1"/>
        <v>0</v>
      </c>
      <c r="G617" s="126"/>
      <c r="H617" s="123">
        <f t="shared" si="2"/>
        <v>0</v>
      </c>
      <c r="I617" s="124"/>
    </row>
    <row r="618" ht="15.75" customHeight="1">
      <c r="A618" s="32"/>
      <c r="D618" s="75"/>
      <c r="E618" s="125"/>
      <c r="F618" s="121">
        <f t="shared" si="1"/>
        <v>0</v>
      </c>
      <c r="G618" s="126"/>
      <c r="H618" s="123">
        <f t="shared" si="2"/>
        <v>0</v>
      </c>
      <c r="I618" s="124"/>
    </row>
    <row r="619" ht="15.75" customHeight="1">
      <c r="A619" s="32"/>
      <c r="D619" s="75"/>
      <c r="E619" s="125"/>
      <c r="F619" s="121">
        <f t="shared" si="1"/>
        <v>0</v>
      </c>
      <c r="G619" s="126"/>
      <c r="H619" s="123">
        <f t="shared" si="2"/>
        <v>0</v>
      </c>
      <c r="I619" s="124"/>
    </row>
    <row r="620" ht="15.75" customHeight="1">
      <c r="A620" s="32"/>
      <c r="D620" s="75"/>
      <c r="E620" s="125"/>
      <c r="F620" s="121">
        <f t="shared" si="1"/>
        <v>0</v>
      </c>
      <c r="G620" s="126"/>
      <c r="H620" s="123">
        <f t="shared" si="2"/>
        <v>0</v>
      </c>
      <c r="I620" s="124"/>
    </row>
    <row r="621" ht="15.75" customHeight="1">
      <c r="A621" s="32"/>
      <c r="D621" s="75"/>
      <c r="E621" s="125"/>
      <c r="F621" s="121">
        <f t="shared" si="1"/>
        <v>0</v>
      </c>
      <c r="G621" s="126"/>
      <c r="H621" s="123">
        <f t="shared" si="2"/>
        <v>0</v>
      </c>
      <c r="I621" s="124"/>
    </row>
    <row r="622" ht="15.75" customHeight="1">
      <c r="A622" s="32"/>
      <c r="D622" s="75"/>
      <c r="E622" s="125"/>
      <c r="F622" s="121">
        <f t="shared" si="1"/>
        <v>0</v>
      </c>
      <c r="G622" s="126"/>
      <c r="H622" s="123">
        <f t="shared" si="2"/>
        <v>0</v>
      </c>
      <c r="I622" s="124"/>
    </row>
    <row r="623" ht="15.75" customHeight="1">
      <c r="A623" s="32"/>
      <c r="D623" s="75"/>
      <c r="E623" s="125"/>
      <c r="F623" s="121">
        <f t="shared" si="1"/>
        <v>0</v>
      </c>
      <c r="G623" s="126"/>
      <c r="H623" s="123">
        <f t="shared" si="2"/>
        <v>0</v>
      </c>
      <c r="I623" s="124"/>
    </row>
    <row r="624" ht="15.75" customHeight="1">
      <c r="A624" s="32"/>
      <c r="D624" s="75"/>
      <c r="E624" s="125"/>
      <c r="F624" s="121">
        <f t="shared" si="1"/>
        <v>0</v>
      </c>
      <c r="G624" s="126"/>
      <c r="H624" s="123">
        <f t="shared" si="2"/>
        <v>0</v>
      </c>
      <c r="I624" s="124"/>
    </row>
    <row r="625" ht="15.75" customHeight="1">
      <c r="A625" s="32"/>
      <c r="D625" s="75"/>
      <c r="E625" s="125"/>
      <c r="F625" s="121">
        <f t="shared" si="1"/>
        <v>0</v>
      </c>
      <c r="G625" s="126"/>
      <c r="H625" s="123">
        <f t="shared" si="2"/>
        <v>0</v>
      </c>
      <c r="I625" s="124"/>
    </row>
    <row r="626" ht="15.75" customHeight="1">
      <c r="A626" s="32"/>
      <c r="D626" s="75"/>
      <c r="E626" s="125"/>
      <c r="F626" s="121">
        <f t="shared" si="1"/>
        <v>0</v>
      </c>
      <c r="G626" s="126"/>
      <c r="H626" s="123">
        <f t="shared" si="2"/>
        <v>0</v>
      </c>
      <c r="I626" s="124"/>
    </row>
    <row r="627" ht="15.75" customHeight="1">
      <c r="A627" s="32"/>
      <c r="D627" s="75"/>
      <c r="E627" s="125"/>
      <c r="F627" s="121">
        <f t="shared" si="1"/>
        <v>0</v>
      </c>
      <c r="G627" s="126"/>
      <c r="H627" s="123">
        <f t="shared" si="2"/>
        <v>0</v>
      </c>
      <c r="I627" s="124"/>
    </row>
    <row r="628" ht="15.75" customHeight="1">
      <c r="A628" s="32"/>
      <c r="D628" s="75"/>
      <c r="E628" s="125"/>
      <c r="F628" s="121">
        <f t="shared" si="1"/>
        <v>0</v>
      </c>
      <c r="G628" s="126"/>
      <c r="H628" s="123">
        <f t="shared" si="2"/>
        <v>0</v>
      </c>
      <c r="I628" s="124"/>
    </row>
    <row r="629" ht="15.75" customHeight="1">
      <c r="A629" s="32"/>
      <c r="D629" s="75"/>
      <c r="E629" s="125"/>
      <c r="F629" s="121">
        <f t="shared" si="1"/>
        <v>0</v>
      </c>
      <c r="G629" s="126"/>
      <c r="H629" s="123">
        <f t="shared" si="2"/>
        <v>0</v>
      </c>
      <c r="I629" s="124"/>
    </row>
    <row r="630" ht="15.75" customHeight="1">
      <c r="A630" s="32"/>
      <c r="D630" s="75"/>
      <c r="E630" s="125"/>
      <c r="F630" s="121">
        <f t="shared" si="1"/>
        <v>0</v>
      </c>
      <c r="G630" s="126"/>
      <c r="H630" s="123">
        <f t="shared" si="2"/>
        <v>0</v>
      </c>
      <c r="I630" s="124"/>
    </row>
    <row r="631" ht="15.75" customHeight="1">
      <c r="A631" s="32"/>
      <c r="D631" s="75"/>
      <c r="E631" s="125"/>
      <c r="F631" s="121">
        <f t="shared" si="1"/>
        <v>0</v>
      </c>
      <c r="G631" s="126"/>
      <c r="H631" s="123">
        <f t="shared" si="2"/>
        <v>0</v>
      </c>
      <c r="I631" s="124"/>
    </row>
    <row r="632" ht="15.75" customHeight="1">
      <c r="A632" s="32"/>
      <c r="D632" s="75"/>
      <c r="E632" s="125"/>
      <c r="F632" s="121">
        <f t="shared" si="1"/>
        <v>0</v>
      </c>
      <c r="G632" s="126"/>
      <c r="H632" s="123">
        <f t="shared" si="2"/>
        <v>0</v>
      </c>
      <c r="I632" s="124"/>
    </row>
    <row r="633" ht="15.75" customHeight="1">
      <c r="A633" s="32"/>
      <c r="D633" s="75"/>
      <c r="E633" s="125"/>
      <c r="F633" s="121">
        <f t="shared" si="1"/>
        <v>0</v>
      </c>
      <c r="G633" s="126"/>
      <c r="H633" s="123">
        <f t="shared" si="2"/>
        <v>0</v>
      </c>
      <c r="I633" s="124"/>
    </row>
    <row r="634" ht="15.75" customHeight="1">
      <c r="A634" s="32"/>
      <c r="D634" s="75"/>
      <c r="E634" s="125"/>
      <c r="F634" s="121">
        <f t="shared" si="1"/>
        <v>0</v>
      </c>
      <c r="G634" s="126"/>
      <c r="H634" s="123">
        <f t="shared" si="2"/>
        <v>0</v>
      </c>
      <c r="I634" s="124"/>
    </row>
    <row r="635" ht="15.75" customHeight="1">
      <c r="A635" s="32"/>
      <c r="D635" s="75"/>
      <c r="E635" s="125"/>
      <c r="F635" s="121">
        <f t="shared" si="1"/>
        <v>0</v>
      </c>
      <c r="G635" s="126"/>
      <c r="H635" s="123">
        <f t="shared" si="2"/>
        <v>0</v>
      </c>
      <c r="I635" s="124"/>
    </row>
    <row r="636" ht="15.75" customHeight="1">
      <c r="A636" s="32"/>
      <c r="D636" s="75"/>
      <c r="E636" s="125"/>
      <c r="F636" s="121">
        <f t="shared" si="1"/>
        <v>0</v>
      </c>
      <c r="G636" s="126"/>
      <c r="H636" s="123">
        <f t="shared" si="2"/>
        <v>0</v>
      </c>
      <c r="I636" s="124"/>
    </row>
    <row r="637" ht="15.75" customHeight="1">
      <c r="A637" s="32"/>
      <c r="D637" s="75"/>
      <c r="E637" s="125"/>
      <c r="F637" s="121">
        <f t="shared" si="1"/>
        <v>0</v>
      </c>
      <c r="G637" s="126"/>
      <c r="H637" s="123">
        <f t="shared" si="2"/>
        <v>0</v>
      </c>
      <c r="I637" s="124"/>
    </row>
    <row r="638" ht="15.75" customHeight="1">
      <c r="A638" s="32"/>
      <c r="D638" s="75"/>
      <c r="E638" s="125"/>
      <c r="F638" s="121">
        <f t="shared" si="1"/>
        <v>0</v>
      </c>
      <c r="G638" s="126"/>
      <c r="H638" s="123">
        <f t="shared" si="2"/>
        <v>0</v>
      </c>
      <c r="I638" s="124"/>
    </row>
    <row r="639" ht="15.75" customHeight="1">
      <c r="A639" s="32"/>
      <c r="D639" s="75"/>
      <c r="E639" s="125"/>
      <c r="F639" s="121">
        <f t="shared" si="1"/>
        <v>0</v>
      </c>
      <c r="G639" s="126"/>
      <c r="H639" s="123">
        <f t="shared" si="2"/>
        <v>0</v>
      </c>
      <c r="I639" s="124"/>
    </row>
    <row r="640" ht="15.75" customHeight="1">
      <c r="A640" s="32"/>
      <c r="D640" s="75"/>
      <c r="E640" s="125"/>
      <c r="F640" s="121">
        <f t="shared" si="1"/>
        <v>0</v>
      </c>
      <c r="G640" s="126"/>
      <c r="H640" s="123">
        <f t="shared" si="2"/>
        <v>0</v>
      </c>
      <c r="I640" s="124"/>
    </row>
    <row r="641" ht="15.75" customHeight="1">
      <c r="A641" s="32"/>
      <c r="D641" s="75"/>
      <c r="E641" s="125"/>
      <c r="F641" s="121">
        <f t="shared" si="1"/>
        <v>0</v>
      </c>
      <c r="G641" s="126"/>
      <c r="H641" s="123">
        <f t="shared" si="2"/>
        <v>0</v>
      </c>
      <c r="I641" s="124"/>
    </row>
    <row r="642" ht="15.75" customHeight="1">
      <c r="A642" s="32"/>
      <c r="D642" s="75"/>
      <c r="E642" s="125"/>
      <c r="F642" s="121">
        <f t="shared" si="1"/>
        <v>0</v>
      </c>
      <c r="G642" s="126"/>
      <c r="H642" s="123">
        <f t="shared" si="2"/>
        <v>0</v>
      </c>
      <c r="I642" s="124"/>
    </row>
    <row r="643" ht="15.75" customHeight="1">
      <c r="A643" s="32"/>
      <c r="D643" s="75"/>
      <c r="E643" s="125"/>
      <c r="F643" s="121">
        <f t="shared" si="1"/>
        <v>0</v>
      </c>
      <c r="G643" s="126"/>
      <c r="H643" s="123">
        <f t="shared" si="2"/>
        <v>0</v>
      </c>
      <c r="I643" s="124"/>
    </row>
    <row r="644" ht="15.75" customHeight="1">
      <c r="A644" s="32"/>
      <c r="D644" s="75"/>
      <c r="E644" s="125"/>
      <c r="F644" s="121">
        <f t="shared" si="1"/>
        <v>0</v>
      </c>
      <c r="G644" s="126"/>
      <c r="H644" s="123">
        <f t="shared" si="2"/>
        <v>0</v>
      </c>
      <c r="I644" s="124"/>
    </row>
    <row r="645" ht="15.75" customHeight="1">
      <c r="A645" s="32"/>
      <c r="D645" s="75"/>
      <c r="E645" s="125"/>
      <c r="F645" s="121">
        <f t="shared" si="1"/>
        <v>0</v>
      </c>
      <c r="G645" s="126"/>
      <c r="H645" s="123">
        <f t="shared" si="2"/>
        <v>0</v>
      </c>
      <c r="I645" s="124"/>
    </row>
    <row r="646" ht="15.75" customHeight="1">
      <c r="A646" s="32"/>
      <c r="D646" s="75"/>
      <c r="E646" s="125"/>
      <c r="F646" s="121">
        <f t="shared" si="1"/>
        <v>0</v>
      </c>
      <c r="G646" s="126"/>
      <c r="H646" s="123">
        <f t="shared" si="2"/>
        <v>0</v>
      </c>
      <c r="I646" s="124"/>
    </row>
    <row r="647" ht="15.75" customHeight="1">
      <c r="A647" s="32"/>
      <c r="D647" s="75"/>
      <c r="E647" s="125"/>
      <c r="F647" s="121">
        <f t="shared" si="1"/>
        <v>0</v>
      </c>
      <c r="G647" s="126"/>
      <c r="H647" s="123">
        <f t="shared" si="2"/>
        <v>0</v>
      </c>
      <c r="I647" s="124"/>
    </row>
    <row r="648" ht="15.75" customHeight="1">
      <c r="A648" s="32"/>
      <c r="D648" s="75"/>
      <c r="E648" s="125"/>
      <c r="F648" s="121">
        <f t="shared" si="1"/>
        <v>0</v>
      </c>
      <c r="G648" s="126"/>
      <c r="H648" s="123">
        <f t="shared" si="2"/>
        <v>0</v>
      </c>
      <c r="I648" s="124"/>
    </row>
    <row r="649" ht="15.75" customHeight="1">
      <c r="A649" s="32"/>
      <c r="D649" s="75"/>
      <c r="E649" s="125"/>
      <c r="F649" s="121">
        <f t="shared" si="1"/>
        <v>0</v>
      </c>
      <c r="G649" s="126"/>
      <c r="H649" s="123">
        <f t="shared" si="2"/>
        <v>0</v>
      </c>
      <c r="I649" s="124"/>
    </row>
    <row r="650" ht="15.75" customHeight="1">
      <c r="A650" s="32"/>
      <c r="D650" s="75"/>
      <c r="E650" s="125"/>
      <c r="F650" s="121">
        <f t="shared" si="1"/>
        <v>0</v>
      </c>
      <c r="G650" s="126"/>
      <c r="H650" s="123">
        <f t="shared" si="2"/>
        <v>0</v>
      </c>
      <c r="I650" s="124"/>
    </row>
    <row r="651" ht="15.75" customHeight="1">
      <c r="A651" s="32"/>
      <c r="D651" s="75"/>
      <c r="E651" s="125"/>
      <c r="F651" s="121">
        <f t="shared" si="1"/>
        <v>0</v>
      </c>
      <c r="G651" s="126"/>
      <c r="H651" s="123">
        <f t="shared" si="2"/>
        <v>0</v>
      </c>
      <c r="I651" s="124"/>
    </row>
    <row r="652" ht="15.75" customHeight="1">
      <c r="A652" s="32"/>
      <c r="D652" s="75"/>
      <c r="E652" s="125"/>
      <c r="F652" s="121">
        <f t="shared" si="1"/>
        <v>0</v>
      </c>
      <c r="G652" s="126"/>
      <c r="H652" s="123">
        <f t="shared" si="2"/>
        <v>0</v>
      </c>
      <c r="I652" s="124"/>
    </row>
    <row r="653" ht="15.75" customHeight="1">
      <c r="A653" s="32"/>
      <c r="D653" s="75"/>
      <c r="E653" s="125"/>
      <c r="F653" s="121">
        <f t="shared" si="1"/>
        <v>0</v>
      </c>
      <c r="G653" s="126"/>
      <c r="H653" s="123">
        <f t="shared" si="2"/>
        <v>0</v>
      </c>
      <c r="I653" s="124"/>
    </row>
    <row r="654" ht="15.75" customHeight="1">
      <c r="A654" s="32"/>
      <c r="D654" s="75"/>
      <c r="E654" s="125"/>
      <c r="F654" s="121">
        <f t="shared" si="1"/>
        <v>0</v>
      </c>
      <c r="G654" s="126"/>
      <c r="H654" s="123">
        <f t="shared" si="2"/>
        <v>0</v>
      </c>
      <c r="I654" s="124"/>
    </row>
    <row r="655" ht="15.75" customHeight="1">
      <c r="A655" s="32"/>
      <c r="D655" s="75"/>
      <c r="E655" s="125"/>
      <c r="F655" s="121">
        <f t="shared" si="1"/>
        <v>0</v>
      </c>
      <c r="G655" s="126"/>
      <c r="H655" s="123">
        <f t="shared" si="2"/>
        <v>0</v>
      </c>
      <c r="I655" s="124"/>
    </row>
    <row r="656" ht="15.75" customHeight="1">
      <c r="A656" s="32"/>
      <c r="D656" s="75"/>
      <c r="E656" s="125"/>
      <c r="F656" s="121">
        <f t="shared" si="1"/>
        <v>0</v>
      </c>
      <c r="G656" s="126"/>
      <c r="H656" s="123">
        <f t="shared" si="2"/>
        <v>0</v>
      </c>
      <c r="I656" s="124"/>
    </row>
    <row r="657" ht="15.75" customHeight="1">
      <c r="A657" s="32"/>
      <c r="D657" s="75"/>
      <c r="E657" s="125"/>
      <c r="F657" s="121">
        <f t="shared" si="1"/>
        <v>0</v>
      </c>
      <c r="G657" s="126"/>
      <c r="H657" s="123">
        <f t="shared" si="2"/>
        <v>0</v>
      </c>
      <c r="I657" s="124"/>
    </row>
    <row r="658" ht="15.75" customHeight="1">
      <c r="A658" s="32"/>
      <c r="D658" s="75"/>
      <c r="E658" s="125"/>
      <c r="F658" s="121">
        <f t="shared" si="1"/>
        <v>0</v>
      </c>
      <c r="G658" s="126"/>
      <c r="H658" s="123">
        <f t="shared" si="2"/>
        <v>0</v>
      </c>
      <c r="I658" s="124"/>
    </row>
    <row r="659" ht="15.75" customHeight="1">
      <c r="A659" s="32"/>
      <c r="D659" s="75"/>
      <c r="E659" s="125"/>
      <c r="F659" s="121">
        <f t="shared" si="1"/>
        <v>0</v>
      </c>
      <c r="G659" s="126"/>
      <c r="H659" s="123">
        <f t="shared" si="2"/>
        <v>0</v>
      </c>
      <c r="I659" s="124"/>
    </row>
    <row r="660" ht="15.75" customHeight="1">
      <c r="A660" s="32"/>
      <c r="D660" s="75"/>
      <c r="E660" s="125"/>
      <c r="F660" s="121">
        <f t="shared" si="1"/>
        <v>0</v>
      </c>
      <c r="G660" s="126"/>
      <c r="H660" s="123">
        <f t="shared" si="2"/>
        <v>0</v>
      </c>
      <c r="I660" s="124"/>
    </row>
    <row r="661" ht="15.75" customHeight="1">
      <c r="A661" s="32"/>
      <c r="D661" s="75"/>
      <c r="E661" s="125"/>
      <c r="F661" s="121">
        <f t="shared" si="1"/>
        <v>0</v>
      </c>
      <c r="G661" s="126"/>
      <c r="H661" s="123">
        <f t="shared" si="2"/>
        <v>0</v>
      </c>
      <c r="I661" s="124"/>
    </row>
    <row r="662" ht="15.75" customHeight="1">
      <c r="A662" s="32"/>
      <c r="D662" s="75"/>
      <c r="E662" s="125"/>
      <c r="F662" s="121">
        <f t="shared" si="1"/>
        <v>0</v>
      </c>
      <c r="G662" s="126"/>
      <c r="H662" s="123">
        <f t="shared" si="2"/>
        <v>0</v>
      </c>
      <c r="I662" s="124"/>
    </row>
    <row r="663" ht="15.75" customHeight="1">
      <c r="A663" s="32"/>
      <c r="D663" s="75"/>
      <c r="E663" s="125"/>
      <c r="F663" s="121">
        <f t="shared" si="1"/>
        <v>0</v>
      </c>
      <c r="G663" s="126"/>
      <c r="H663" s="123">
        <f t="shared" si="2"/>
        <v>0</v>
      </c>
      <c r="I663" s="124"/>
    </row>
    <row r="664" ht="15.75" customHeight="1">
      <c r="A664" s="32"/>
      <c r="D664" s="75"/>
      <c r="E664" s="125"/>
      <c r="F664" s="121">
        <f t="shared" si="1"/>
        <v>0</v>
      </c>
      <c r="G664" s="126"/>
      <c r="H664" s="123">
        <f t="shared" si="2"/>
        <v>0</v>
      </c>
      <c r="I664" s="124"/>
    </row>
    <row r="665" ht="15.75" customHeight="1">
      <c r="A665" s="32"/>
      <c r="D665" s="75"/>
      <c r="E665" s="125"/>
      <c r="F665" s="121">
        <f t="shared" si="1"/>
        <v>0</v>
      </c>
      <c r="G665" s="126"/>
      <c r="H665" s="123">
        <f t="shared" si="2"/>
        <v>0</v>
      </c>
      <c r="I665" s="124"/>
    </row>
    <row r="666" ht="15.75" customHeight="1">
      <c r="A666" s="32"/>
      <c r="D666" s="75"/>
      <c r="E666" s="125"/>
      <c r="F666" s="121">
        <f t="shared" si="1"/>
        <v>0</v>
      </c>
      <c r="G666" s="126"/>
      <c r="H666" s="123">
        <f t="shared" si="2"/>
        <v>0</v>
      </c>
      <c r="I666" s="124"/>
    </row>
    <row r="667" ht="15.75" customHeight="1">
      <c r="A667" s="32"/>
      <c r="D667" s="75"/>
      <c r="E667" s="125"/>
      <c r="F667" s="121">
        <f t="shared" si="1"/>
        <v>0</v>
      </c>
      <c r="G667" s="126"/>
      <c r="H667" s="123">
        <f t="shared" si="2"/>
        <v>0</v>
      </c>
      <c r="I667" s="124"/>
    </row>
    <row r="668" ht="15.75" customHeight="1">
      <c r="A668" s="32"/>
      <c r="D668" s="75"/>
      <c r="E668" s="125"/>
      <c r="F668" s="121">
        <f t="shared" si="1"/>
        <v>0</v>
      </c>
      <c r="G668" s="126"/>
      <c r="H668" s="123">
        <f t="shared" si="2"/>
        <v>0</v>
      </c>
      <c r="I668" s="124"/>
    </row>
    <row r="669" ht="15.75" customHeight="1">
      <c r="A669" s="32"/>
      <c r="D669" s="75"/>
      <c r="E669" s="125"/>
      <c r="F669" s="121">
        <f t="shared" si="1"/>
        <v>0</v>
      </c>
      <c r="G669" s="126"/>
      <c r="H669" s="123">
        <f t="shared" si="2"/>
        <v>0</v>
      </c>
      <c r="I669" s="124"/>
    </row>
    <row r="670" ht="15.75" customHeight="1">
      <c r="A670" s="32"/>
      <c r="D670" s="75"/>
      <c r="E670" s="125"/>
      <c r="F670" s="121">
        <f t="shared" si="1"/>
        <v>0</v>
      </c>
      <c r="G670" s="126"/>
      <c r="H670" s="123">
        <f t="shared" si="2"/>
        <v>0</v>
      </c>
      <c r="I670" s="124"/>
    </row>
    <row r="671" ht="15.75" customHeight="1">
      <c r="A671" s="32"/>
      <c r="D671" s="75"/>
      <c r="E671" s="125"/>
      <c r="F671" s="121">
        <f t="shared" si="1"/>
        <v>0</v>
      </c>
      <c r="G671" s="126"/>
      <c r="H671" s="123">
        <f t="shared" si="2"/>
        <v>0</v>
      </c>
      <c r="I671" s="124"/>
    </row>
    <row r="672" ht="15.75" customHeight="1">
      <c r="A672" s="32"/>
      <c r="D672" s="75"/>
      <c r="E672" s="125"/>
      <c r="F672" s="121">
        <f t="shared" si="1"/>
        <v>0</v>
      </c>
      <c r="G672" s="126"/>
      <c r="H672" s="123">
        <f t="shared" si="2"/>
        <v>0</v>
      </c>
      <c r="I672" s="124"/>
    </row>
    <row r="673" ht="15.75" customHeight="1">
      <c r="A673" s="32"/>
      <c r="D673" s="75"/>
      <c r="E673" s="125"/>
      <c r="F673" s="121">
        <f t="shared" si="1"/>
        <v>0</v>
      </c>
      <c r="G673" s="126"/>
      <c r="H673" s="123">
        <f t="shared" si="2"/>
        <v>0</v>
      </c>
      <c r="I673" s="124"/>
    </row>
    <row r="674" ht="15.75" customHeight="1">
      <c r="A674" s="32"/>
      <c r="D674" s="75"/>
      <c r="E674" s="125"/>
      <c r="F674" s="121">
        <f t="shared" si="1"/>
        <v>0</v>
      </c>
      <c r="G674" s="126"/>
      <c r="H674" s="123">
        <f t="shared" si="2"/>
        <v>0</v>
      </c>
      <c r="I674" s="124"/>
    </row>
    <row r="675" ht="15.75" customHeight="1">
      <c r="A675" s="32"/>
      <c r="D675" s="75"/>
      <c r="E675" s="125"/>
      <c r="F675" s="121">
        <f t="shared" si="1"/>
        <v>0</v>
      </c>
      <c r="G675" s="126"/>
      <c r="H675" s="123">
        <f t="shared" si="2"/>
        <v>0</v>
      </c>
      <c r="I675" s="124"/>
    </row>
    <row r="676" ht="15.75" customHeight="1">
      <c r="A676" s="32"/>
      <c r="D676" s="75"/>
      <c r="E676" s="125"/>
      <c r="F676" s="121">
        <f t="shared" si="1"/>
        <v>0</v>
      </c>
      <c r="G676" s="126"/>
      <c r="H676" s="123">
        <f t="shared" si="2"/>
        <v>0</v>
      </c>
      <c r="I676" s="124"/>
    </row>
    <row r="677" ht="15.75" customHeight="1">
      <c r="A677" s="32"/>
      <c r="D677" s="75"/>
      <c r="E677" s="125"/>
      <c r="F677" s="121">
        <f t="shared" si="1"/>
        <v>0</v>
      </c>
      <c r="G677" s="126"/>
      <c r="H677" s="123">
        <f t="shared" si="2"/>
        <v>0</v>
      </c>
      <c r="I677" s="124"/>
    </row>
    <row r="678" ht="15.75" customHeight="1">
      <c r="A678" s="32"/>
      <c r="D678" s="75"/>
      <c r="E678" s="125"/>
      <c r="F678" s="121">
        <f t="shared" si="1"/>
        <v>0</v>
      </c>
      <c r="G678" s="126"/>
      <c r="H678" s="123">
        <f t="shared" si="2"/>
        <v>0</v>
      </c>
      <c r="I678" s="124"/>
    </row>
    <row r="679" ht="15.75" customHeight="1">
      <c r="A679" s="32"/>
      <c r="D679" s="75"/>
      <c r="E679" s="125"/>
      <c r="F679" s="121">
        <f t="shared" si="1"/>
        <v>0</v>
      </c>
      <c r="G679" s="126"/>
      <c r="H679" s="123">
        <f t="shared" si="2"/>
        <v>0</v>
      </c>
      <c r="I679" s="124"/>
    </row>
    <row r="680" ht="15.75" customHeight="1">
      <c r="A680" s="32"/>
      <c r="D680" s="75"/>
      <c r="E680" s="125"/>
      <c r="F680" s="121">
        <f t="shared" si="1"/>
        <v>0</v>
      </c>
      <c r="G680" s="126"/>
      <c r="H680" s="123">
        <f t="shared" si="2"/>
        <v>0</v>
      </c>
      <c r="I680" s="124"/>
    </row>
    <row r="681" ht="15.75" customHeight="1">
      <c r="A681" s="32"/>
      <c r="D681" s="75"/>
      <c r="E681" s="125"/>
      <c r="F681" s="121">
        <f t="shared" si="1"/>
        <v>0</v>
      </c>
      <c r="G681" s="126"/>
      <c r="H681" s="123">
        <f t="shared" si="2"/>
        <v>0</v>
      </c>
      <c r="I681" s="124"/>
    </row>
    <row r="682" ht="15.75" customHeight="1">
      <c r="A682" s="32"/>
      <c r="D682" s="75"/>
      <c r="E682" s="125"/>
      <c r="F682" s="121">
        <f t="shared" si="1"/>
        <v>0</v>
      </c>
      <c r="G682" s="126"/>
      <c r="H682" s="123">
        <f t="shared" si="2"/>
        <v>0</v>
      </c>
      <c r="I682" s="124"/>
    </row>
    <row r="683" ht="15.75" customHeight="1">
      <c r="A683" s="32"/>
      <c r="D683" s="75"/>
      <c r="E683" s="125"/>
      <c r="F683" s="121">
        <f t="shared" si="1"/>
        <v>0</v>
      </c>
      <c r="G683" s="126"/>
      <c r="H683" s="123">
        <f t="shared" si="2"/>
        <v>0</v>
      </c>
      <c r="I683" s="124"/>
    </row>
    <row r="684" ht="15.75" customHeight="1">
      <c r="A684" s="32"/>
      <c r="D684" s="75"/>
      <c r="E684" s="125"/>
      <c r="F684" s="121">
        <f t="shared" si="1"/>
        <v>0</v>
      </c>
      <c r="G684" s="126"/>
      <c r="H684" s="123">
        <f t="shared" si="2"/>
        <v>0</v>
      </c>
      <c r="I684" s="124"/>
    </row>
    <row r="685" ht="15.75" customHeight="1">
      <c r="A685" s="32"/>
      <c r="D685" s="75"/>
      <c r="E685" s="125"/>
      <c r="F685" s="121">
        <f t="shared" si="1"/>
        <v>0</v>
      </c>
      <c r="G685" s="126"/>
      <c r="H685" s="123">
        <f t="shared" si="2"/>
        <v>0</v>
      </c>
      <c r="I685" s="124"/>
    </row>
    <row r="686" ht="15.75" customHeight="1">
      <c r="A686" s="32"/>
      <c r="D686" s="75"/>
      <c r="E686" s="125"/>
      <c r="F686" s="121">
        <f t="shared" si="1"/>
        <v>0</v>
      </c>
      <c r="G686" s="126"/>
      <c r="H686" s="123">
        <f t="shared" si="2"/>
        <v>0</v>
      </c>
      <c r="I686" s="124"/>
    </row>
    <row r="687" ht="15.75" customHeight="1">
      <c r="A687" s="32"/>
      <c r="D687" s="75"/>
      <c r="E687" s="125"/>
      <c r="F687" s="121">
        <f t="shared" si="1"/>
        <v>0</v>
      </c>
      <c r="G687" s="126"/>
      <c r="H687" s="123">
        <f t="shared" si="2"/>
        <v>0</v>
      </c>
      <c r="I687" s="124"/>
    </row>
    <row r="688" ht="15.75" customHeight="1">
      <c r="A688" s="32"/>
      <c r="D688" s="75"/>
      <c r="E688" s="125"/>
      <c r="F688" s="121">
        <f t="shared" si="1"/>
        <v>0</v>
      </c>
      <c r="G688" s="126"/>
      <c r="H688" s="123">
        <f t="shared" si="2"/>
        <v>0</v>
      </c>
      <c r="I688" s="124"/>
    </row>
    <row r="689" ht="15.75" customHeight="1">
      <c r="A689" s="32"/>
      <c r="D689" s="75"/>
      <c r="E689" s="125"/>
      <c r="F689" s="121">
        <f t="shared" si="1"/>
        <v>0</v>
      </c>
      <c r="G689" s="126"/>
      <c r="H689" s="123">
        <f t="shared" si="2"/>
        <v>0</v>
      </c>
      <c r="I689" s="124"/>
    </row>
    <row r="690" ht="15.75" customHeight="1">
      <c r="A690" s="32"/>
      <c r="D690" s="75"/>
      <c r="E690" s="125"/>
      <c r="F690" s="121">
        <f t="shared" si="1"/>
        <v>0</v>
      </c>
      <c r="G690" s="126"/>
      <c r="H690" s="123">
        <f t="shared" si="2"/>
        <v>0</v>
      </c>
      <c r="I690" s="124"/>
    </row>
    <row r="691" ht="15.75" customHeight="1">
      <c r="A691" s="32"/>
      <c r="D691" s="75"/>
      <c r="E691" s="125"/>
      <c r="F691" s="121">
        <f t="shared" si="1"/>
        <v>0</v>
      </c>
      <c r="G691" s="126"/>
      <c r="H691" s="123">
        <f t="shared" si="2"/>
        <v>0</v>
      </c>
      <c r="I691" s="124"/>
    </row>
    <row r="692" ht="15.75" customHeight="1">
      <c r="A692" s="32"/>
      <c r="D692" s="75"/>
      <c r="E692" s="125"/>
      <c r="F692" s="121">
        <f t="shared" si="1"/>
        <v>0</v>
      </c>
      <c r="G692" s="126"/>
      <c r="H692" s="123">
        <f t="shared" si="2"/>
        <v>0</v>
      </c>
      <c r="I692" s="124"/>
    </row>
    <row r="693" ht="15.75" customHeight="1">
      <c r="A693" s="32"/>
      <c r="D693" s="75"/>
      <c r="E693" s="125"/>
      <c r="F693" s="121">
        <f t="shared" si="1"/>
        <v>0</v>
      </c>
      <c r="G693" s="126"/>
      <c r="H693" s="123">
        <f t="shared" si="2"/>
        <v>0</v>
      </c>
      <c r="I693" s="124"/>
    </row>
    <row r="694" ht="15.75" customHeight="1">
      <c r="A694" s="32"/>
      <c r="D694" s="75"/>
      <c r="E694" s="125"/>
      <c r="F694" s="121">
        <f t="shared" si="1"/>
        <v>0</v>
      </c>
      <c r="G694" s="126"/>
      <c r="H694" s="123">
        <f t="shared" si="2"/>
        <v>0</v>
      </c>
      <c r="I694" s="124"/>
    </row>
    <row r="695" ht="15.75" customHeight="1">
      <c r="A695" s="32"/>
      <c r="D695" s="75"/>
      <c r="E695" s="125"/>
      <c r="F695" s="121">
        <f t="shared" si="1"/>
        <v>0</v>
      </c>
      <c r="G695" s="126"/>
      <c r="H695" s="123">
        <f t="shared" si="2"/>
        <v>0</v>
      </c>
      <c r="I695" s="124"/>
    </row>
    <row r="696" ht="15.75" customHeight="1">
      <c r="A696" s="32"/>
      <c r="D696" s="75"/>
      <c r="E696" s="125"/>
      <c r="F696" s="121">
        <f t="shared" si="1"/>
        <v>0</v>
      </c>
      <c r="G696" s="126"/>
      <c r="H696" s="123">
        <f t="shared" si="2"/>
        <v>0</v>
      </c>
      <c r="I696" s="124"/>
    </row>
    <row r="697" ht="15.75" customHeight="1">
      <c r="A697" s="32"/>
      <c r="D697" s="75"/>
      <c r="E697" s="125"/>
      <c r="F697" s="121">
        <f t="shared" si="1"/>
        <v>0</v>
      </c>
      <c r="G697" s="126"/>
      <c r="H697" s="123">
        <f t="shared" si="2"/>
        <v>0</v>
      </c>
      <c r="I697" s="124"/>
    </row>
    <row r="698" ht="15.75" customHeight="1">
      <c r="A698" s="32"/>
      <c r="D698" s="75"/>
      <c r="E698" s="125"/>
      <c r="F698" s="121">
        <f t="shared" si="1"/>
        <v>0</v>
      </c>
      <c r="G698" s="126"/>
      <c r="H698" s="123">
        <f t="shared" si="2"/>
        <v>0</v>
      </c>
      <c r="I698" s="124"/>
    </row>
    <row r="699" ht="15.75" customHeight="1">
      <c r="A699" s="32"/>
      <c r="D699" s="75"/>
      <c r="E699" s="125"/>
      <c r="F699" s="121">
        <f t="shared" si="1"/>
        <v>0</v>
      </c>
      <c r="G699" s="126"/>
      <c r="H699" s="123">
        <f t="shared" si="2"/>
        <v>0</v>
      </c>
      <c r="I699" s="124"/>
    </row>
    <row r="700" ht="15.75" customHeight="1">
      <c r="A700" s="32"/>
      <c r="D700" s="75"/>
      <c r="E700" s="125"/>
      <c r="F700" s="121">
        <f t="shared" si="1"/>
        <v>0</v>
      </c>
      <c r="G700" s="126"/>
      <c r="H700" s="123">
        <f t="shared" si="2"/>
        <v>0</v>
      </c>
      <c r="I700" s="124"/>
    </row>
    <row r="701" ht="15.75" customHeight="1">
      <c r="A701" s="32"/>
      <c r="D701" s="75"/>
      <c r="E701" s="125"/>
      <c r="F701" s="121">
        <f t="shared" si="1"/>
        <v>0</v>
      </c>
      <c r="G701" s="126"/>
      <c r="H701" s="123">
        <f t="shared" si="2"/>
        <v>0</v>
      </c>
      <c r="I701" s="124"/>
    </row>
    <row r="702" ht="15.75" customHeight="1">
      <c r="A702" s="32"/>
      <c r="D702" s="75"/>
      <c r="E702" s="125"/>
      <c r="F702" s="121">
        <f t="shared" si="1"/>
        <v>0</v>
      </c>
      <c r="G702" s="126"/>
      <c r="H702" s="123">
        <f t="shared" si="2"/>
        <v>0</v>
      </c>
      <c r="I702" s="124"/>
    </row>
    <row r="703" ht="15.75" customHeight="1">
      <c r="A703" s="32"/>
      <c r="D703" s="75"/>
      <c r="E703" s="125"/>
      <c r="F703" s="121">
        <f t="shared" si="1"/>
        <v>0</v>
      </c>
      <c r="G703" s="126"/>
      <c r="H703" s="123">
        <f t="shared" si="2"/>
        <v>0</v>
      </c>
      <c r="I703" s="124"/>
    </row>
    <row r="704" ht="15.75" customHeight="1">
      <c r="A704" s="32"/>
      <c r="D704" s="75"/>
      <c r="E704" s="125"/>
      <c r="F704" s="121">
        <f t="shared" si="1"/>
        <v>0</v>
      </c>
      <c r="G704" s="126"/>
      <c r="H704" s="123">
        <f t="shared" si="2"/>
        <v>0</v>
      </c>
      <c r="I704" s="124"/>
    </row>
    <row r="705" ht="15.75" customHeight="1">
      <c r="A705" s="32"/>
      <c r="D705" s="75"/>
      <c r="E705" s="125"/>
      <c r="F705" s="121">
        <f t="shared" si="1"/>
        <v>0</v>
      </c>
      <c r="G705" s="126"/>
      <c r="H705" s="123">
        <f t="shared" si="2"/>
        <v>0</v>
      </c>
      <c r="I705" s="124"/>
    </row>
    <row r="706" ht="15.75" customHeight="1">
      <c r="A706" s="32"/>
      <c r="D706" s="75"/>
      <c r="E706" s="125"/>
      <c r="F706" s="121">
        <f t="shared" si="1"/>
        <v>0</v>
      </c>
      <c r="G706" s="126"/>
      <c r="H706" s="123">
        <f t="shared" si="2"/>
        <v>0</v>
      </c>
      <c r="I706" s="124"/>
    </row>
    <row r="707" ht="15.75" customHeight="1">
      <c r="A707" s="32"/>
      <c r="D707" s="75"/>
      <c r="E707" s="125"/>
      <c r="F707" s="121">
        <f t="shared" si="1"/>
        <v>0</v>
      </c>
      <c r="G707" s="126"/>
      <c r="H707" s="123">
        <f t="shared" si="2"/>
        <v>0</v>
      </c>
      <c r="I707" s="124"/>
    </row>
    <row r="708" ht="15.75" customHeight="1">
      <c r="A708" s="32"/>
      <c r="D708" s="75"/>
      <c r="E708" s="125"/>
      <c r="F708" s="121">
        <f t="shared" si="1"/>
        <v>0</v>
      </c>
      <c r="G708" s="126"/>
      <c r="H708" s="123">
        <f t="shared" si="2"/>
        <v>0</v>
      </c>
      <c r="I708" s="124"/>
    </row>
    <row r="709" ht="15.75" customHeight="1">
      <c r="A709" s="32"/>
      <c r="D709" s="75"/>
      <c r="E709" s="125"/>
      <c r="F709" s="121">
        <f t="shared" si="1"/>
        <v>0</v>
      </c>
      <c r="G709" s="126"/>
      <c r="H709" s="123">
        <f t="shared" si="2"/>
        <v>0</v>
      </c>
      <c r="I709" s="124"/>
    </row>
    <row r="710" ht="15.75" customHeight="1">
      <c r="A710" s="32"/>
      <c r="D710" s="75"/>
      <c r="E710" s="125"/>
      <c r="F710" s="121">
        <f t="shared" si="1"/>
        <v>0</v>
      </c>
      <c r="G710" s="126"/>
      <c r="H710" s="123">
        <f t="shared" si="2"/>
        <v>0</v>
      </c>
      <c r="I710" s="124"/>
    </row>
    <row r="711" ht="15.75" customHeight="1">
      <c r="A711" s="32"/>
      <c r="D711" s="75"/>
      <c r="E711" s="125"/>
      <c r="F711" s="121">
        <f t="shared" si="1"/>
        <v>0</v>
      </c>
      <c r="G711" s="126"/>
      <c r="H711" s="123">
        <f t="shared" si="2"/>
        <v>0</v>
      </c>
      <c r="I711" s="124"/>
    </row>
    <row r="712" ht="15.75" customHeight="1">
      <c r="A712" s="32"/>
      <c r="D712" s="75"/>
      <c r="E712" s="125"/>
      <c r="F712" s="121">
        <f t="shared" si="1"/>
        <v>0</v>
      </c>
      <c r="G712" s="126"/>
      <c r="H712" s="123">
        <f t="shared" si="2"/>
        <v>0</v>
      </c>
      <c r="I712" s="124"/>
    </row>
    <row r="713" ht="15.75" customHeight="1">
      <c r="A713" s="32"/>
      <c r="D713" s="75"/>
      <c r="E713" s="125"/>
      <c r="F713" s="121">
        <f t="shared" si="1"/>
        <v>0</v>
      </c>
      <c r="G713" s="126"/>
      <c r="H713" s="123">
        <f t="shared" si="2"/>
        <v>0</v>
      </c>
      <c r="I713" s="124"/>
    </row>
    <row r="714" ht="15.75" customHeight="1">
      <c r="A714" s="32"/>
      <c r="D714" s="75"/>
      <c r="E714" s="125"/>
      <c r="F714" s="121">
        <f t="shared" si="1"/>
        <v>0</v>
      </c>
      <c r="G714" s="126"/>
      <c r="H714" s="123">
        <f t="shared" si="2"/>
        <v>0</v>
      </c>
      <c r="I714" s="124"/>
    </row>
    <row r="715" ht="15.75" customHeight="1">
      <c r="A715" s="32"/>
      <c r="D715" s="75"/>
      <c r="E715" s="125"/>
      <c r="F715" s="121">
        <f t="shared" si="1"/>
        <v>0</v>
      </c>
      <c r="G715" s="126"/>
      <c r="H715" s="123">
        <f t="shared" si="2"/>
        <v>0</v>
      </c>
      <c r="I715" s="124"/>
    </row>
    <row r="716" ht="15.75" customHeight="1">
      <c r="A716" s="32"/>
      <c r="D716" s="75"/>
      <c r="E716" s="125"/>
      <c r="F716" s="121">
        <f t="shared" si="1"/>
        <v>0</v>
      </c>
      <c r="G716" s="126"/>
      <c r="H716" s="123">
        <f t="shared" si="2"/>
        <v>0</v>
      </c>
      <c r="I716" s="124"/>
    </row>
    <row r="717" ht="15.75" customHeight="1">
      <c r="A717" s="32"/>
      <c r="D717" s="75"/>
      <c r="E717" s="125"/>
      <c r="F717" s="121">
        <f t="shared" si="1"/>
        <v>0</v>
      </c>
      <c r="G717" s="126"/>
      <c r="H717" s="123">
        <f t="shared" si="2"/>
        <v>0</v>
      </c>
      <c r="I717" s="124"/>
    </row>
    <row r="718" ht="15.75" customHeight="1">
      <c r="A718" s="32"/>
      <c r="D718" s="75"/>
      <c r="E718" s="125"/>
      <c r="F718" s="121">
        <f t="shared" si="1"/>
        <v>0</v>
      </c>
      <c r="G718" s="126"/>
      <c r="H718" s="123">
        <f t="shared" si="2"/>
        <v>0</v>
      </c>
      <c r="I718" s="124"/>
    </row>
    <row r="719" ht="15.75" customHeight="1">
      <c r="A719" s="32"/>
      <c r="D719" s="75"/>
      <c r="E719" s="125"/>
      <c r="F719" s="121">
        <f t="shared" si="1"/>
        <v>0</v>
      </c>
      <c r="G719" s="126"/>
      <c r="H719" s="123">
        <f t="shared" si="2"/>
        <v>0</v>
      </c>
      <c r="I719" s="124"/>
    </row>
    <row r="720" ht="15.75" customHeight="1">
      <c r="A720" s="32"/>
      <c r="D720" s="75"/>
      <c r="E720" s="125"/>
      <c r="F720" s="121">
        <f t="shared" si="1"/>
        <v>0</v>
      </c>
      <c r="G720" s="126"/>
      <c r="H720" s="123">
        <f t="shared" si="2"/>
        <v>0</v>
      </c>
      <c r="I720" s="124"/>
    </row>
    <row r="721" ht="15.75" customHeight="1">
      <c r="A721" s="32"/>
      <c r="D721" s="75"/>
      <c r="E721" s="125"/>
      <c r="F721" s="121">
        <f t="shared" si="1"/>
        <v>0</v>
      </c>
      <c r="G721" s="126"/>
      <c r="H721" s="123">
        <f t="shared" si="2"/>
        <v>0</v>
      </c>
      <c r="I721" s="124"/>
    </row>
    <row r="722" ht="15.75" customHeight="1">
      <c r="A722" s="32"/>
      <c r="D722" s="75"/>
      <c r="E722" s="125"/>
      <c r="F722" s="121">
        <f t="shared" si="1"/>
        <v>0</v>
      </c>
      <c r="G722" s="126"/>
      <c r="H722" s="123">
        <f t="shared" si="2"/>
        <v>0</v>
      </c>
      <c r="I722" s="124"/>
    </row>
    <row r="723" ht="15.75" customHeight="1">
      <c r="A723" s="32"/>
      <c r="D723" s="75"/>
      <c r="E723" s="125"/>
      <c r="F723" s="121">
        <f t="shared" si="1"/>
        <v>0</v>
      </c>
      <c r="G723" s="126"/>
      <c r="H723" s="123">
        <f t="shared" si="2"/>
        <v>0</v>
      </c>
      <c r="I723" s="124"/>
    </row>
    <row r="724" ht="15.75" customHeight="1">
      <c r="A724" s="32"/>
      <c r="D724" s="75"/>
      <c r="E724" s="125"/>
      <c r="F724" s="121">
        <f t="shared" si="1"/>
        <v>0</v>
      </c>
      <c r="G724" s="126"/>
      <c r="H724" s="123">
        <f t="shared" si="2"/>
        <v>0</v>
      </c>
      <c r="I724" s="124"/>
    </row>
    <row r="725" ht="15.75" customHeight="1">
      <c r="A725" s="32"/>
      <c r="D725" s="75"/>
      <c r="E725" s="125"/>
      <c r="F725" s="121">
        <f t="shared" si="1"/>
        <v>0</v>
      </c>
      <c r="G725" s="126"/>
      <c r="H725" s="123">
        <f t="shared" si="2"/>
        <v>0</v>
      </c>
      <c r="I725" s="124"/>
    </row>
    <row r="726" ht="15.75" customHeight="1">
      <c r="A726" s="32"/>
      <c r="D726" s="75"/>
      <c r="E726" s="125"/>
      <c r="F726" s="121">
        <f t="shared" si="1"/>
        <v>0</v>
      </c>
      <c r="G726" s="126"/>
      <c r="H726" s="123">
        <f t="shared" si="2"/>
        <v>0</v>
      </c>
      <c r="I726" s="124"/>
    </row>
    <row r="727" ht="15.75" customHeight="1">
      <c r="A727" s="32"/>
      <c r="D727" s="75"/>
      <c r="E727" s="125"/>
      <c r="F727" s="121">
        <f t="shared" si="1"/>
        <v>0</v>
      </c>
      <c r="G727" s="126"/>
      <c r="H727" s="123">
        <f t="shared" si="2"/>
        <v>0</v>
      </c>
      <c r="I727" s="124"/>
    </row>
    <row r="728" ht="15.75" customHeight="1">
      <c r="A728" s="32"/>
      <c r="D728" s="75"/>
      <c r="E728" s="125"/>
      <c r="F728" s="121">
        <f t="shared" si="1"/>
        <v>0</v>
      </c>
      <c r="G728" s="126"/>
      <c r="H728" s="123">
        <f t="shared" si="2"/>
        <v>0</v>
      </c>
      <c r="I728" s="124"/>
    </row>
    <row r="729" ht="15.75" customHeight="1">
      <c r="A729" s="32"/>
      <c r="D729" s="75"/>
      <c r="E729" s="125"/>
      <c r="F729" s="121">
        <f t="shared" si="1"/>
        <v>0</v>
      </c>
      <c r="G729" s="126"/>
      <c r="H729" s="123">
        <f t="shared" si="2"/>
        <v>0</v>
      </c>
      <c r="I729" s="124"/>
    </row>
    <row r="730" ht="15.75" customHeight="1">
      <c r="A730" s="32"/>
      <c r="D730" s="75"/>
      <c r="E730" s="125"/>
      <c r="F730" s="121">
        <f t="shared" si="1"/>
        <v>0</v>
      </c>
      <c r="G730" s="126"/>
      <c r="H730" s="123">
        <f t="shared" si="2"/>
        <v>0</v>
      </c>
      <c r="I730" s="124"/>
    </row>
    <row r="731" ht="15.75" customHeight="1">
      <c r="A731" s="32"/>
      <c r="D731" s="75"/>
      <c r="E731" s="125"/>
      <c r="F731" s="121">
        <f t="shared" si="1"/>
        <v>0</v>
      </c>
      <c r="G731" s="126"/>
      <c r="H731" s="123">
        <f t="shared" si="2"/>
        <v>0</v>
      </c>
      <c r="I731" s="124"/>
    </row>
    <row r="732" ht="15.75" customHeight="1">
      <c r="A732" s="32"/>
      <c r="D732" s="75"/>
      <c r="E732" s="125"/>
      <c r="F732" s="121">
        <f t="shared" si="1"/>
        <v>0</v>
      </c>
      <c r="G732" s="126"/>
      <c r="H732" s="123">
        <f t="shared" si="2"/>
        <v>0</v>
      </c>
      <c r="I732" s="124"/>
    </row>
    <row r="733" ht="15.75" customHeight="1">
      <c r="A733" s="32"/>
      <c r="D733" s="75"/>
      <c r="E733" s="125"/>
      <c r="F733" s="121">
        <f t="shared" si="1"/>
        <v>0</v>
      </c>
      <c r="G733" s="126"/>
      <c r="H733" s="123">
        <f t="shared" si="2"/>
        <v>0</v>
      </c>
      <c r="I733" s="124"/>
    </row>
    <row r="734" ht="15.75" customHeight="1">
      <c r="A734" s="32"/>
      <c r="D734" s="75"/>
      <c r="E734" s="125"/>
      <c r="F734" s="121">
        <f t="shared" si="1"/>
        <v>0</v>
      </c>
      <c r="G734" s="126"/>
      <c r="H734" s="123">
        <f t="shared" si="2"/>
        <v>0</v>
      </c>
      <c r="I734" s="124"/>
    </row>
    <row r="735" ht="15.75" customHeight="1">
      <c r="A735" s="32"/>
      <c r="D735" s="75"/>
      <c r="E735" s="125"/>
      <c r="F735" s="121">
        <f t="shared" si="1"/>
        <v>0</v>
      </c>
      <c r="G735" s="126"/>
      <c r="H735" s="123">
        <f t="shared" si="2"/>
        <v>0</v>
      </c>
      <c r="I735" s="124"/>
    </row>
    <row r="736" ht="15.75" customHeight="1">
      <c r="A736" s="32"/>
      <c r="D736" s="75"/>
      <c r="E736" s="125"/>
      <c r="F736" s="121">
        <f t="shared" si="1"/>
        <v>0</v>
      </c>
      <c r="G736" s="126"/>
      <c r="H736" s="123">
        <f t="shared" si="2"/>
        <v>0</v>
      </c>
      <c r="I736" s="124"/>
    </row>
    <row r="737" ht="15.75" customHeight="1">
      <c r="A737" s="32"/>
      <c r="D737" s="75"/>
      <c r="E737" s="125"/>
      <c r="F737" s="121">
        <f t="shared" si="1"/>
        <v>0</v>
      </c>
      <c r="G737" s="126"/>
      <c r="H737" s="123">
        <f t="shared" si="2"/>
        <v>0</v>
      </c>
      <c r="I737" s="124"/>
    </row>
    <row r="738" ht="15.75" customHeight="1">
      <c r="A738" s="32"/>
      <c r="D738" s="75"/>
      <c r="E738" s="125"/>
      <c r="F738" s="121">
        <f t="shared" si="1"/>
        <v>0</v>
      </c>
      <c r="G738" s="126"/>
      <c r="H738" s="123">
        <f t="shared" si="2"/>
        <v>0</v>
      </c>
      <c r="I738" s="124"/>
    </row>
    <row r="739" ht="15.75" customHeight="1">
      <c r="A739" s="32"/>
      <c r="D739" s="75"/>
      <c r="E739" s="125"/>
      <c r="F739" s="121">
        <f t="shared" si="1"/>
        <v>0</v>
      </c>
      <c r="G739" s="126"/>
      <c r="H739" s="123">
        <f t="shared" si="2"/>
        <v>0</v>
      </c>
      <c r="I739" s="124"/>
    </row>
    <row r="740" ht="15.75" customHeight="1">
      <c r="A740" s="32"/>
      <c r="D740" s="75"/>
      <c r="E740" s="125"/>
      <c r="F740" s="121">
        <f t="shared" si="1"/>
        <v>0</v>
      </c>
      <c r="G740" s="126"/>
      <c r="H740" s="123">
        <f t="shared" si="2"/>
        <v>0</v>
      </c>
      <c r="I740" s="124"/>
    </row>
    <row r="741" ht="15.75" customHeight="1">
      <c r="A741" s="32"/>
      <c r="D741" s="75"/>
      <c r="E741" s="125"/>
      <c r="F741" s="121">
        <f t="shared" si="1"/>
        <v>0</v>
      </c>
      <c r="G741" s="126"/>
      <c r="H741" s="123">
        <f t="shared" si="2"/>
        <v>0</v>
      </c>
      <c r="I741" s="124"/>
    </row>
    <row r="742" ht="15.75" customHeight="1">
      <c r="A742" s="32"/>
      <c r="D742" s="75"/>
      <c r="E742" s="125"/>
      <c r="F742" s="121">
        <f t="shared" si="1"/>
        <v>0</v>
      </c>
      <c r="G742" s="126"/>
      <c r="H742" s="123">
        <f t="shared" si="2"/>
        <v>0</v>
      </c>
      <c r="I742" s="124"/>
    </row>
    <row r="743" ht="15.75" customHeight="1">
      <c r="A743" s="32"/>
      <c r="D743" s="75"/>
      <c r="E743" s="125"/>
      <c r="F743" s="121">
        <f t="shared" si="1"/>
        <v>0</v>
      </c>
      <c r="G743" s="126"/>
      <c r="H743" s="123">
        <f t="shared" si="2"/>
        <v>0</v>
      </c>
      <c r="I743" s="124"/>
    </row>
    <row r="744" ht="15.75" customHeight="1">
      <c r="A744" s="32"/>
      <c r="D744" s="75"/>
      <c r="E744" s="125"/>
      <c r="F744" s="121">
        <f t="shared" si="1"/>
        <v>0</v>
      </c>
      <c r="G744" s="126"/>
      <c r="H744" s="123">
        <f t="shared" si="2"/>
        <v>0</v>
      </c>
      <c r="I744" s="124"/>
    </row>
    <row r="745" ht="15.75" customHeight="1">
      <c r="A745" s="32"/>
      <c r="D745" s="75"/>
      <c r="E745" s="125"/>
      <c r="F745" s="121">
        <f t="shared" si="1"/>
        <v>0</v>
      </c>
      <c r="G745" s="126"/>
      <c r="H745" s="123">
        <f t="shared" si="2"/>
        <v>0</v>
      </c>
      <c r="I745" s="124"/>
    </row>
    <row r="746" ht="15.75" customHeight="1">
      <c r="A746" s="32"/>
      <c r="D746" s="75"/>
      <c r="E746" s="125"/>
      <c r="F746" s="121">
        <f t="shared" si="1"/>
        <v>0</v>
      </c>
      <c r="G746" s="126"/>
      <c r="H746" s="123">
        <f t="shared" si="2"/>
        <v>0</v>
      </c>
      <c r="I746" s="124"/>
    </row>
    <row r="747" ht="15.75" customHeight="1">
      <c r="A747" s="32"/>
      <c r="D747" s="75"/>
      <c r="E747" s="125"/>
      <c r="F747" s="121">
        <f t="shared" si="1"/>
        <v>0</v>
      </c>
      <c r="G747" s="126"/>
      <c r="H747" s="123">
        <f t="shared" si="2"/>
        <v>0</v>
      </c>
      <c r="I747" s="124"/>
    </row>
    <row r="748" ht="15.75" customHeight="1">
      <c r="A748" s="32"/>
      <c r="D748" s="75"/>
      <c r="E748" s="125"/>
      <c r="F748" s="121">
        <f t="shared" si="1"/>
        <v>0</v>
      </c>
      <c r="G748" s="126"/>
      <c r="H748" s="123">
        <f t="shared" si="2"/>
        <v>0</v>
      </c>
      <c r="I748" s="124"/>
    </row>
    <row r="749" ht="15.75" customHeight="1">
      <c r="A749" s="32"/>
      <c r="D749" s="75"/>
      <c r="E749" s="125"/>
      <c r="F749" s="121">
        <f t="shared" si="1"/>
        <v>0</v>
      </c>
      <c r="G749" s="126"/>
      <c r="H749" s="123">
        <f t="shared" si="2"/>
        <v>0</v>
      </c>
      <c r="I749" s="124"/>
    </row>
    <row r="750" ht="15.75" customHeight="1">
      <c r="A750" s="32"/>
      <c r="D750" s="75"/>
      <c r="E750" s="125"/>
      <c r="F750" s="121">
        <f t="shared" si="1"/>
        <v>0</v>
      </c>
      <c r="G750" s="126"/>
      <c r="H750" s="123">
        <f t="shared" si="2"/>
        <v>0</v>
      </c>
      <c r="I750" s="124"/>
    </row>
    <row r="751" ht="15.75" customHeight="1">
      <c r="A751" s="32"/>
      <c r="D751" s="75"/>
      <c r="E751" s="125"/>
      <c r="F751" s="121">
        <f t="shared" si="1"/>
        <v>0</v>
      </c>
      <c r="G751" s="126"/>
      <c r="H751" s="123">
        <f t="shared" si="2"/>
        <v>0</v>
      </c>
      <c r="I751" s="124"/>
    </row>
    <row r="752" ht="15.75" customHeight="1">
      <c r="A752" s="32"/>
      <c r="D752" s="75"/>
      <c r="E752" s="125"/>
      <c r="F752" s="121">
        <f t="shared" si="1"/>
        <v>0</v>
      </c>
      <c r="G752" s="126"/>
      <c r="H752" s="123">
        <f t="shared" si="2"/>
        <v>0</v>
      </c>
      <c r="I752" s="124"/>
    </row>
    <row r="753" ht="15.75" customHeight="1">
      <c r="A753" s="32"/>
      <c r="D753" s="75"/>
      <c r="E753" s="125"/>
      <c r="F753" s="121">
        <f t="shared" si="1"/>
        <v>0</v>
      </c>
      <c r="G753" s="126"/>
      <c r="H753" s="123">
        <f t="shared" si="2"/>
        <v>0</v>
      </c>
      <c r="I753" s="124"/>
    </row>
    <row r="754" ht="15.75" customHeight="1">
      <c r="A754" s="32"/>
      <c r="D754" s="75"/>
      <c r="E754" s="125"/>
      <c r="F754" s="121">
        <f t="shared" si="1"/>
        <v>0</v>
      </c>
      <c r="G754" s="126"/>
      <c r="H754" s="123">
        <f t="shared" si="2"/>
        <v>0</v>
      </c>
      <c r="I754" s="124"/>
    </row>
    <row r="755" ht="15.75" customHeight="1">
      <c r="A755" s="32"/>
      <c r="D755" s="75"/>
      <c r="E755" s="125"/>
      <c r="F755" s="121">
        <f t="shared" si="1"/>
        <v>0</v>
      </c>
      <c r="G755" s="126"/>
      <c r="H755" s="123">
        <f t="shared" si="2"/>
        <v>0</v>
      </c>
      <c r="I755" s="124"/>
    </row>
    <row r="756" ht="15.75" customHeight="1">
      <c r="A756" s="32"/>
      <c r="D756" s="75"/>
      <c r="E756" s="125"/>
      <c r="F756" s="121">
        <f t="shared" si="1"/>
        <v>0</v>
      </c>
      <c r="G756" s="126"/>
      <c r="H756" s="123">
        <f t="shared" si="2"/>
        <v>0</v>
      </c>
      <c r="I756" s="124"/>
    </row>
    <row r="757" ht="15.75" customHeight="1">
      <c r="A757" s="32"/>
      <c r="D757" s="75"/>
      <c r="E757" s="125"/>
      <c r="F757" s="121">
        <f t="shared" si="1"/>
        <v>0</v>
      </c>
      <c r="G757" s="126"/>
      <c r="H757" s="123">
        <f t="shared" si="2"/>
        <v>0</v>
      </c>
      <c r="I757" s="124"/>
    </row>
    <row r="758" ht="15.75" customHeight="1">
      <c r="A758" s="32"/>
      <c r="D758" s="75"/>
      <c r="E758" s="125"/>
      <c r="F758" s="121">
        <f t="shared" si="1"/>
        <v>0</v>
      </c>
      <c r="G758" s="126"/>
      <c r="H758" s="123">
        <f t="shared" si="2"/>
        <v>0</v>
      </c>
      <c r="I758" s="124"/>
    </row>
    <row r="759" ht="15.75" customHeight="1">
      <c r="A759" s="32"/>
      <c r="D759" s="75"/>
      <c r="E759" s="125"/>
      <c r="F759" s="121">
        <f t="shared" si="1"/>
        <v>0</v>
      </c>
      <c r="G759" s="126"/>
      <c r="H759" s="123">
        <f t="shared" si="2"/>
        <v>0</v>
      </c>
      <c r="I759" s="124"/>
    </row>
    <row r="760" ht="15.75" customHeight="1">
      <c r="A760" s="32"/>
      <c r="D760" s="75"/>
      <c r="E760" s="125"/>
      <c r="F760" s="121">
        <f t="shared" si="1"/>
        <v>0</v>
      </c>
      <c r="G760" s="126"/>
      <c r="H760" s="123">
        <f t="shared" si="2"/>
        <v>0</v>
      </c>
      <c r="I760" s="124"/>
    </row>
    <row r="761" ht="15.75" customHeight="1">
      <c r="A761" s="32"/>
      <c r="D761" s="75"/>
      <c r="E761" s="125"/>
      <c r="F761" s="121">
        <f t="shared" si="1"/>
        <v>0</v>
      </c>
      <c r="G761" s="126"/>
      <c r="H761" s="123">
        <f t="shared" si="2"/>
        <v>0</v>
      </c>
      <c r="I761" s="124"/>
    </row>
    <row r="762" ht="15.75" customHeight="1">
      <c r="A762" s="32"/>
      <c r="D762" s="75"/>
      <c r="E762" s="125"/>
      <c r="F762" s="121">
        <f t="shared" si="1"/>
        <v>0</v>
      </c>
      <c r="G762" s="126"/>
      <c r="H762" s="123">
        <f t="shared" si="2"/>
        <v>0</v>
      </c>
      <c r="I762" s="124"/>
    </row>
    <row r="763" ht="15.75" customHeight="1">
      <c r="A763" s="32"/>
      <c r="D763" s="75"/>
      <c r="E763" s="125"/>
      <c r="F763" s="121">
        <f t="shared" si="1"/>
        <v>0</v>
      </c>
      <c r="G763" s="126"/>
      <c r="H763" s="123">
        <f t="shared" si="2"/>
        <v>0</v>
      </c>
      <c r="I763" s="124"/>
    </row>
    <row r="764" ht="15.75" customHeight="1">
      <c r="A764" s="32"/>
      <c r="D764" s="75"/>
      <c r="E764" s="125"/>
      <c r="F764" s="121">
        <f t="shared" si="1"/>
        <v>0</v>
      </c>
      <c r="G764" s="126"/>
      <c r="H764" s="123">
        <f t="shared" si="2"/>
        <v>0</v>
      </c>
      <c r="I764" s="124"/>
    </row>
    <row r="765" ht="15.75" customHeight="1">
      <c r="A765" s="32"/>
      <c r="D765" s="75"/>
      <c r="E765" s="125"/>
      <c r="F765" s="121">
        <f t="shared" si="1"/>
        <v>0</v>
      </c>
      <c r="G765" s="126"/>
      <c r="H765" s="123">
        <f t="shared" si="2"/>
        <v>0</v>
      </c>
      <c r="I765" s="124"/>
    </row>
    <row r="766" ht="15.75" customHeight="1">
      <c r="A766" s="32"/>
      <c r="D766" s="75"/>
      <c r="E766" s="125"/>
      <c r="F766" s="121">
        <f t="shared" si="1"/>
        <v>0</v>
      </c>
      <c r="G766" s="126"/>
      <c r="H766" s="123">
        <f t="shared" si="2"/>
        <v>0</v>
      </c>
      <c r="I766" s="124"/>
    </row>
    <row r="767" ht="15.75" customHeight="1">
      <c r="A767" s="32"/>
      <c r="D767" s="75"/>
      <c r="E767" s="125"/>
      <c r="F767" s="121">
        <f t="shared" si="1"/>
        <v>0</v>
      </c>
      <c r="G767" s="126"/>
      <c r="H767" s="123">
        <f t="shared" si="2"/>
        <v>0</v>
      </c>
      <c r="I767" s="124"/>
    </row>
    <row r="768" ht="15.75" customHeight="1">
      <c r="A768" s="32"/>
      <c r="D768" s="75"/>
      <c r="E768" s="125"/>
      <c r="F768" s="121">
        <f t="shared" si="1"/>
        <v>0</v>
      </c>
      <c r="G768" s="126"/>
      <c r="H768" s="123">
        <f t="shared" si="2"/>
        <v>0</v>
      </c>
      <c r="I768" s="124"/>
    </row>
    <row r="769" ht="15.75" customHeight="1">
      <c r="A769" s="32"/>
      <c r="D769" s="75"/>
      <c r="E769" s="125"/>
      <c r="F769" s="121">
        <f t="shared" si="1"/>
        <v>0</v>
      </c>
      <c r="G769" s="126"/>
      <c r="H769" s="123">
        <f t="shared" si="2"/>
        <v>0</v>
      </c>
      <c r="I769" s="124"/>
    </row>
    <row r="770" ht="15.75" customHeight="1">
      <c r="A770" s="32"/>
      <c r="D770" s="75"/>
      <c r="E770" s="125"/>
      <c r="F770" s="121">
        <f t="shared" si="1"/>
        <v>0</v>
      </c>
      <c r="G770" s="126"/>
      <c r="H770" s="123">
        <f t="shared" si="2"/>
        <v>0</v>
      </c>
      <c r="I770" s="124"/>
    </row>
    <row r="771" ht="15.75" customHeight="1">
      <c r="A771" s="32"/>
      <c r="D771" s="75"/>
      <c r="E771" s="125"/>
      <c r="F771" s="121">
        <f t="shared" si="1"/>
        <v>0</v>
      </c>
      <c r="G771" s="126"/>
      <c r="H771" s="123">
        <f t="shared" si="2"/>
        <v>0</v>
      </c>
      <c r="I771" s="124"/>
    </row>
    <row r="772" ht="15.75" customHeight="1">
      <c r="A772" s="32"/>
      <c r="D772" s="75"/>
      <c r="E772" s="125"/>
      <c r="F772" s="121">
        <f t="shared" si="1"/>
        <v>0</v>
      </c>
      <c r="G772" s="126"/>
      <c r="H772" s="123">
        <f t="shared" si="2"/>
        <v>0</v>
      </c>
      <c r="I772" s="124"/>
    </row>
    <row r="773" ht="15.75" customHeight="1">
      <c r="A773" s="32"/>
      <c r="D773" s="75"/>
      <c r="E773" s="125"/>
      <c r="F773" s="121">
        <f t="shared" si="1"/>
        <v>0</v>
      </c>
      <c r="G773" s="126"/>
      <c r="H773" s="123">
        <f t="shared" si="2"/>
        <v>0</v>
      </c>
      <c r="I773" s="124"/>
    </row>
    <row r="774" ht="15.75" customHeight="1">
      <c r="A774" s="32"/>
      <c r="D774" s="75"/>
      <c r="E774" s="125"/>
      <c r="F774" s="121">
        <f t="shared" si="1"/>
        <v>0</v>
      </c>
      <c r="G774" s="126"/>
      <c r="H774" s="123">
        <f t="shared" si="2"/>
        <v>0</v>
      </c>
      <c r="I774" s="124"/>
    </row>
    <row r="775" ht="15.75" customHeight="1">
      <c r="A775" s="32"/>
      <c r="D775" s="75"/>
      <c r="E775" s="125"/>
      <c r="F775" s="121">
        <f t="shared" si="1"/>
        <v>0</v>
      </c>
      <c r="G775" s="126"/>
      <c r="H775" s="123">
        <f t="shared" si="2"/>
        <v>0</v>
      </c>
      <c r="I775" s="124"/>
    </row>
    <row r="776" ht="15.75" customHeight="1">
      <c r="A776" s="32"/>
      <c r="D776" s="75"/>
      <c r="E776" s="125"/>
      <c r="F776" s="121">
        <f t="shared" si="1"/>
        <v>0</v>
      </c>
      <c r="G776" s="126"/>
      <c r="H776" s="123">
        <f t="shared" si="2"/>
        <v>0</v>
      </c>
      <c r="I776" s="124"/>
    </row>
    <row r="777" ht="15.75" customHeight="1">
      <c r="A777" s="32"/>
      <c r="D777" s="75"/>
      <c r="E777" s="125"/>
      <c r="F777" s="121">
        <f t="shared" si="1"/>
        <v>0</v>
      </c>
      <c r="G777" s="126"/>
      <c r="H777" s="123">
        <f t="shared" si="2"/>
        <v>0</v>
      </c>
      <c r="I777" s="124"/>
    </row>
    <row r="778" ht="15.75" customHeight="1">
      <c r="A778" s="32"/>
      <c r="D778" s="75"/>
      <c r="E778" s="125"/>
      <c r="F778" s="121">
        <f t="shared" si="1"/>
        <v>0</v>
      </c>
      <c r="G778" s="126"/>
      <c r="H778" s="123">
        <f t="shared" si="2"/>
        <v>0</v>
      </c>
      <c r="I778" s="124"/>
    </row>
    <row r="779" ht="15.75" customHeight="1">
      <c r="A779" s="32"/>
      <c r="D779" s="75"/>
      <c r="E779" s="125"/>
      <c r="F779" s="121">
        <f t="shared" si="1"/>
        <v>0</v>
      </c>
      <c r="G779" s="126"/>
      <c r="H779" s="123">
        <f t="shared" si="2"/>
        <v>0</v>
      </c>
      <c r="I779" s="124"/>
    </row>
    <row r="780" ht="15.75" customHeight="1">
      <c r="A780" s="32"/>
      <c r="D780" s="75"/>
      <c r="E780" s="125"/>
      <c r="F780" s="121">
        <f t="shared" si="1"/>
        <v>0</v>
      </c>
      <c r="G780" s="126"/>
      <c r="H780" s="123">
        <f t="shared" si="2"/>
        <v>0</v>
      </c>
      <c r="I780" s="124"/>
    </row>
    <row r="781" ht="15.75" customHeight="1">
      <c r="A781" s="32"/>
      <c r="D781" s="75"/>
      <c r="E781" s="125"/>
      <c r="F781" s="121">
        <f t="shared" si="1"/>
        <v>0</v>
      </c>
      <c r="G781" s="126"/>
      <c r="H781" s="123">
        <f t="shared" si="2"/>
        <v>0</v>
      </c>
      <c r="I781" s="124"/>
    </row>
    <row r="782" ht="15.75" customHeight="1">
      <c r="A782" s="32"/>
      <c r="D782" s="75"/>
      <c r="E782" s="125"/>
      <c r="F782" s="121">
        <f t="shared" si="1"/>
        <v>0</v>
      </c>
      <c r="G782" s="126"/>
      <c r="H782" s="123">
        <f t="shared" si="2"/>
        <v>0</v>
      </c>
      <c r="I782" s="124"/>
    </row>
    <row r="783" ht="15.75" customHeight="1">
      <c r="A783" s="32"/>
      <c r="D783" s="75"/>
      <c r="E783" s="125"/>
      <c r="F783" s="121">
        <f t="shared" si="1"/>
        <v>0</v>
      </c>
      <c r="G783" s="126"/>
      <c r="H783" s="123">
        <f t="shared" si="2"/>
        <v>0</v>
      </c>
      <c r="I783" s="124"/>
    </row>
    <row r="784" ht="15.75" customHeight="1">
      <c r="A784" s="32"/>
      <c r="D784" s="75"/>
      <c r="E784" s="125"/>
      <c r="F784" s="121">
        <f t="shared" si="1"/>
        <v>0</v>
      </c>
      <c r="G784" s="126"/>
      <c r="H784" s="123">
        <f t="shared" si="2"/>
        <v>0</v>
      </c>
      <c r="I784" s="124"/>
    </row>
    <row r="785" ht="15.75" customHeight="1">
      <c r="A785" s="32"/>
      <c r="D785" s="75"/>
      <c r="E785" s="125"/>
      <c r="F785" s="121">
        <f t="shared" si="1"/>
        <v>0</v>
      </c>
      <c r="G785" s="126"/>
      <c r="H785" s="123">
        <f t="shared" si="2"/>
        <v>0</v>
      </c>
      <c r="I785" s="124"/>
    </row>
    <row r="786" ht="15.75" customHeight="1">
      <c r="A786" s="32"/>
      <c r="D786" s="75"/>
      <c r="E786" s="125"/>
      <c r="F786" s="121">
        <f t="shared" si="1"/>
        <v>0</v>
      </c>
      <c r="G786" s="126"/>
      <c r="H786" s="123">
        <f t="shared" si="2"/>
        <v>0</v>
      </c>
      <c r="I786" s="124"/>
    </row>
    <row r="787" ht="15.75" customHeight="1">
      <c r="A787" s="32"/>
      <c r="D787" s="75"/>
      <c r="E787" s="125"/>
      <c r="F787" s="121">
        <f t="shared" si="1"/>
        <v>0</v>
      </c>
      <c r="G787" s="126"/>
      <c r="H787" s="123">
        <f t="shared" si="2"/>
        <v>0</v>
      </c>
      <c r="I787" s="124"/>
    </row>
    <row r="788" ht="15.75" customHeight="1">
      <c r="A788" s="32"/>
      <c r="D788" s="75"/>
      <c r="E788" s="125"/>
      <c r="F788" s="121">
        <f t="shared" si="1"/>
        <v>0</v>
      </c>
      <c r="G788" s="126"/>
      <c r="H788" s="123">
        <f t="shared" si="2"/>
        <v>0</v>
      </c>
      <c r="I788" s="124"/>
    </row>
    <row r="789" ht="15.75" customHeight="1">
      <c r="A789" s="32"/>
      <c r="D789" s="75"/>
      <c r="E789" s="125"/>
      <c r="F789" s="121">
        <f t="shared" si="1"/>
        <v>0</v>
      </c>
      <c r="G789" s="126"/>
      <c r="H789" s="123">
        <f t="shared" si="2"/>
        <v>0</v>
      </c>
      <c r="I789" s="124"/>
    </row>
    <row r="790" ht="15.75" customHeight="1">
      <c r="A790" s="32"/>
      <c r="D790" s="75"/>
      <c r="E790" s="125"/>
      <c r="F790" s="121">
        <f t="shared" si="1"/>
        <v>0</v>
      </c>
      <c r="G790" s="126"/>
      <c r="H790" s="123">
        <f t="shared" si="2"/>
        <v>0</v>
      </c>
      <c r="I790" s="124"/>
    </row>
    <row r="791" ht="15.75" customHeight="1">
      <c r="A791" s="32"/>
      <c r="D791" s="75"/>
      <c r="E791" s="125"/>
      <c r="F791" s="121">
        <f t="shared" si="1"/>
        <v>0</v>
      </c>
      <c r="G791" s="126"/>
      <c r="H791" s="123">
        <f t="shared" si="2"/>
        <v>0</v>
      </c>
      <c r="I791" s="124"/>
    </row>
    <row r="792" ht="15.75" customHeight="1">
      <c r="A792" s="32"/>
      <c r="D792" s="75"/>
      <c r="E792" s="125"/>
      <c r="F792" s="121">
        <f t="shared" si="1"/>
        <v>0</v>
      </c>
      <c r="G792" s="126"/>
      <c r="H792" s="123">
        <f t="shared" si="2"/>
        <v>0</v>
      </c>
      <c r="I792" s="124"/>
    </row>
    <row r="793" ht="15.75" customHeight="1">
      <c r="A793" s="32"/>
      <c r="D793" s="75"/>
      <c r="E793" s="125"/>
      <c r="F793" s="121">
        <f t="shared" si="1"/>
        <v>0</v>
      </c>
      <c r="G793" s="126"/>
      <c r="H793" s="123">
        <f t="shared" si="2"/>
        <v>0</v>
      </c>
      <c r="I793" s="124"/>
    </row>
    <row r="794" ht="15.75" customHeight="1">
      <c r="A794" s="32"/>
      <c r="D794" s="75"/>
      <c r="E794" s="125"/>
      <c r="F794" s="121">
        <f t="shared" si="1"/>
        <v>0</v>
      </c>
      <c r="G794" s="126"/>
      <c r="H794" s="123">
        <f t="shared" si="2"/>
        <v>0</v>
      </c>
      <c r="I794" s="124"/>
    </row>
    <row r="795" ht="15.75" customHeight="1">
      <c r="A795" s="32"/>
      <c r="D795" s="75"/>
      <c r="E795" s="125"/>
      <c r="F795" s="121">
        <f t="shared" si="1"/>
        <v>0</v>
      </c>
      <c r="G795" s="126"/>
      <c r="H795" s="123">
        <f t="shared" si="2"/>
        <v>0</v>
      </c>
      <c r="I795" s="124"/>
    </row>
    <row r="796" ht="15.75" customHeight="1">
      <c r="A796" s="32"/>
      <c r="D796" s="75"/>
      <c r="E796" s="125"/>
      <c r="F796" s="121">
        <f t="shared" si="1"/>
        <v>0</v>
      </c>
      <c r="G796" s="126"/>
      <c r="H796" s="123">
        <f t="shared" si="2"/>
        <v>0</v>
      </c>
      <c r="I796" s="124"/>
    </row>
    <row r="797" ht="15.75" customHeight="1">
      <c r="A797" s="32"/>
      <c r="D797" s="75"/>
      <c r="E797" s="125"/>
      <c r="F797" s="121">
        <f t="shared" si="1"/>
        <v>0</v>
      </c>
      <c r="G797" s="126"/>
      <c r="H797" s="123">
        <f t="shared" si="2"/>
        <v>0</v>
      </c>
      <c r="I797" s="124"/>
    </row>
    <row r="798" ht="15.75" customHeight="1">
      <c r="A798" s="32"/>
      <c r="D798" s="75"/>
      <c r="E798" s="125"/>
      <c r="F798" s="121">
        <f t="shared" si="1"/>
        <v>0</v>
      </c>
      <c r="G798" s="126"/>
      <c r="H798" s="123">
        <f t="shared" si="2"/>
        <v>0</v>
      </c>
      <c r="I798" s="124"/>
    </row>
    <row r="799" ht="15.75" customHeight="1">
      <c r="A799" s="32"/>
      <c r="D799" s="75"/>
      <c r="E799" s="125"/>
      <c r="F799" s="121">
        <f t="shared" si="1"/>
        <v>0</v>
      </c>
      <c r="G799" s="126"/>
      <c r="H799" s="123">
        <f t="shared" si="2"/>
        <v>0</v>
      </c>
      <c r="I799" s="124"/>
    </row>
    <row r="800" ht="15.75" customHeight="1">
      <c r="A800" s="32"/>
      <c r="D800" s="75"/>
      <c r="E800" s="125"/>
      <c r="F800" s="121">
        <f t="shared" si="1"/>
        <v>0</v>
      </c>
      <c r="G800" s="126"/>
      <c r="H800" s="123">
        <f t="shared" si="2"/>
        <v>0</v>
      </c>
      <c r="I800" s="124"/>
    </row>
    <row r="801" ht="15.75" customHeight="1">
      <c r="A801" s="32"/>
      <c r="D801" s="75"/>
      <c r="E801" s="125"/>
      <c r="F801" s="121">
        <f t="shared" si="1"/>
        <v>0</v>
      </c>
      <c r="G801" s="126"/>
      <c r="H801" s="123">
        <f t="shared" si="2"/>
        <v>0</v>
      </c>
      <c r="I801" s="124"/>
    </row>
    <row r="802" ht="15.75" customHeight="1">
      <c r="A802" s="32"/>
      <c r="D802" s="75"/>
      <c r="E802" s="125"/>
      <c r="F802" s="121">
        <f t="shared" si="1"/>
        <v>0</v>
      </c>
      <c r="G802" s="126"/>
      <c r="H802" s="123">
        <f t="shared" si="2"/>
        <v>0</v>
      </c>
      <c r="I802" s="124"/>
    </row>
    <row r="803" ht="15.75" customHeight="1">
      <c r="A803" s="32"/>
      <c r="D803" s="75"/>
      <c r="E803" s="125"/>
      <c r="F803" s="121">
        <f t="shared" si="1"/>
        <v>0</v>
      </c>
      <c r="G803" s="126"/>
      <c r="H803" s="123">
        <f t="shared" si="2"/>
        <v>0</v>
      </c>
      <c r="I803" s="124"/>
    </row>
    <row r="804" ht="15.75" customHeight="1">
      <c r="A804" s="32"/>
      <c r="D804" s="75"/>
      <c r="E804" s="125"/>
      <c r="F804" s="121">
        <f t="shared" si="1"/>
        <v>0</v>
      </c>
      <c r="G804" s="126"/>
      <c r="H804" s="123">
        <f t="shared" si="2"/>
        <v>0</v>
      </c>
      <c r="I804" s="124"/>
    </row>
    <row r="805" ht="15.75" customHeight="1">
      <c r="A805" s="32"/>
      <c r="D805" s="75"/>
      <c r="E805" s="125"/>
      <c r="F805" s="121">
        <f t="shared" si="1"/>
        <v>0</v>
      </c>
      <c r="G805" s="126"/>
      <c r="H805" s="123">
        <f t="shared" si="2"/>
        <v>0</v>
      </c>
      <c r="I805" s="124"/>
    </row>
    <row r="806" ht="15.75" customHeight="1">
      <c r="A806" s="32"/>
      <c r="D806" s="75"/>
      <c r="E806" s="125"/>
      <c r="F806" s="121">
        <f t="shared" si="1"/>
        <v>0</v>
      </c>
      <c r="G806" s="126"/>
      <c r="H806" s="123">
        <f t="shared" si="2"/>
        <v>0</v>
      </c>
      <c r="I806" s="124"/>
    </row>
    <row r="807" ht="15.75" customHeight="1">
      <c r="A807" s="32"/>
      <c r="D807" s="75"/>
      <c r="E807" s="125"/>
      <c r="F807" s="121">
        <f t="shared" si="1"/>
        <v>0</v>
      </c>
      <c r="G807" s="126"/>
      <c r="H807" s="123">
        <f t="shared" si="2"/>
        <v>0</v>
      </c>
      <c r="I807" s="124"/>
    </row>
    <row r="808" ht="15.75" customHeight="1">
      <c r="A808" s="32"/>
      <c r="D808" s="75"/>
      <c r="E808" s="125"/>
      <c r="F808" s="121">
        <f t="shared" si="1"/>
        <v>0</v>
      </c>
      <c r="G808" s="126"/>
      <c r="H808" s="123">
        <f t="shared" si="2"/>
        <v>0</v>
      </c>
      <c r="I808" s="124"/>
    </row>
    <row r="809" ht="15.75" customHeight="1">
      <c r="A809" s="32"/>
      <c r="D809" s="75"/>
      <c r="E809" s="125"/>
      <c r="F809" s="121">
        <f t="shared" si="1"/>
        <v>0</v>
      </c>
      <c r="G809" s="126"/>
      <c r="H809" s="123">
        <f t="shared" si="2"/>
        <v>0</v>
      </c>
      <c r="I809" s="124"/>
    </row>
    <row r="810" ht="15.75" customHeight="1">
      <c r="A810" s="32"/>
      <c r="D810" s="75"/>
      <c r="E810" s="125"/>
      <c r="F810" s="121">
        <f t="shared" si="1"/>
        <v>0</v>
      </c>
      <c r="G810" s="126"/>
      <c r="H810" s="123">
        <f t="shared" si="2"/>
        <v>0</v>
      </c>
      <c r="I810" s="124"/>
    </row>
    <row r="811" ht="15.75" customHeight="1">
      <c r="A811" s="32"/>
      <c r="D811" s="75"/>
      <c r="E811" s="125"/>
      <c r="F811" s="121">
        <f t="shared" si="1"/>
        <v>0</v>
      </c>
      <c r="G811" s="126"/>
      <c r="H811" s="123">
        <f t="shared" si="2"/>
        <v>0</v>
      </c>
      <c r="I811" s="124"/>
    </row>
    <row r="812" ht="15.75" customHeight="1">
      <c r="A812" s="32"/>
      <c r="D812" s="75"/>
      <c r="E812" s="125"/>
      <c r="F812" s="121">
        <f t="shared" si="1"/>
        <v>0</v>
      </c>
      <c r="G812" s="126"/>
      <c r="H812" s="123">
        <f t="shared" si="2"/>
        <v>0</v>
      </c>
      <c r="I812" s="124"/>
    </row>
    <row r="813" ht="15.75" customHeight="1">
      <c r="A813" s="32"/>
      <c r="D813" s="75"/>
      <c r="E813" s="125"/>
      <c r="F813" s="121">
        <f t="shared" si="1"/>
        <v>0</v>
      </c>
      <c r="G813" s="126"/>
      <c r="H813" s="123">
        <f t="shared" si="2"/>
        <v>0</v>
      </c>
      <c r="I813" s="124"/>
    </row>
    <row r="814" ht="15.75" customHeight="1">
      <c r="A814" s="32"/>
      <c r="D814" s="75"/>
      <c r="E814" s="125"/>
      <c r="F814" s="121">
        <f t="shared" si="1"/>
        <v>0</v>
      </c>
      <c r="G814" s="126"/>
      <c r="H814" s="123">
        <f t="shared" si="2"/>
        <v>0</v>
      </c>
      <c r="I814" s="124"/>
    </row>
    <row r="815" ht="15.75" customHeight="1">
      <c r="A815" s="32"/>
      <c r="D815" s="75"/>
      <c r="E815" s="125"/>
      <c r="F815" s="121">
        <f t="shared" si="1"/>
        <v>0</v>
      </c>
      <c r="G815" s="126"/>
      <c r="H815" s="123">
        <f t="shared" si="2"/>
        <v>0</v>
      </c>
      <c r="I815" s="124"/>
    </row>
    <row r="816" ht="15.75" customHeight="1">
      <c r="A816" s="32"/>
      <c r="D816" s="75"/>
      <c r="E816" s="125"/>
      <c r="F816" s="121">
        <f t="shared" si="1"/>
        <v>0</v>
      </c>
      <c r="G816" s="126"/>
      <c r="H816" s="123">
        <f t="shared" si="2"/>
        <v>0</v>
      </c>
      <c r="I816" s="124"/>
    </row>
    <row r="817" ht="15.75" customHeight="1">
      <c r="A817" s="32"/>
      <c r="D817" s="75"/>
      <c r="E817" s="125"/>
      <c r="F817" s="121">
        <f t="shared" si="1"/>
        <v>0</v>
      </c>
      <c r="G817" s="126"/>
      <c r="H817" s="123">
        <f t="shared" si="2"/>
        <v>0</v>
      </c>
      <c r="I817" s="124"/>
    </row>
    <row r="818" ht="15.75" customHeight="1">
      <c r="A818" s="32"/>
      <c r="D818" s="75"/>
      <c r="E818" s="125"/>
      <c r="F818" s="121">
        <f t="shared" si="1"/>
        <v>0</v>
      </c>
      <c r="G818" s="126"/>
      <c r="H818" s="123">
        <f t="shared" si="2"/>
        <v>0</v>
      </c>
      <c r="I818" s="124"/>
    </row>
    <row r="819" ht="15.75" customHeight="1">
      <c r="A819" s="32"/>
      <c r="D819" s="75"/>
      <c r="E819" s="125"/>
      <c r="F819" s="121">
        <f t="shared" si="1"/>
        <v>0</v>
      </c>
      <c r="G819" s="126"/>
      <c r="H819" s="123">
        <f t="shared" si="2"/>
        <v>0</v>
      </c>
      <c r="I819" s="124"/>
    </row>
    <row r="820" ht="15.75" customHeight="1">
      <c r="A820" s="32"/>
      <c r="D820" s="75"/>
      <c r="E820" s="125"/>
      <c r="F820" s="121">
        <f t="shared" si="1"/>
        <v>0</v>
      </c>
      <c r="G820" s="126"/>
      <c r="H820" s="123">
        <f t="shared" si="2"/>
        <v>0</v>
      </c>
      <c r="I820" s="124"/>
    </row>
    <row r="821" ht="15.75" customHeight="1">
      <c r="A821" s="32"/>
      <c r="D821" s="75"/>
      <c r="E821" s="125"/>
      <c r="F821" s="121">
        <f t="shared" si="1"/>
        <v>0</v>
      </c>
      <c r="G821" s="126"/>
      <c r="H821" s="123">
        <f t="shared" si="2"/>
        <v>0</v>
      </c>
      <c r="I821" s="124"/>
    </row>
    <row r="822" ht="15.75" customHeight="1">
      <c r="A822" s="32"/>
      <c r="D822" s="75"/>
      <c r="E822" s="125"/>
      <c r="F822" s="121">
        <f t="shared" si="1"/>
        <v>0</v>
      </c>
      <c r="G822" s="126"/>
      <c r="H822" s="123">
        <f t="shared" si="2"/>
        <v>0</v>
      </c>
      <c r="I822" s="124"/>
    </row>
    <row r="823" ht="15.75" customHeight="1">
      <c r="A823" s="32"/>
      <c r="D823" s="75"/>
      <c r="E823" s="125"/>
      <c r="F823" s="121">
        <f t="shared" si="1"/>
        <v>0</v>
      </c>
      <c r="G823" s="126"/>
      <c r="H823" s="123">
        <f t="shared" si="2"/>
        <v>0</v>
      </c>
      <c r="I823" s="124"/>
    </row>
    <row r="824" ht="15.75" customHeight="1">
      <c r="A824" s="32"/>
      <c r="D824" s="75"/>
      <c r="E824" s="125"/>
      <c r="F824" s="121">
        <f t="shared" si="1"/>
        <v>0</v>
      </c>
      <c r="G824" s="126"/>
      <c r="H824" s="123">
        <f t="shared" si="2"/>
        <v>0</v>
      </c>
      <c r="I824" s="124"/>
    </row>
    <row r="825" ht="15.75" customHeight="1">
      <c r="A825" s="32"/>
      <c r="D825" s="75"/>
      <c r="E825" s="125"/>
      <c r="F825" s="121">
        <f t="shared" si="1"/>
        <v>0</v>
      </c>
      <c r="G825" s="126"/>
      <c r="H825" s="123">
        <f t="shared" si="2"/>
        <v>0</v>
      </c>
      <c r="I825" s="124"/>
    </row>
    <row r="826" ht="15.75" customHeight="1">
      <c r="A826" s="32"/>
      <c r="D826" s="75"/>
      <c r="E826" s="125"/>
      <c r="F826" s="121">
        <f t="shared" si="1"/>
        <v>0</v>
      </c>
      <c r="G826" s="126"/>
      <c r="H826" s="123">
        <f t="shared" si="2"/>
        <v>0</v>
      </c>
      <c r="I826" s="124"/>
    </row>
    <row r="827" ht="15.75" customHeight="1">
      <c r="A827" s="32"/>
      <c r="D827" s="75"/>
      <c r="E827" s="125"/>
      <c r="F827" s="121">
        <f t="shared" si="1"/>
        <v>0</v>
      </c>
      <c r="G827" s="126"/>
      <c r="H827" s="123">
        <f t="shared" si="2"/>
        <v>0</v>
      </c>
      <c r="I827" s="124"/>
    </row>
    <row r="828" ht="15.75" customHeight="1">
      <c r="A828" s="32"/>
      <c r="D828" s="75"/>
      <c r="E828" s="125"/>
      <c r="F828" s="121">
        <f t="shared" si="1"/>
        <v>0</v>
      </c>
      <c r="G828" s="126"/>
      <c r="H828" s="123">
        <f t="shared" si="2"/>
        <v>0</v>
      </c>
      <c r="I828" s="124"/>
    </row>
    <row r="829" ht="15.75" customHeight="1">
      <c r="A829" s="32"/>
      <c r="D829" s="75"/>
      <c r="E829" s="125"/>
      <c r="F829" s="121">
        <f t="shared" si="1"/>
        <v>0</v>
      </c>
      <c r="G829" s="126"/>
      <c r="H829" s="123">
        <f t="shared" si="2"/>
        <v>0</v>
      </c>
      <c r="I829" s="124"/>
    </row>
    <row r="830" ht="15.75" customHeight="1">
      <c r="A830" s="32"/>
      <c r="D830" s="75"/>
      <c r="E830" s="125"/>
      <c r="F830" s="121">
        <f t="shared" si="1"/>
        <v>0</v>
      </c>
      <c r="G830" s="126"/>
      <c r="H830" s="123">
        <f t="shared" si="2"/>
        <v>0</v>
      </c>
      <c r="I830" s="124"/>
    </row>
    <row r="831" ht="15.75" customHeight="1">
      <c r="A831" s="32"/>
      <c r="D831" s="75"/>
      <c r="E831" s="125"/>
      <c r="F831" s="121">
        <f t="shared" si="1"/>
        <v>0</v>
      </c>
      <c r="G831" s="126"/>
      <c r="H831" s="123">
        <f t="shared" si="2"/>
        <v>0</v>
      </c>
      <c r="I831" s="124"/>
    </row>
    <row r="832" ht="15.75" customHeight="1">
      <c r="A832" s="32"/>
      <c r="D832" s="75"/>
      <c r="E832" s="125"/>
      <c r="F832" s="121">
        <f t="shared" si="1"/>
        <v>0</v>
      </c>
      <c r="G832" s="126"/>
      <c r="H832" s="123">
        <f t="shared" si="2"/>
        <v>0</v>
      </c>
      <c r="I832" s="124"/>
    </row>
    <row r="833" ht="15.75" customHeight="1">
      <c r="A833" s="32"/>
      <c r="D833" s="75"/>
      <c r="E833" s="125"/>
      <c r="F833" s="121">
        <f t="shared" si="1"/>
        <v>0</v>
      </c>
      <c r="G833" s="126"/>
      <c r="H833" s="123">
        <f t="shared" si="2"/>
        <v>0</v>
      </c>
      <c r="I833" s="124"/>
    </row>
    <row r="834" ht="15.75" customHeight="1">
      <c r="A834" s="32"/>
      <c r="D834" s="75"/>
      <c r="E834" s="125"/>
      <c r="F834" s="121">
        <f t="shared" si="1"/>
        <v>0</v>
      </c>
      <c r="G834" s="126"/>
      <c r="H834" s="123">
        <f t="shared" si="2"/>
        <v>0</v>
      </c>
      <c r="I834" s="124"/>
    </row>
    <row r="835" ht="15.75" customHeight="1">
      <c r="A835" s="32"/>
      <c r="D835" s="75"/>
      <c r="E835" s="125"/>
      <c r="F835" s="121">
        <f t="shared" si="1"/>
        <v>0</v>
      </c>
      <c r="G835" s="126"/>
      <c r="H835" s="123">
        <f t="shared" si="2"/>
        <v>0</v>
      </c>
      <c r="I835" s="124"/>
    </row>
    <row r="836" ht="15.75" customHeight="1">
      <c r="A836" s="32"/>
      <c r="D836" s="75"/>
      <c r="E836" s="125"/>
      <c r="F836" s="121">
        <f t="shared" si="1"/>
        <v>0</v>
      </c>
      <c r="G836" s="126"/>
      <c r="H836" s="123">
        <f t="shared" si="2"/>
        <v>0</v>
      </c>
      <c r="I836" s="124"/>
    </row>
    <row r="837" ht="15.75" customHeight="1">
      <c r="A837" s="32"/>
      <c r="D837" s="75"/>
      <c r="E837" s="125"/>
      <c r="F837" s="121">
        <f t="shared" si="1"/>
        <v>0</v>
      </c>
      <c r="G837" s="126"/>
      <c r="H837" s="123">
        <f t="shared" si="2"/>
        <v>0</v>
      </c>
      <c r="I837" s="124"/>
    </row>
    <row r="838" ht="15.75" customHeight="1">
      <c r="A838" s="32"/>
      <c r="D838" s="75"/>
      <c r="E838" s="125"/>
      <c r="F838" s="121">
        <f t="shared" si="1"/>
        <v>0</v>
      </c>
      <c r="G838" s="126"/>
      <c r="H838" s="123">
        <f t="shared" si="2"/>
        <v>0</v>
      </c>
      <c r="I838" s="124"/>
    </row>
    <row r="839" ht="15.75" customHeight="1">
      <c r="A839" s="32"/>
      <c r="D839" s="75"/>
      <c r="E839" s="125"/>
      <c r="F839" s="121">
        <f t="shared" si="1"/>
        <v>0</v>
      </c>
      <c r="G839" s="126"/>
      <c r="H839" s="123">
        <f t="shared" si="2"/>
        <v>0</v>
      </c>
      <c r="I839" s="124"/>
    </row>
    <row r="840" ht="15.75" customHeight="1">
      <c r="A840" s="32"/>
      <c r="D840" s="75"/>
      <c r="E840" s="125"/>
      <c r="F840" s="121">
        <f t="shared" si="1"/>
        <v>0</v>
      </c>
      <c r="G840" s="126"/>
      <c r="H840" s="123">
        <f t="shared" si="2"/>
        <v>0</v>
      </c>
      <c r="I840" s="124"/>
    </row>
    <row r="841" ht="15.75" customHeight="1">
      <c r="A841" s="32"/>
      <c r="D841" s="75"/>
      <c r="E841" s="125"/>
      <c r="F841" s="121">
        <f t="shared" si="1"/>
        <v>0</v>
      </c>
      <c r="G841" s="126"/>
      <c r="H841" s="123">
        <f t="shared" si="2"/>
        <v>0</v>
      </c>
      <c r="I841" s="124"/>
    </row>
    <row r="842" ht="15.75" customHeight="1">
      <c r="A842" s="32"/>
      <c r="D842" s="75"/>
      <c r="E842" s="125"/>
      <c r="F842" s="121">
        <f t="shared" si="1"/>
        <v>0</v>
      </c>
      <c r="G842" s="126"/>
      <c r="H842" s="123">
        <f t="shared" si="2"/>
        <v>0</v>
      </c>
      <c r="I842" s="124"/>
    </row>
    <row r="843" ht="15.75" customHeight="1">
      <c r="A843" s="32"/>
      <c r="D843" s="75"/>
      <c r="E843" s="125"/>
      <c r="F843" s="121">
        <f t="shared" si="1"/>
        <v>0</v>
      </c>
      <c r="G843" s="126"/>
      <c r="H843" s="123">
        <f t="shared" si="2"/>
        <v>0</v>
      </c>
      <c r="I843" s="124"/>
    </row>
    <row r="844" ht="15.75" customHeight="1">
      <c r="A844" s="32"/>
      <c r="D844" s="75"/>
      <c r="E844" s="125"/>
      <c r="F844" s="121">
        <f t="shared" si="1"/>
        <v>0</v>
      </c>
      <c r="G844" s="126"/>
      <c r="H844" s="123">
        <f t="shared" si="2"/>
        <v>0</v>
      </c>
      <c r="I844" s="124"/>
    </row>
    <row r="845" ht="15.75" customHeight="1">
      <c r="A845" s="32"/>
      <c r="D845" s="75"/>
      <c r="E845" s="125"/>
      <c r="F845" s="121">
        <f t="shared" si="1"/>
        <v>0</v>
      </c>
      <c r="G845" s="126"/>
      <c r="H845" s="123">
        <f t="shared" si="2"/>
        <v>0</v>
      </c>
      <c r="I845" s="124"/>
    </row>
    <row r="846" ht="15.75" customHeight="1">
      <c r="A846" s="32"/>
      <c r="D846" s="75"/>
      <c r="E846" s="125"/>
      <c r="F846" s="121">
        <f t="shared" si="1"/>
        <v>0</v>
      </c>
      <c r="G846" s="126"/>
      <c r="H846" s="123">
        <f t="shared" si="2"/>
        <v>0</v>
      </c>
      <c r="I846" s="124"/>
    </row>
    <row r="847" ht="15.75" customHeight="1">
      <c r="A847" s="32"/>
      <c r="D847" s="75"/>
      <c r="E847" s="125"/>
      <c r="F847" s="121">
        <f t="shared" si="1"/>
        <v>0</v>
      </c>
      <c r="G847" s="126"/>
      <c r="H847" s="123">
        <f t="shared" si="2"/>
        <v>0</v>
      </c>
      <c r="I847" s="124"/>
    </row>
    <row r="848" ht="15.75" customHeight="1">
      <c r="A848" s="32"/>
      <c r="D848" s="75"/>
      <c r="E848" s="125"/>
      <c r="F848" s="121">
        <f t="shared" si="1"/>
        <v>0</v>
      </c>
      <c r="G848" s="126"/>
      <c r="H848" s="123">
        <f t="shared" si="2"/>
        <v>0</v>
      </c>
      <c r="I848" s="124"/>
    </row>
    <row r="849" ht="15.75" customHeight="1">
      <c r="A849" s="32"/>
      <c r="D849" s="75"/>
      <c r="E849" s="125"/>
      <c r="F849" s="121">
        <f t="shared" si="1"/>
        <v>0</v>
      </c>
      <c r="G849" s="126"/>
      <c r="H849" s="123">
        <f t="shared" si="2"/>
        <v>0</v>
      </c>
      <c r="I849" s="124"/>
    </row>
    <row r="850" ht="15.75" customHeight="1">
      <c r="A850" s="32"/>
      <c r="D850" s="75"/>
      <c r="E850" s="125"/>
      <c r="F850" s="121">
        <f t="shared" si="1"/>
        <v>0</v>
      </c>
      <c r="G850" s="126"/>
      <c r="H850" s="123">
        <f t="shared" si="2"/>
        <v>0</v>
      </c>
      <c r="I850" s="124"/>
    </row>
    <row r="851" ht="15.75" customHeight="1">
      <c r="A851" s="32"/>
      <c r="D851" s="75"/>
      <c r="E851" s="125"/>
      <c r="F851" s="121">
        <f t="shared" si="1"/>
        <v>0</v>
      </c>
      <c r="G851" s="126"/>
      <c r="H851" s="123">
        <f t="shared" si="2"/>
        <v>0</v>
      </c>
      <c r="I851" s="124"/>
    </row>
    <row r="852" ht="15.75" customHeight="1">
      <c r="A852" s="32"/>
      <c r="D852" s="75"/>
      <c r="E852" s="125"/>
      <c r="F852" s="121">
        <f t="shared" si="1"/>
        <v>0</v>
      </c>
      <c r="G852" s="126"/>
      <c r="H852" s="123">
        <f t="shared" si="2"/>
        <v>0</v>
      </c>
      <c r="I852" s="124"/>
    </row>
    <row r="853" ht="15.75" customHeight="1">
      <c r="A853" s="32"/>
      <c r="D853" s="75"/>
      <c r="E853" s="125"/>
      <c r="F853" s="121">
        <f t="shared" si="1"/>
        <v>0</v>
      </c>
      <c r="G853" s="126"/>
      <c r="H853" s="123">
        <f t="shared" si="2"/>
        <v>0</v>
      </c>
      <c r="I853" s="124"/>
    </row>
    <row r="854" ht="15.75" customHeight="1">
      <c r="A854" s="32"/>
      <c r="D854" s="75"/>
      <c r="E854" s="125"/>
      <c r="F854" s="121">
        <f t="shared" si="1"/>
        <v>0</v>
      </c>
      <c r="G854" s="126"/>
      <c r="H854" s="123">
        <f t="shared" si="2"/>
        <v>0</v>
      </c>
      <c r="I854" s="124"/>
    </row>
    <row r="855" ht="15.75" customHeight="1">
      <c r="A855" s="32"/>
      <c r="D855" s="75"/>
      <c r="E855" s="125"/>
      <c r="F855" s="121">
        <f t="shared" si="1"/>
        <v>0</v>
      </c>
      <c r="G855" s="126"/>
      <c r="H855" s="123">
        <f t="shared" si="2"/>
        <v>0</v>
      </c>
      <c r="I855" s="124"/>
    </row>
    <row r="856" ht="15.75" customHeight="1">
      <c r="A856" s="32"/>
      <c r="D856" s="75"/>
      <c r="E856" s="125"/>
      <c r="F856" s="121">
        <f t="shared" si="1"/>
        <v>0</v>
      </c>
      <c r="G856" s="126"/>
      <c r="H856" s="123">
        <f t="shared" si="2"/>
        <v>0</v>
      </c>
      <c r="I856" s="124"/>
    </row>
    <row r="857" ht="15.75" customHeight="1">
      <c r="A857" s="32"/>
      <c r="D857" s="75"/>
      <c r="E857" s="125"/>
      <c r="F857" s="121">
        <f t="shared" si="1"/>
        <v>0</v>
      </c>
      <c r="G857" s="126"/>
      <c r="H857" s="123">
        <f t="shared" si="2"/>
        <v>0</v>
      </c>
      <c r="I857" s="124"/>
    </row>
    <row r="858" ht="15.75" customHeight="1">
      <c r="A858" s="32"/>
      <c r="D858" s="75"/>
      <c r="E858" s="125"/>
      <c r="F858" s="121">
        <f t="shared" si="1"/>
        <v>0</v>
      </c>
      <c r="G858" s="126"/>
      <c r="H858" s="123">
        <f t="shared" si="2"/>
        <v>0</v>
      </c>
      <c r="I858" s="124"/>
    </row>
    <row r="859" ht="15.75" customHeight="1">
      <c r="A859" s="32"/>
      <c r="D859" s="75"/>
      <c r="E859" s="125"/>
      <c r="F859" s="121">
        <f t="shared" si="1"/>
        <v>0</v>
      </c>
      <c r="G859" s="126"/>
      <c r="H859" s="123">
        <f t="shared" si="2"/>
        <v>0</v>
      </c>
      <c r="I859" s="124"/>
    </row>
    <row r="860" ht="15.75" customHeight="1">
      <c r="A860" s="32"/>
      <c r="D860" s="75"/>
      <c r="E860" s="125"/>
      <c r="F860" s="121">
        <f t="shared" si="1"/>
        <v>0</v>
      </c>
      <c r="G860" s="126"/>
      <c r="H860" s="123">
        <f t="shared" si="2"/>
        <v>0</v>
      </c>
      <c r="I860" s="124"/>
    </row>
    <row r="861" ht="15.75" customHeight="1">
      <c r="A861" s="32"/>
      <c r="D861" s="75"/>
      <c r="E861" s="125"/>
      <c r="F861" s="121">
        <f t="shared" si="1"/>
        <v>0</v>
      </c>
      <c r="G861" s="126"/>
      <c r="H861" s="123">
        <f t="shared" si="2"/>
        <v>0</v>
      </c>
      <c r="I861" s="124"/>
    </row>
    <row r="862" ht="15.75" customHeight="1">
      <c r="A862" s="32"/>
      <c r="D862" s="75"/>
      <c r="E862" s="125"/>
      <c r="F862" s="121">
        <f t="shared" si="1"/>
        <v>0</v>
      </c>
      <c r="G862" s="126"/>
      <c r="H862" s="123">
        <f t="shared" si="2"/>
        <v>0</v>
      </c>
      <c r="I862" s="124"/>
    </row>
    <row r="863" ht="15.75" customHeight="1">
      <c r="A863" s="32"/>
      <c r="D863" s="75"/>
      <c r="E863" s="125"/>
      <c r="F863" s="121">
        <f t="shared" si="1"/>
        <v>0</v>
      </c>
      <c r="G863" s="126"/>
      <c r="H863" s="123">
        <f t="shared" si="2"/>
        <v>0</v>
      </c>
      <c r="I863" s="124"/>
    </row>
    <row r="864" ht="15.75" customHeight="1">
      <c r="A864" s="32"/>
      <c r="D864" s="75"/>
      <c r="E864" s="125"/>
      <c r="F864" s="121">
        <f t="shared" si="1"/>
        <v>0</v>
      </c>
      <c r="G864" s="126"/>
      <c r="H864" s="123">
        <f t="shared" si="2"/>
        <v>0</v>
      </c>
      <c r="I864" s="124"/>
    </row>
    <row r="865" ht="15.75" customHeight="1">
      <c r="A865" s="32"/>
      <c r="D865" s="75"/>
      <c r="E865" s="125"/>
      <c r="F865" s="121">
        <f t="shared" si="1"/>
        <v>0</v>
      </c>
      <c r="G865" s="126"/>
      <c r="H865" s="123">
        <f t="shared" si="2"/>
        <v>0</v>
      </c>
      <c r="I865" s="124"/>
    </row>
    <row r="866" ht="15.75" customHeight="1">
      <c r="A866" s="32"/>
      <c r="D866" s="75"/>
      <c r="E866" s="125"/>
      <c r="F866" s="121">
        <f t="shared" si="1"/>
        <v>0</v>
      </c>
      <c r="G866" s="126"/>
      <c r="H866" s="123">
        <f t="shared" si="2"/>
        <v>0</v>
      </c>
      <c r="I866" s="124"/>
    </row>
    <row r="867" ht="15.75" customHeight="1">
      <c r="A867" s="32"/>
      <c r="D867" s="75"/>
      <c r="E867" s="125"/>
      <c r="F867" s="121">
        <f t="shared" si="1"/>
        <v>0</v>
      </c>
      <c r="G867" s="126"/>
      <c r="H867" s="123">
        <f t="shared" si="2"/>
        <v>0</v>
      </c>
      <c r="I867" s="124"/>
    </row>
    <row r="868" ht="15.75" customHeight="1">
      <c r="A868" s="32"/>
      <c r="D868" s="75"/>
      <c r="E868" s="125"/>
      <c r="F868" s="121">
        <f t="shared" si="1"/>
        <v>0</v>
      </c>
      <c r="G868" s="126"/>
      <c r="H868" s="123">
        <f t="shared" si="2"/>
        <v>0</v>
      </c>
      <c r="I868" s="124"/>
    </row>
    <row r="869" ht="15.75" customHeight="1">
      <c r="A869" s="32"/>
      <c r="D869" s="75"/>
      <c r="E869" s="125"/>
      <c r="F869" s="121">
        <f t="shared" si="1"/>
        <v>0</v>
      </c>
      <c r="G869" s="126"/>
      <c r="H869" s="123">
        <f t="shared" si="2"/>
        <v>0</v>
      </c>
      <c r="I869" s="124"/>
    </row>
    <row r="870" ht="15.75" customHeight="1">
      <c r="A870" s="32"/>
      <c r="D870" s="75"/>
      <c r="E870" s="125"/>
      <c r="F870" s="121">
        <f t="shared" si="1"/>
        <v>0</v>
      </c>
      <c r="G870" s="126"/>
      <c r="H870" s="123">
        <f t="shared" si="2"/>
        <v>0</v>
      </c>
      <c r="I870" s="124"/>
    </row>
    <row r="871" ht="15.75" customHeight="1">
      <c r="A871" s="32"/>
      <c r="D871" s="75"/>
      <c r="E871" s="125"/>
      <c r="F871" s="121">
        <f t="shared" si="1"/>
        <v>0</v>
      </c>
      <c r="G871" s="126"/>
      <c r="H871" s="123">
        <f t="shared" si="2"/>
        <v>0</v>
      </c>
      <c r="I871" s="124"/>
    </row>
    <row r="872" ht="15.75" customHeight="1">
      <c r="A872" s="32"/>
      <c r="D872" s="75"/>
      <c r="E872" s="125"/>
      <c r="F872" s="121">
        <f t="shared" si="1"/>
        <v>0</v>
      </c>
      <c r="G872" s="126"/>
      <c r="H872" s="123">
        <f t="shared" si="2"/>
        <v>0</v>
      </c>
      <c r="I872" s="124"/>
    </row>
    <row r="873" ht="15.75" customHeight="1">
      <c r="A873" s="32"/>
      <c r="D873" s="75"/>
      <c r="E873" s="125"/>
      <c r="F873" s="121">
        <f t="shared" si="1"/>
        <v>0</v>
      </c>
      <c r="G873" s="126"/>
      <c r="H873" s="123">
        <f t="shared" si="2"/>
        <v>0</v>
      </c>
      <c r="I873" s="124"/>
    </row>
    <row r="874" ht="15.75" customHeight="1">
      <c r="A874" s="32"/>
      <c r="D874" s="75"/>
      <c r="E874" s="125"/>
      <c r="F874" s="121">
        <f t="shared" si="1"/>
        <v>0</v>
      </c>
      <c r="G874" s="126"/>
      <c r="H874" s="123">
        <f t="shared" si="2"/>
        <v>0</v>
      </c>
      <c r="I874" s="124"/>
    </row>
    <row r="875" ht="15.75" customHeight="1">
      <c r="A875" s="32"/>
      <c r="D875" s="75"/>
      <c r="E875" s="125"/>
      <c r="F875" s="121">
        <f t="shared" si="1"/>
        <v>0</v>
      </c>
      <c r="G875" s="126"/>
      <c r="H875" s="123">
        <f t="shared" si="2"/>
        <v>0</v>
      </c>
      <c r="I875" s="124"/>
    </row>
    <row r="876" ht="15.75" customHeight="1">
      <c r="A876" s="32"/>
      <c r="D876" s="75"/>
      <c r="E876" s="125"/>
      <c r="F876" s="121">
        <f t="shared" si="1"/>
        <v>0</v>
      </c>
      <c r="G876" s="126"/>
      <c r="H876" s="123">
        <f t="shared" si="2"/>
        <v>0</v>
      </c>
      <c r="I876" s="124"/>
    </row>
    <row r="877" ht="15.75" customHeight="1">
      <c r="A877" s="32"/>
      <c r="D877" s="75"/>
      <c r="E877" s="125"/>
      <c r="F877" s="121">
        <f t="shared" si="1"/>
        <v>0</v>
      </c>
      <c r="G877" s="126"/>
      <c r="H877" s="123">
        <f t="shared" si="2"/>
        <v>0</v>
      </c>
      <c r="I877" s="124"/>
    </row>
    <row r="878" ht="15.75" customHeight="1">
      <c r="A878" s="32"/>
      <c r="D878" s="75"/>
      <c r="E878" s="125"/>
      <c r="F878" s="121">
        <f t="shared" si="1"/>
        <v>0</v>
      </c>
      <c r="G878" s="126"/>
      <c r="H878" s="123">
        <f t="shared" si="2"/>
        <v>0</v>
      </c>
      <c r="I878" s="124"/>
    </row>
    <row r="879" ht="15.75" customHeight="1">
      <c r="A879" s="32"/>
      <c r="D879" s="75"/>
      <c r="E879" s="125"/>
      <c r="F879" s="121">
        <f t="shared" si="1"/>
        <v>0</v>
      </c>
      <c r="G879" s="126"/>
      <c r="H879" s="123">
        <f t="shared" si="2"/>
        <v>0</v>
      </c>
      <c r="I879" s="124"/>
    </row>
    <row r="880" ht="15.75" customHeight="1">
      <c r="A880" s="32"/>
      <c r="D880" s="75"/>
      <c r="E880" s="125"/>
      <c r="F880" s="121">
        <f t="shared" si="1"/>
        <v>0</v>
      </c>
      <c r="G880" s="126"/>
      <c r="H880" s="123">
        <f t="shared" si="2"/>
        <v>0</v>
      </c>
      <c r="I880" s="124"/>
    </row>
    <row r="881" ht="15.75" customHeight="1">
      <c r="A881" s="32"/>
      <c r="D881" s="75"/>
      <c r="E881" s="125"/>
      <c r="F881" s="121">
        <f t="shared" si="1"/>
        <v>0</v>
      </c>
      <c r="G881" s="126"/>
      <c r="H881" s="123">
        <f t="shared" si="2"/>
        <v>0</v>
      </c>
      <c r="I881" s="124"/>
    </row>
    <row r="882" ht="15.75" customHeight="1">
      <c r="A882" s="32"/>
      <c r="D882" s="75"/>
      <c r="E882" s="125"/>
      <c r="F882" s="121">
        <f t="shared" si="1"/>
        <v>0</v>
      </c>
      <c r="G882" s="126"/>
      <c r="H882" s="123">
        <f t="shared" si="2"/>
        <v>0</v>
      </c>
      <c r="I882" s="124"/>
    </row>
    <row r="883" ht="15.75" customHeight="1">
      <c r="A883" s="32"/>
      <c r="D883" s="75"/>
      <c r="E883" s="125"/>
      <c r="F883" s="121">
        <f t="shared" si="1"/>
        <v>0</v>
      </c>
      <c r="G883" s="126"/>
      <c r="H883" s="123">
        <f t="shared" si="2"/>
        <v>0</v>
      </c>
      <c r="I883" s="124"/>
    </row>
    <row r="884" ht="15.75" customHeight="1">
      <c r="A884" s="32"/>
      <c r="D884" s="75"/>
      <c r="E884" s="125"/>
      <c r="F884" s="121">
        <f t="shared" si="1"/>
        <v>0</v>
      </c>
      <c r="G884" s="126"/>
      <c r="H884" s="123">
        <f t="shared" si="2"/>
        <v>0</v>
      </c>
      <c r="I884" s="124"/>
    </row>
    <row r="885" ht="15.75" customHeight="1">
      <c r="A885" s="32"/>
      <c r="D885" s="75"/>
      <c r="E885" s="125"/>
      <c r="F885" s="121">
        <f t="shared" si="1"/>
        <v>0</v>
      </c>
      <c r="G885" s="126"/>
      <c r="H885" s="123">
        <f t="shared" si="2"/>
        <v>0</v>
      </c>
      <c r="I885" s="124"/>
    </row>
    <row r="886" ht="15.75" customHeight="1">
      <c r="A886" s="32"/>
      <c r="D886" s="75"/>
      <c r="E886" s="125"/>
      <c r="F886" s="121">
        <f t="shared" si="1"/>
        <v>0</v>
      </c>
      <c r="G886" s="126"/>
      <c r="H886" s="123">
        <f t="shared" si="2"/>
        <v>0</v>
      </c>
      <c r="I886" s="124"/>
    </row>
    <row r="887" ht="15.75" customHeight="1">
      <c r="A887" s="32"/>
      <c r="D887" s="75"/>
      <c r="E887" s="125"/>
      <c r="F887" s="121">
        <f t="shared" si="1"/>
        <v>0</v>
      </c>
      <c r="G887" s="126"/>
      <c r="H887" s="123">
        <f t="shared" si="2"/>
        <v>0</v>
      </c>
      <c r="I887" s="124"/>
    </row>
    <row r="888" ht="15.75" customHeight="1">
      <c r="A888" s="32"/>
      <c r="D888" s="75"/>
      <c r="E888" s="125"/>
      <c r="F888" s="121">
        <f t="shared" si="1"/>
        <v>0</v>
      </c>
      <c r="G888" s="126"/>
      <c r="H888" s="123">
        <f t="shared" si="2"/>
        <v>0</v>
      </c>
      <c r="I888" s="124"/>
    </row>
    <row r="889" ht="15.75" customHeight="1">
      <c r="A889" s="32"/>
      <c r="D889" s="75"/>
      <c r="E889" s="125"/>
      <c r="F889" s="121">
        <f t="shared" si="1"/>
        <v>0</v>
      </c>
      <c r="G889" s="126"/>
      <c r="H889" s="123">
        <f t="shared" si="2"/>
        <v>0</v>
      </c>
      <c r="I889" s="124"/>
    </row>
    <row r="890" ht="15.75" customHeight="1">
      <c r="A890" s="32"/>
      <c r="D890" s="75"/>
      <c r="E890" s="125"/>
      <c r="F890" s="121">
        <f t="shared" si="1"/>
        <v>0</v>
      </c>
      <c r="G890" s="126"/>
      <c r="H890" s="123">
        <f t="shared" si="2"/>
        <v>0</v>
      </c>
      <c r="I890" s="124"/>
    </row>
    <row r="891" ht="15.75" customHeight="1">
      <c r="A891" s="32"/>
      <c r="D891" s="75"/>
      <c r="E891" s="125"/>
      <c r="F891" s="121">
        <f t="shared" si="1"/>
        <v>0</v>
      </c>
      <c r="G891" s="126"/>
      <c r="H891" s="123">
        <f t="shared" si="2"/>
        <v>0</v>
      </c>
      <c r="I891" s="124"/>
    </row>
    <row r="892" ht="15.75" customHeight="1">
      <c r="A892" s="32"/>
      <c r="D892" s="75"/>
      <c r="E892" s="125"/>
      <c r="F892" s="121">
        <f t="shared" si="1"/>
        <v>0</v>
      </c>
      <c r="G892" s="126"/>
      <c r="H892" s="123">
        <f t="shared" si="2"/>
        <v>0</v>
      </c>
      <c r="I892" s="124"/>
    </row>
    <row r="893" ht="15.75" customHeight="1">
      <c r="A893" s="32"/>
      <c r="D893" s="75"/>
      <c r="E893" s="125"/>
      <c r="F893" s="121">
        <f t="shared" si="1"/>
        <v>0</v>
      </c>
      <c r="G893" s="126"/>
      <c r="H893" s="123">
        <f t="shared" si="2"/>
        <v>0</v>
      </c>
      <c r="I893" s="124"/>
    </row>
    <row r="894" ht="15.75" customHeight="1">
      <c r="A894" s="32"/>
      <c r="D894" s="75"/>
      <c r="E894" s="125"/>
      <c r="F894" s="121">
        <f t="shared" si="1"/>
        <v>0</v>
      </c>
      <c r="G894" s="126"/>
      <c r="H894" s="123">
        <f t="shared" si="2"/>
        <v>0</v>
      </c>
      <c r="I894" s="124"/>
    </row>
    <row r="895" ht="15.75" customHeight="1">
      <c r="A895" s="32"/>
      <c r="D895" s="75"/>
      <c r="E895" s="125"/>
      <c r="F895" s="121">
        <f t="shared" si="1"/>
        <v>0</v>
      </c>
      <c r="G895" s="126"/>
      <c r="H895" s="123">
        <f t="shared" si="2"/>
        <v>0</v>
      </c>
      <c r="I895" s="124"/>
    </row>
    <row r="896" ht="15.75" customHeight="1">
      <c r="A896" s="32"/>
      <c r="D896" s="75"/>
      <c r="E896" s="125"/>
      <c r="F896" s="121">
        <f t="shared" si="1"/>
        <v>0</v>
      </c>
      <c r="G896" s="126"/>
      <c r="H896" s="123">
        <f t="shared" si="2"/>
        <v>0</v>
      </c>
      <c r="I896" s="124"/>
    </row>
    <row r="897" ht="15.75" customHeight="1">
      <c r="A897" s="32"/>
      <c r="D897" s="75"/>
      <c r="E897" s="125"/>
      <c r="F897" s="121">
        <f t="shared" si="1"/>
        <v>0</v>
      </c>
      <c r="G897" s="126"/>
      <c r="H897" s="123">
        <f t="shared" si="2"/>
        <v>0</v>
      </c>
      <c r="I897" s="124"/>
    </row>
    <row r="898" ht="15.75" customHeight="1">
      <c r="A898" s="32"/>
      <c r="D898" s="75"/>
      <c r="E898" s="125"/>
      <c r="F898" s="121">
        <f t="shared" si="1"/>
        <v>0</v>
      </c>
      <c r="G898" s="126"/>
      <c r="H898" s="123">
        <f t="shared" si="2"/>
        <v>0</v>
      </c>
      <c r="I898" s="124"/>
    </row>
    <row r="899" ht="15.75" customHeight="1">
      <c r="A899" s="32"/>
      <c r="D899" s="75"/>
      <c r="E899" s="125"/>
      <c r="F899" s="121">
        <f t="shared" si="1"/>
        <v>0</v>
      </c>
      <c r="G899" s="126"/>
      <c r="H899" s="123">
        <f t="shared" si="2"/>
        <v>0</v>
      </c>
      <c r="I899" s="124"/>
    </row>
    <row r="900" ht="15.75" customHeight="1">
      <c r="A900" s="32"/>
      <c r="D900" s="75"/>
      <c r="E900" s="125"/>
      <c r="F900" s="121">
        <f t="shared" si="1"/>
        <v>0</v>
      </c>
      <c r="G900" s="126"/>
      <c r="H900" s="123">
        <f t="shared" si="2"/>
        <v>0</v>
      </c>
      <c r="I900" s="124"/>
    </row>
    <row r="901" ht="15.75" customHeight="1">
      <c r="A901" s="32"/>
      <c r="D901" s="75"/>
      <c r="E901" s="125"/>
      <c r="F901" s="121">
        <f t="shared" si="1"/>
        <v>0</v>
      </c>
      <c r="G901" s="126"/>
      <c r="H901" s="123">
        <f t="shared" si="2"/>
        <v>0</v>
      </c>
      <c r="I901" s="124"/>
    </row>
    <row r="902" ht="15.75" customHeight="1">
      <c r="A902" s="32"/>
      <c r="D902" s="75"/>
      <c r="E902" s="125"/>
      <c r="F902" s="121">
        <f t="shared" si="1"/>
        <v>0</v>
      </c>
      <c r="G902" s="126"/>
      <c r="H902" s="123">
        <f t="shared" si="2"/>
        <v>0</v>
      </c>
      <c r="I902" s="124"/>
    </row>
    <row r="903" ht="15.75" customHeight="1">
      <c r="A903" s="32"/>
      <c r="D903" s="75"/>
      <c r="E903" s="125"/>
      <c r="F903" s="121">
        <f t="shared" si="1"/>
        <v>0</v>
      </c>
      <c r="G903" s="126"/>
      <c r="H903" s="123">
        <f t="shared" si="2"/>
        <v>0</v>
      </c>
      <c r="I903" s="124"/>
    </row>
    <row r="904" ht="15.75" customHeight="1">
      <c r="A904" s="32"/>
      <c r="D904" s="75"/>
      <c r="E904" s="125"/>
      <c r="F904" s="121">
        <f t="shared" si="1"/>
        <v>0</v>
      </c>
      <c r="G904" s="126"/>
      <c r="H904" s="123">
        <f t="shared" si="2"/>
        <v>0</v>
      </c>
      <c r="I904" s="124"/>
    </row>
    <row r="905" ht="15.75" customHeight="1">
      <c r="A905" s="32"/>
      <c r="D905" s="75"/>
      <c r="E905" s="125"/>
      <c r="F905" s="121">
        <f t="shared" si="1"/>
        <v>0</v>
      </c>
      <c r="G905" s="126"/>
      <c r="H905" s="123">
        <f t="shared" si="2"/>
        <v>0</v>
      </c>
      <c r="I905" s="124"/>
    </row>
    <row r="906" ht="15.75" customHeight="1">
      <c r="A906" s="32"/>
      <c r="D906" s="75"/>
      <c r="E906" s="125"/>
      <c r="F906" s="121">
        <f t="shared" si="1"/>
        <v>0</v>
      </c>
      <c r="G906" s="126"/>
      <c r="H906" s="123">
        <f t="shared" si="2"/>
        <v>0</v>
      </c>
      <c r="I906" s="124"/>
    </row>
    <row r="907" ht="15.75" customHeight="1">
      <c r="A907" s="32"/>
      <c r="D907" s="75"/>
      <c r="E907" s="125"/>
      <c r="F907" s="121">
        <f t="shared" si="1"/>
        <v>0</v>
      </c>
      <c r="G907" s="126"/>
      <c r="H907" s="123">
        <f t="shared" si="2"/>
        <v>0</v>
      </c>
      <c r="I907" s="124"/>
    </row>
    <row r="908" ht="15.75" customHeight="1">
      <c r="A908" s="32"/>
      <c r="D908" s="75"/>
      <c r="E908" s="125"/>
      <c r="F908" s="121">
        <f t="shared" si="1"/>
        <v>0</v>
      </c>
      <c r="G908" s="126"/>
      <c r="H908" s="123">
        <f t="shared" si="2"/>
        <v>0</v>
      </c>
      <c r="I908" s="124"/>
    </row>
    <row r="909" ht="15.75" customHeight="1">
      <c r="A909" s="32"/>
      <c r="D909" s="75"/>
      <c r="E909" s="125"/>
      <c r="F909" s="121">
        <f t="shared" si="1"/>
        <v>0</v>
      </c>
      <c r="G909" s="126"/>
      <c r="H909" s="123">
        <f t="shared" si="2"/>
        <v>0</v>
      </c>
      <c r="I909" s="124"/>
    </row>
    <row r="910" ht="15.75" customHeight="1">
      <c r="A910" s="32"/>
      <c r="D910" s="75"/>
      <c r="E910" s="125"/>
      <c r="F910" s="121">
        <f t="shared" si="1"/>
        <v>0</v>
      </c>
      <c r="G910" s="126"/>
      <c r="H910" s="123">
        <f t="shared" si="2"/>
        <v>0</v>
      </c>
      <c r="I910" s="124"/>
    </row>
    <row r="911" ht="15.75" customHeight="1">
      <c r="A911" s="32"/>
      <c r="D911" s="75"/>
      <c r="E911" s="125"/>
      <c r="F911" s="121">
        <f t="shared" si="1"/>
        <v>0</v>
      </c>
      <c r="G911" s="126"/>
      <c r="H911" s="123">
        <f t="shared" si="2"/>
        <v>0</v>
      </c>
      <c r="I911" s="124"/>
    </row>
    <row r="912" ht="15.75" customHeight="1">
      <c r="A912" s="32"/>
      <c r="D912" s="75"/>
      <c r="E912" s="125"/>
      <c r="F912" s="121">
        <f t="shared" si="1"/>
        <v>0</v>
      </c>
      <c r="G912" s="126"/>
      <c r="H912" s="123">
        <f t="shared" si="2"/>
        <v>0</v>
      </c>
      <c r="I912" s="124"/>
    </row>
    <row r="913" ht="15.75" customHeight="1">
      <c r="A913" s="32"/>
      <c r="D913" s="75"/>
      <c r="E913" s="125"/>
      <c r="F913" s="121">
        <f t="shared" si="1"/>
        <v>0</v>
      </c>
      <c r="G913" s="126"/>
      <c r="H913" s="123">
        <f t="shared" si="2"/>
        <v>0</v>
      </c>
      <c r="I913" s="124"/>
    </row>
    <row r="914" ht="15.75" customHeight="1">
      <c r="A914" s="32"/>
      <c r="D914" s="75"/>
      <c r="E914" s="125"/>
      <c r="F914" s="121">
        <f t="shared" si="1"/>
        <v>0</v>
      </c>
      <c r="G914" s="126"/>
      <c r="H914" s="123">
        <f t="shared" si="2"/>
        <v>0</v>
      </c>
      <c r="I914" s="124"/>
    </row>
    <row r="915" ht="15.75" customHeight="1">
      <c r="A915" s="32"/>
      <c r="D915" s="75"/>
      <c r="E915" s="125"/>
      <c r="F915" s="121">
        <f t="shared" si="1"/>
        <v>0</v>
      </c>
      <c r="G915" s="126"/>
      <c r="H915" s="123">
        <f t="shared" si="2"/>
        <v>0</v>
      </c>
      <c r="I915" s="124"/>
    </row>
    <row r="916" ht="15.75" customHeight="1">
      <c r="A916" s="32"/>
      <c r="D916" s="75"/>
      <c r="E916" s="125"/>
      <c r="F916" s="121">
        <f t="shared" si="1"/>
        <v>0</v>
      </c>
      <c r="G916" s="126"/>
      <c r="H916" s="123">
        <f t="shared" si="2"/>
        <v>0</v>
      </c>
      <c r="I916" s="124"/>
    </row>
    <row r="917" ht="15.75" customHeight="1">
      <c r="A917" s="32"/>
      <c r="D917" s="75"/>
      <c r="E917" s="125"/>
      <c r="F917" s="121">
        <f t="shared" si="1"/>
        <v>0</v>
      </c>
      <c r="G917" s="126"/>
      <c r="H917" s="123">
        <f t="shared" si="2"/>
        <v>0</v>
      </c>
      <c r="I917" s="124"/>
    </row>
  </sheetData>
  <autoFilter ref="$B$1:$I$917"/>
  <dataValidations>
    <dataValidation type="list" allowBlank="1" showErrorMessage="1" sqref="I2:I917">
      <formula1>"Janeiro,Fevereiro,Março,Abril,Maio,Junho,Julho,Agosto,Setembro,Outubro,Novembro,Dezembro"</formula1>
    </dataValidation>
    <dataValidation type="list" allowBlank="1" showErrorMessage="1" sqref="G2:G365">
      <formula1>"1%,1,5%,2%"</formula1>
    </dataValidation>
    <dataValidation type="list" allowBlank="1" showErrorMessage="1" sqref="G366:G917">
      <formula1>"1%,1,5%,2%"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2" width="16.75"/>
    <col customWidth="1" min="3" max="4" width="17.75"/>
    <col customWidth="1" min="5" max="5" width="20.75"/>
    <col customWidth="1" min="6" max="6" width="15.25"/>
    <col customWidth="1" min="7" max="7" width="15.63"/>
    <col customWidth="1" min="8" max="8" width="15.13"/>
    <col customWidth="1" min="11" max="11" width="20.38"/>
    <col customWidth="1" min="12" max="12" width="15.63"/>
  </cols>
  <sheetData>
    <row r="1">
      <c r="A1" s="87" t="s">
        <v>78</v>
      </c>
      <c r="B1" s="87" t="s">
        <v>1</v>
      </c>
      <c r="C1" s="87" t="s">
        <v>79</v>
      </c>
      <c r="D1" s="87" t="s">
        <v>3</v>
      </c>
      <c r="E1" s="87" t="s">
        <v>80</v>
      </c>
      <c r="F1" s="127" t="s">
        <v>5</v>
      </c>
      <c r="G1" s="87" t="s">
        <v>6</v>
      </c>
      <c r="H1" s="127" t="s">
        <v>7</v>
      </c>
      <c r="I1" s="87" t="s">
        <v>8</v>
      </c>
      <c r="J1" s="127" t="s">
        <v>58</v>
      </c>
      <c r="K1" s="87" t="s">
        <v>12</v>
      </c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 hidden="1">
      <c r="A2" s="5">
        <v>6144.0</v>
      </c>
      <c r="B2" s="4" t="s">
        <v>53</v>
      </c>
      <c r="C2" s="4"/>
      <c r="D2" s="128"/>
      <c r="E2" s="5" t="s">
        <v>81</v>
      </c>
      <c r="F2" s="129">
        <v>12.1</v>
      </c>
      <c r="G2" s="130">
        <v>120.0</v>
      </c>
      <c r="H2" s="131">
        <f t="shared" ref="H2:H65" si="1">F2*G2</f>
        <v>1452</v>
      </c>
      <c r="I2" s="132">
        <v>0.02</v>
      </c>
      <c r="J2" s="131">
        <f t="shared" ref="J2:J65" si="2">H2*I2</f>
        <v>29.04</v>
      </c>
      <c r="K2" s="133" t="s">
        <v>28</v>
      </c>
    </row>
    <row r="3" hidden="1">
      <c r="A3" s="16">
        <v>6303.0</v>
      </c>
      <c r="B3" s="15" t="s">
        <v>82</v>
      </c>
      <c r="C3" s="32"/>
      <c r="D3" s="53"/>
      <c r="E3" s="17">
        <v>45678.0</v>
      </c>
      <c r="F3" s="134">
        <v>12.6</v>
      </c>
      <c r="G3" s="135">
        <v>168.0</v>
      </c>
      <c r="H3" s="136">
        <f t="shared" si="1"/>
        <v>2116.8</v>
      </c>
      <c r="I3" s="137">
        <v>0.02</v>
      </c>
      <c r="J3" s="136">
        <f t="shared" si="2"/>
        <v>42.336</v>
      </c>
      <c r="K3" s="16" t="s">
        <v>15</v>
      </c>
    </row>
    <row r="4" hidden="1">
      <c r="A4" s="16">
        <v>6420.0</v>
      </c>
      <c r="B4" s="15" t="s">
        <v>83</v>
      </c>
      <c r="C4" s="32"/>
      <c r="D4" s="53"/>
      <c r="E4" s="17">
        <v>45688.0</v>
      </c>
      <c r="F4" s="134">
        <v>11.7</v>
      </c>
      <c r="G4" s="135">
        <v>396.0</v>
      </c>
      <c r="H4" s="136">
        <f t="shared" si="1"/>
        <v>4633.2</v>
      </c>
      <c r="I4" s="137">
        <v>0.02</v>
      </c>
      <c r="J4" s="136">
        <f t="shared" si="2"/>
        <v>92.664</v>
      </c>
      <c r="K4" s="16" t="s">
        <v>15</v>
      </c>
    </row>
    <row r="5" hidden="1">
      <c r="A5" s="16">
        <v>6587.0</v>
      </c>
      <c r="B5" s="15" t="s">
        <v>84</v>
      </c>
      <c r="C5" s="32"/>
      <c r="D5" s="53"/>
      <c r="E5" s="17">
        <v>45707.0</v>
      </c>
      <c r="F5" s="134">
        <v>11.7</v>
      </c>
      <c r="G5" s="135">
        <v>240.0</v>
      </c>
      <c r="H5" s="136">
        <f t="shared" si="1"/>
        <v>2808</v>
      </c>
      <c r="I5" s="137">
        <v>0.02</v>
      </c>
      <c r="J5" s="136">
        <f t="shared" si="2"/>
        <v>56.16</v>
      </c>
      <c r="K5" s="16" t="s">
        <v>28</v>
      </c>
    </row>
    <row r="6" hidden="1">
      <c r="A6" s="16">
        <v>6663.0</v>
      </c>
      <c r="B6" s="15" t="s">
        <v>33</v>
      </c>
      <c r="C6" s="16">
        <v>29121.0</v>
      </c>
      <c r="D6" s="17">
        <v>45735.0</v>
      </c>
      <c r="E6" s="53"/>
      <c r="F6" s="134">
        <v>11.7</v>
      </c>
      <c r="G6" s="135">
        <v>1248.0</v>
      </c>
      <c r="H6" s="136">
        <f t="shared" si="1"/>
        <v>14601.6</v>
      </c>
      <c r="I6" s="137">
        <v>0.02</v>
      </c>
      <c r="J6" s="136">
        <f t="shared" si="2"/>
        <v>292.032</v>
      </c>
      <c r="K6" s="16" t="s">
        <v>23</v>
      </c>
    </row>
    <row r="7" hidden="1">
      <c r="A7" s="16">
        <v>6716.0</v>
      </c>
      <c r="B7" s="15" t="s">
        <v>82</v>
      </c>
      <c r="C7" s="32"/>
      <c r="D7" s="53"/>
      <c r="E7" s="17">
        <v>45735.0</v>
      </c>
      <c r="F7" s="134">
        <v>11.7</v>
      </c>
      <c r="G7" s="135">
        <v>204.0</v>
      </c>
      <c r="H7" s="136">
        <f t="shared" si="1"/>
        <v>2386.8</v>
      </c>
      <c r="I7" s="137">
        <v>0.02</v>
      </c>
      <c r="J7" s="136">
        <f t="shared" si="2"/>
        <v>47.736</v>
      </c>
      <c r="K7" s="16" t="s">
        <v>23</v>
      </c>
    </row>
    <row r="8" hidden="1">
      <c r="A8" s="16">
        <v>7028.0</v>
      </c>
      <c r="B8" s="15" t="s">
        <v>82</v>
      </c>
      <c r="C8" s="32"/>
      <c r="D8" s="125"/>
      <c r="E8" s="17">
        <v>45785.0</v>
      </c>
      <c r="F8" s="134">
        <v>11.7</v>
      </c>
      <c r="G8" s="135">
        <v>216.0</v>
      </c>
      <c r="H8" s="136">
        <f t="shared" si="1"/>
        <v>2527.2</v>
      </c>
      <c r="I8" s="137">
        <v>0.02</v>
      </c>
      <c r="J8" s="136">
        <f t="shared" si="2"/>
        <v>50.544</v>
      </c>
      <c r="K8" s="16" t="s">
        <v>42</v>
      </c>
    </row>
    <row r="9" hidden="1">
      <c r="A9" s="16">
        <v>7041.0</v>
      </c>
      <c r="B9" s="15" t="s">
        <v>33</v>
      </c>
      <c r="C9" s="32"/>
      <c r="D9" s="53"/>
      <c r="E9" s="53"/>
      <c r="F9" s="134">
        <v>11.7</v>
      </c>
      <c r="G9" s="135">
        <v>360.0</v>
      </c>
      <c r="H9" s="136">
        <f t="shared" si="1"/>
        <v>4212</v>
      </c>
      <c r="I9" s="137">
        <v>0.02</v>
      </c>
      <c r="J9" s="136">
        <f t="shared" si="2"/>
        <v>84.24</v>
      </c>
      <c r="K9" s="16" t="s">
        <v>42</v>
      </c>
    </row>
    <row r="10" hidden="1">
      <c r="A10" s="16">
        <v>7229.0</v>
      </c>
      <c r="B10" s="15" t="s">
        <v>85</v>
      </c>
      <c r="C10" s="16">
        <v>29541.0</v>
      </c>
      <c r="D10" s="17">
        <v>45787.0</v>
      </c>
      <c r="E10" s="17">
        <v>45824.0</v>
      </c>
      <c r="F10" s="134">
        <v>11.7</v>
      </c>
      <c r="G10" s="135">
        <v>240.0</v>
      </c>
      <c r="H10" s="136">
        <f t="shared" si="1"/>
        <v>2808</v>
      </c>
      <c r="I10" s="137">
        <v>0.02</v>
      </c>
      <c r="J10" s="136">
        <f t="shared" si="2"/>
        <v>56.16</v>
      </c>
      <c r="K10" s="16" t="s">
        <v>38</v>
      </c>
    </row>
    <row r="11" hidden="1">
      <c r="A11" s="16">
        <v>7279.0</v>
      </c>
      <c r="B11" s="15" t="s">
        <v>33</v>
      </c>
      <c r="C11" s="32"/>
      <c r="D11" s="53"/>
      <c r="E11" s="53"/>
      <c r="F11" s="134">
        <v>11.7</v>
      </c>
      <c r="G11" s="135">
        <v>1404.0</v>
      </c>
      <c r="H11" s="136">
        <f t="shared" si="1"/>
        <v>16426.8</v>
      </c>
      <c r="I11" s="137">
        <v>0.02</v>
      </c>
      <c r="J11" s="136">
        <f t="shared" si="2"/>
        <v>328.536</v>
      </c>
      <c r="K11" s="16" t="s">
        <v>38</v>
      </c>
    </row>
    <row r="12" hidden="1">
      <c r="A12" s="16">
        <v>7372.0</v>
      </c>
      <c r="B12" s="15" t="s">
        <v>33</v>
      </c>
      <c r="C12" s="32"/>
      <c r="D12" s="53"/>
      <c r="E12" s="53"/>
      <c r="F12" s="134">
        <v>11.7</v>
      </c>
      <c r="G12" s="135">
        <v>396.0</v>
      </c>
      <c r="H12" s="136">
        <f t="shared" si="1"/>
        <v>4633.2</v>
      </c>
      <c r="I12" s="137">
        <v>0.02</v>
      </c>
      <c r="J12" s="136">
        <f t="shared" si="2"/>
        <v>92.664</v>
      </c>
      <c r="K12" s="16" t="s">
        <v>47</v>
      </c>
    </row>
    <row r="13" hidden="1">
      <c r="A13" s="16">
        <v>7430.0</v>
      </c>
      <c r="B13" s="15" t="s">
        <v>33</v>
      </c>
      <c r="C13" s="32"/>
      <c r="D13" s="53"/>
      <c r="E13" s="32"/>
      <c r="F13" s="134">
        <v>11.7</v>
      </c>
      <c r="G13" s="135">
        <v>240.0</v>
      </c>
      <c r="H13" s="136">
        <f t="shared" si="1"/>
        <v>2808</v>
      </c>
      <c r="I13" s="137">
        <v>0.02</v>
      </c>
      <c r="J13" s="136">
        <f t="shared" si="2"/>
        <v>56.16</v>
      </c>
      <c r="K13" s="16" t="s">
        <v>47</v>
      </c>
    </row>
    <row r="14" hidden="1">
      <c r="A14" s="16">
        <v>7434.0</v>
      </c>
      <c r="B14" s="15" t="s">
        <v>85</v>
      </c>
      <c r="C14" s="32"/>
      <c r="D14" s="53"/>
      <c r="E14" s="32"/>
      <c r="F14" s="134">
        <v>11.7</v>
      </c>
      <c r="G14" s="135">
        <v>240.0</v>
      </c>
      <c r="H14" s="136">
        <f t="shared" si="1"/>
        <v>2808</v>
      </c>
      <c r="I14" s="137">
        <v>0.02</v>
      </c>
      <c r="J14" s="136">
        <f t="shared" si="2"/>
        <v>56.16</v>
      </c>
      <c r="K14" s="16" t="s">
        <v>47</v>
      </c>
    </row>
    <row r="15" hidden="1">
      <c r="A15" s="16">
        <v>7607.0</v>
      </c>
      <c r="B15" s="15" t="s">
        <v>86</v>
      </c>
      <c r="C15" s="16">
        <v>30042.0</v>
      </c>
      <c r="D15" s="53"/>
      <c r="E15" s="32"/>
      <c r="F15" s="134">
        <v>11.7</v>
      </c>
      <c r="G15" s="135">
        <v>240.0</v>
      </c>
      <c r="H15" s="136">
        <f t="shared" si="1"/>
        <v>2808</v>
      </c>
      <c r="I15" s="137">
        <v>0.02</v>
      </c>
      <c r="J15" s="136">
        <f t="shared" si="2"/>
        <v>56.16</v>
      </c>
      <c r="K15" s="16" t="s">
        <v>69</v>
      </c>
    </row>
    <row r="16" hidden="1">
      <c r="A16" s="138">
        <v>7681.0</v>
      </c>
      <c r="B16" s="139" t="s">
        <v>60</v>
      </c>
      <c r="C16" s="138">
        <v>30156.0</v>
      </c>
      <c r="D16" s="140">
        <v>45926.0</v>
      </c>
      <c r="E16" s="140">
        <v>45925.0</v>
      </c>
      <c r="F16" s="141">
        <v>11.7</v>
      </c>
      <c r="G16" s="142">
        <v>216.0</v>
      </c>
      <c r="H16" s="143">
        <f t="shared" si="1"/>
        <v>2527.2</v>
      </c>
      <c r="I16" s="144">
        <v>0.02</v>
      </c>
      <c r="J16" s="143">
        <f t="shared" si="2"/>
        <v>50.544</v>
      </c>
      <c r="K16" s="138" t="s">
        <v>52</v>
      </c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 hidden="1">
      <c r="A17" s="25">
        <v>7727.0</v>
      </c>
      <c r="B17" s="24" t="s">
        <v>87</v>
      </c>
      <c r="C17" s="25">
        <v>30237.0</v>
      </c>
      <c r="D17" s="26">
        <v>45938.0</v>
      </c>
      <c r="E17" s="26">
        <v>45938.0</v>
      </c>
      <c r="F17" s="145">
        <v>11.7</v>
      </c>
      <c r="G17" s="146">
        <v>120.0</v>
      </c>
      <c r="H17" s="96">
        <f t="shared" si="1"/>
        <v>1404</v>
      </c>
      <c r="I17" s="147">
        <v>0.02</v>
      </c>
      <c r="J17" s="96">
        <f t="shared" si="2"/>
        <v>28.08</v>
      </c>
      <c r="K17" s="25" t="s">
        <v>52</v>
      </c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</row>
    <row r="18" hidden="1">
      <c r="A18" s="25">
        <v>7737.0</v>
      </c>
      <c r="B18" s="24" t="s">
        <v>84</v>
      </c>
      <c r="C18" s="25">
        <v>30236.0</v>
      </c>
      <c r="D18" s="26">
        <v>45938.0</v>
      </c>
      <c r="E18" s="26">
        <v>45938.0</v>
      </c>
      <c r="F18" s="145">
        <v>11.7</v>
      </c>
      <c r="G18" s="146">
        <v>336.0</v>
      </c>
      <c r="H18" s="96">
        <f t="shared" si="1"/>
        <v>3931.2</v>
      </c>
      <c r="I18" s="147">
        <v>0.02</v>
      </c>
      <c r="J18" s="96">
        <f t="shared" si="2"/>
        <v>78.624</v>
      </c>
      <c r="K18" s="25" t="s">
        <v>52</v>
      </c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</row>
    <row r="19" hidden="1">
      <c r="A19" s="25">
        <v>7753.0</v>
      </c>
      <c r="B19" s="24" t="s">
        <v>85</v>
      </c>
      <c r="C19" s="25">
        <v>30238.0</v>
      </c>
      <c r="D19" s="26">
        <v>45938.0</v>
      </c>
      <c r="E19" s="148">
        <v>45939.0</v>
      </c>
      <c r="F19" s="145">
        <v>11.7</v>
      </c>
      <c r="G19" s="149">
        <f>16*12</f>
        <v>192</v>
      </c>
      <c r="H19" s="96">
        <f t="shared" si="1"/>
        <v>2246.4</v>
      </c>
      <c r="I19" s="147">
        <v>0.02</v>
      </c>
      <c r="J19" s="96">
        <f t="shared" si="2"/>
        <v>44.928</v>
      </c>
      <c r="K19" s="25" t="s">
        <v>52</v>
      </c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</row>
    <row r="20">
      <c r="A20" s="25">
        <v>7777.0</v>
      </c>
      <c r="B20" s="24" t="s">
        <v>33</v>
      </c>
      <c r="C20" s="25">
        <v>30419.0</v>
      </c>
      <c r="D20" s="26">
        <v>45965.0</v>
      </c>
      <c r="E20" s="25" t="s">
        <v>88</v>
      </c>
      <c r="F20" s="145">
        <v>11.7</v>
      </c>
      <c r="G20" s="146">
        <v>1980.0</v>
      </c>
      <c r="H20" s="96">
        <f t="shared" si="1"/>
        <v>23166</v>
      </c>
      <c r="I20" s="147">
        <v>0.02</v>
      </c>
      <c r="J20" s="96">
        <f t="shared" si="2"/>
        <v>463.32</v>
      </c>
      <c r="K20" s="25" t="s">
        <v>48</v>
      </c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</row>
    <row r="21" hidden="1">
      <c r="A21" s="25">
        <v>7778.0</v>
      </c>
      <c r="B21" s="24" t="s">
        <v>86</v>
      </c>
      <c r="C21" s="25">
        <v>30344.0</v>
      </c>
      <c r="D21" s="150">
        <v>45953.0</v>
      </c>
      <c r="E21" s="25" t="s">
        <v>89</v>
      </c>
      <c r="F21" s="145">
        <v>11.7</v>
      </c>
      <c r="G21" s="146">
        <v>132.0</v>
      </c>
      <c r="H21" s="96">
        <f t="shared" si="1"/>
        <v>1544.4</v>
      </c>
      <c r="I21" s="147">
        <v>0.02</v>
      </c>
      <c r="J21" s="96">
        <f t="shared" si="2"/>
        <v>30.888</v>
      </c>
      <c r="K21" s="25" t="s">
        <v>52</v>
      </c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</row>
    <row r="22" hidden="1">
      <c r="A22" s="114">
        <v>7804.0</v>
      </c>
      <c r="B22" s="89" t="s">
        <v>90</v>
      </c>
      <c r="C22" s="151">
        <v>30345.0</v>
      </c>
      <c r="D22" s="152">
        <v>45953.0</v>
      </c>
      <c r="E22" s="151" t="s">
        <v>91</v>
      </c>
      <c r="F22" s="145">
        <v>11.7</v>
      </c>
      <c r="G22" s="146">
        <v>132.0</v>
      </c>
      <c r="H22" s="96">
        <f t="shared" si="1"/>
        <v>1544.4</v>
      </c>
      <c r="I22" s="147">
        <v>0.02</v>
      </c>
      <c r="J22" s="96">
        <f t="shared" si="2"/>
        <v>30.888</v>
      </c>
      <c r="K22" s="114" t="s">
        <v>52</v>
      </c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</row>
    <row r="23" hidden="1">
      <c r="A23" s="114">
        <v>7937.0</v>
      </c>
      <c r="B23" s="89" t="s">
        <v>85</v>
      </c>
      <c r="C23" s="151">
        <v>30381.0</v>
      </c>
      <c r="D23" s="152">
        <v>45959.0</v>
      </c>
      <c r="E23" s="152">
        <v>45959.0</v>
      </c>
      <c r="F23" s="145">
        <v>11.7</v>
      </c>
      <c r="G23" s="146">
        <v>48.0</v>
      </c>
      <c r="H23" s="96">
        <f t="shared" si="1"/>
        <v>561.6</v>
      </c>
      <c r="I23" s="147">
        <v>0.02</v>
      </c>
      <c r="J23" s="96">
        <f t="shared" si="2"/>
        <v>11.232</v>
      </c>
      <c r="K23" s="114" t="s">
        <v>52</v>
      </c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</row>
    <row r="24">
      <c r="A24" s="39">
        <v>8023.0</v>
      </c>
      <c r="B24" s="153" t="s">
        <v>86</v>
      </c>
      <c r="C24" s="154"/>
      <c r="D24" s="154"/>
      <c r="E24" s="52">
        <v>46006.0</v>
      </c>
      <c r="F24" s="155">
        <v>11.7</v>
      </c>
      <c r="G24" s="156">
        <v>228.0</v>
      </c>
      <c r="H24" s="157">
        <f t="shared" si="1"/>
        <v>2667.6</v>
      </c>
      <c r="I24" s="158">
        <v>0.02</v>
      </c>
      <c r="J24" s="157">
        <f t="shared" si="2"/>
        <v>53.352</v>
      </c>
      <c r="K24" s="39" t="s">
        <v>48</v>
      </c>
    </row>
    <row r="25">
      <c r="A25" s="39">
        <v>8073.0</v>
      </c>
      <c r="B25" s="153" t="s">
        <v>60</v>
      </c>
      <c r="C25" s="50">
        <v>30633.0</v>
      </c>
      <c r="D25" s="159">
        <v>46001.0</v>
      </c>
      <c r="E25" s="160"/>
      <c r="F25" s="155">
        <v>11.7</v>
      </c>
      <c r="G25" s="156">
        <v>228.0</v>
      </c>
      <c r="H25" s="157">
        <f t="shared" si="1"/>
        <v>2667.6</v>
      </c>
      <c r="I25" s="158">
        <v>0.02</v>
      </c>
      <c r="J25" s="157">
        <f t="shared" si="2"/>
        <v>53.352</v>
      </c>
      <c r="K25" s="39" t="s">
        <v>48</v>
      </c>
    </row>
    <row r="26">
      <c r="A26" s="161">
        <v>8117.0</v>
      </c>
      <c r="B26" s="162" t="s">
        <v>84</v>
      </c>
      <c r="C26" s="125"/>
      <c r="D26" s="125"/>
      <c r="E26" s="152">
        <v>46001.0</v>
      </c>
      <c r="F26" s="134">
        <v>11.7</v>
      </c>
      <c r="G26" s="135">
        <v>180.0</v>
      </c>
      <c r="H26" s="136">
        <f t="shared" si="1"/>
        <v>2106</v>
      </c>
      <c r="I26" s="137">
        <v>0.02</v>
      </c>
      <c r="J26" s="136">
        <f t="shared" si="2"/>
        <v>42.12</v>
      </c>
      <c r="K26" s="161" t="s">
        <v>48</v>
      </c>
    </row>
    <row r="27">
      <c r="A27" s="70"/>
      <c r="C27" s="125"/>
      <c r="D27" s="125"/>
      <c r="E27" s="79"/>
      <c r="F27" s="134">
        <v>11.7</v>
      </c>
      <c r="G27" s="163">
        <v>0.0</v>
      </c>
      <c r="H27" s="136">
        <f t="shared" si="1"/>
        <v>0</v>
      </c>
      <c r="I27" s="137">
        <v>0.02</v>
      </c>
      <c r="J27" s="136">
        <f t="shared" si="2"/>
        <v>0</v>
      </c>
      <c r="K27" s="70"/>
    </row>
    <row r="28">
      <c r="A28" s="70"/>
      <c r="C28" s="125"/>
      <c r="D28" s="125"/>
      <c r="E28" s="79"/>
      <c r="F28" s="134">
        <v>11.7</v>
      </c>
      <c r="G28" s="163">
        <v>0.0</v>
      </c>
      <c r="H28" s="136">
        <f t="shared" si="1"/>
        <v>0</v>
      </c>
      <c r="I28" s="137">
        <v>0.02</v>
      </c>
      <c r="J28" s="136">
        <f t="shared" si="2"/>
        <v>0</v>
      </c>
      <c r="K28" s="70"/>
    </row>
    <row r="29">
      <c r="A29" s="70"/>
      <c r="C29" s="125"/>
      <c r="D29" s="125"/>
      <c r="E29" s="79"/>
      <c r="F29" s="134">
        <v>11.7</v>
      </c>
      <c r="G29" s="163">
        <v>0.0</v>
      </c>
      <c r="H29" s="136">
        <f t="shared" si="1"/>
        <v>0</v>
      </c>
      <c r="I29" s="137">
        <v>0.02</v>
      </c>
      <c r="J29" s="136">
        <f t="shared" si="2"/>
        <v>0</v>
      </c>
      <c r="K29" s="70"/>
    </row>
    <row r="30">
      <c r="A30" s="70"/>
      <c r="C30" s="125"/>
      <c r="D30" s="125"/>
      <c r="E30" s="79"/>
      <c r="F30" s="134">
        <v>11.7</v>
      </c>
      <c r="G30" s="163">
        <v>0.0</v>
      </c>
      <c r="H30" s="136">
        <f t="shared" si="1"/>
        <v>0</v>
      </c>
      <c r="I30" s="137">
        <v>0.02</v>
      </c>
      <c r="J30" s="136">
        <f t="shared" si="2"/>
        <v>0</v>
      </c>
      <c r="K30" s="70"/>
    </row>
    <row r="31">
      <c r="A31" s="70"/>
      <c r="C31" s="125"/>
      <c r="D31" s="125"/>
      <c r="E31" s="79"/>
      <c r="F31" s="134">
        <v>11.7</v>
      </c>
      <c r="G31" s="163">
        <v>0.0</v>
      </c>
      <c r="H31" s="136">
        <f t="shared" si="1"/>
        <v>0</v>
      </c>
      <c r="I31" s="137">
        <v>0.02</v>
      </c>
      <c r="J31" s="136">
        <f t="shared" si="2"/>
        <v>0</v>
      </c>
      <c r="K31" s="70"/>
    </row>
    <row r="32">
      <c r="A32" s="70"/>
      <c r="C32" s="125"/>
      <c r="D32" s="125"/>
      <c r="E32" s="79"/>
      <c r="F32" s="134">
        <v>11.7</v>
      </c>
      <c r="G32" s="163">
        <v>0.0</v>
      </c>
      <c r="H32" s="136">
        <f t="shared" si="1"/>
        <v>0</v>
      </c>
      <c r="I32" s="137">
        <v>0.02</v>
      </c>
      <c r="J32" s="136">
        <f t="shared" si="2"/>
        <v>0</v>
      </c>
      <c r="K32" s="70"/>
    </row>
    <row r="33">
      <c r="A33" s="70"/>
      <c r="C33" s="125"/>
      <c r="D33" s="125"/>
      <c r="E33" s="79"/>
      <c r="F33" s="134">
        <v>11.7</v>
      </c>
      <c r="G33" s="163">
        <v>0.0</v>
      </c>
      <c r="H33" s="136">
        <f t="shared" si="1"/>
        <v>0</v>
      </c>
      <c r="I33" s="137">
        <v>0.02</v>
      </c>
      <c r="J33" s="136">
        <f t="shared" si="2"/>
        <v>0</v>
      </c>
      <c r="K33" s="70"/>
    </row>
    <row r="34">
      <c r="A34" s="70"/>
      <c r="C34" s="125"/>
      <c r="D34" s="125"/>
      <c r="E34" s="79"/>
      <c r="F34" s="134">
        <v>11.7</v>
      </c>
      <c r="G34" s="163">
        <v>0.0</v>
      </c>
      <c r="H34" s="136">
        <f t="shared" si="1"/>
        <v>0</v>
      </c>
      <c r="I34" s="137">
        <v>0.02</v>
      </c>
      <c r="J34" s="136">
        <f t="shared" si="2"/>
        <v>0</v>
      </c>
      <c r="K34" s="70"/>
    </row>
    <row r="35">
      <c r="A35" s="70"/>
      <c r="C35" s="125"/>
      <c r="D35" s="125"/>
      <c r="E35" s="79"/>
      <c r="F35" s="134">
        <v>11.7</v>
      </c>
      <c r="G35" s="163">
        <v>0.0</v>
      </c>
      <c r="H35" s="136">
        <f t="shared" si="1"/>
        <v>0</v>
      </c>
      <c r="I35" s="137">
        <v>0.02</v>
      </c>
      <c r="J35" s="136">
        <f t="shared" si="2"/>
        <v>0</v>
      </c>
      <c r="K35" s="70"/>
    </row>
    <row r="36">
      <c r="A36" s="70"/>
      <c r="C36" s="125"/>
      <c r="D36" s="125"/>
      <c r="E36" s="79"/>
      <c r="F36" s="134">
        <v>11.7</v>
      </c>
      <c r="G36" s="163">
        <v>0.0</v>
      </c>
      <c r="H36" s="136">
        <f t="shared" si="1"/>
        <v>0</v>
      </c>
      <c r="I36" s="137">
        <v>0.02</v>
      </c>
      <c r="J36" s="136">
        <f t="shared" si="2"/>
        <v>0</v>
      </c>
      <c r="K36" s="70"/>
    </row>
    <row r="37">
      <c r="A37" s="70"/>
      <c r="C37" s="125"/>
      <c r="D37" s="125"/>
      <c r="E37" s="79"/>
      <c r="F37" s="134">
        <v>11.7</v>
      </c>
      <c r="G37" s="163">
        <v>0.0</v>
      </c>
      <c r="H37" s="136">
        <f t="shared" si="1"/>
        <v>0</v>
      </c>
      <c r="I37" s="137">
        <v>0.02</v>
      </c>
      <c r="J37" s="136">
        <f t="shared" si="2"/>
        <v>0</v>
      </c>
      <c r="K37" s="70"/>
    </row>
    <row r="38">
      <c r="A38" s="70"/>
      <c r="C38" s="125"/>
      <c r="D38" s="125"/>
      <c r="E38" s="79"/>
      <c r="F38" s="134">
        <v>11.7</v>
      </c>
      <c r="G38" s="163">
        <v>0.0</v>
      </c>
      <c r="H38" s="136">
        <f t="shared" si="1"/>
        <v>0</v>
      </c>
      <c r="I38" s="137">
        <v>0.02</v>
      </c>
      <c r="J38" s="136">
        <f t="shared" si="2"/>
        <v>0</v>
      </c>
      <c r="K38" s="70"/>
    </row>
    <row r="39">
      <c r="A39" s="70"/>
      <c r="C39" s="125"/>
      <c r="D39" s="125"/>
      <c r="E39" s="79"/>
      <c r="F39" s="134">
        <v>11.7</v>
      </c>
      <c r="G39" s="163">
        <v>0.0</v>
      </c>
      <c r="H39" s="136">
        <f t="shared" si="1"/>
        <v>0</v>
      </c>
      <c r="I39" s="137">
        <v>0.02</v>
      </c>
      <c r="J39" s="136">
        <f t="shared" si="2"/>
        <v>0</v>
      </c>
      <c r="K39" s="70"/>
    </row>
    <row r="40">
      <c r="A40" s="70"/>
      <c r="C40" s="125"/>
      <c r="D40" s="125"/>
      <c r="E40" s="79"/>
      <c r="F40" s="134">
        <v>11.7</v>
      </c>
      <c r="G40" s="163">
        <v>0.0</v>
      </c>
      <c r="H40" s="136">
        <f t="shared" si="1"/>
        <v>0</v>
      </c>
      <c r="I40" s="137">
        <v>0.02</v>
      </c>
      <c r="J40" s="136">
        <f t="shared" si="2"/>
        <v>0</v>
      </c>
      <c r="K40" s="70"/>
    </row>
    <row r="41">
      <c r="A41" s="70"/>
      <c r="C41" s="125"/>
      <c r="D41" s="125"/>
      <c r="E41" s="79"/>
      <c r="F41" s="134">
        <v>11.7</v>
      </c>
      <c r="G41" s="163">
        <v>0.0</v>
      </c>
      <c r="H41" s="136">
        <f t="shared" si="1"/>
        <v>0</v>
      </c>
      <c r="I41" s="137">
        <v>0.02</v>
      </c>
      <c r="J41" s="136">
        <f t="shared" si="2"/>
        <v>0</v>
      </c>
      <c r="K41" s="70"/>
    </row>
    <row r="42">
      <c r="A42" s="70"/>
      <c r="C42" s="125"/>
      <c r="D42" s="125"/>
      <c r="E42" s="79"/>
      <c r="F42" s="134">
        <v>11.7</v>
      </c>
      <c r="G42" s="163">
        <v>0.0</v>
      </c>
      <c r="H42" s="136">
        <f t="shared" si="1"/>
        <v>0</v>
      </c>
      <c r="I42" s="137">
        <v>0.02</v>
      </c>
      <c r="J42" s="136">
        <f t="shared" si="2"/>
        <v>0</v>
      </c>
      <c r="K42" s="70"/>
    </row>
    <row r="43">
      <c r="A43" s="70"/>
      <c r="C43" s="125"/>
      <c r="D43" s="125"/>
      <c r="E43" s="79"/>
      <c r="F43" s="134">
        <v>11.7</v>
      </c>
      <c r="G43" s="163">
        <v>0.0</v>
      </c>
      <c r="H43" s="136">
        <f t="shared" si="1"/>
        <v>0</v>
      </c>
      <c r="I43" s="137">
        <v>0.02</v>
      </c>
      <c r="J43" s="136">
        <f t="shared" si="2"/>
        <v>0</v>
      </c>
      <c r="K43" s="70"/>
    </row>
    <row r="44">
      <c r="A44" s="70"/>
      <c r="C44" s="125"/>
      <c r="D44" s="125"/>
      <c r="E44" s="79"/>
      <c r="F44" s="134">
        <v>11.7</v>
      </c>
      <c r="G44" s="163">
        <v>0.0</v>
      </c>
      <c r="H44" s="136">
        <f t="shared" si="1"/>
        <v>0</v>
      </c>
      <c r="I44" s="137">
        <v>0.02</v>
      </c>
      <c r="J44" s="136">
        <f t="shared" si="2"/>
        <v>0</v>
      </c>
      <c r="K44" s="70"/>
    </row>
    <row r="45">
      <c r="A45" s="70"/>
      <c r="C45" s="125"/>
      <c r="D45" s="125"/>
      <c r="E45" s="79"/>
      <c r="F45" s="134">
        <v>11.7</v>
      </c>
      <c r="G45" s="163">
        <v>0.0</v>
      </c>
      <c r="H45" s="136">
        <f t="shared" si="1"/>
        <v>0</v>
      </c>
      <c r="I45" s="137">
        <v>0.02</v>
      </c>
      <c r="J45" s="136">
        <f t="shared" si="2"/>
        <v>0</v>
      </c>
      <c r="K45" s="70"/>
    </row>
    <row r="46">
      <c r="A46" s="70"/>
      <c r="C46" s="125"/>
      <c r="D46" s="125"/>
      <c r="E46" s="79"/>
      <c r="F46" s="134">
        <v>11.7</v>
      </c>
      <c r="G46" s="163">
        <v>0.0</v>
      </c>
      <c r="H46" s="136">
        <f t="shared" si="1"/>
        <v>0</v>
      </c>
      <c r="I46" s="137">
        <v>0.02</v>
      </c>
      <c r="J46" s="136">
        <f t="shared" si="2"/>
        <v>0</v>
      </c>
      <c r="K46" s="70"/>
    </row>
    <row r="47">
      <c r="A47" s="70"/>
      <c r="C47" s="125"/>
      <c r="D47" s="125"/>
      <c r="E47" s="79"/>
      <c r="F47" s="134">
        <v>11.7</v>
      </c>
      <c r="G47" s="163">
        <v>0.0</v>
      </c>
      <c r="H47" s="136">
        <f t="shared" si="1"/>
        <v>0</v>
      </c>
      <c r="I47" s="137">
        <v>0.02</v>
      </c>
      <c r="J47" s="136">
        <f t="shared" si="2"/>
        <v>0</v>
      </c>
      <c r="K47" s="70"/>
    </row>
    <row r="48">
      <c r="A48" s="70"/>
      <c r="C48" s="125"/>
      <c r="D48" s="125"/>
      <c r="E48" s="79"/>
      <c r="F48" s="134">
        <v>11.7</v>
      </c>
      <c r="G48" s="163">
        <v>0.0</v>
      </c>
      <c r="H48" s="136">
        <f t="shared" si="1"/>
        <v>0</v>
      </c>
      <c r="I48" s="137">
        <v>0.02</v>
      </c>
      <c r="J48" s="136">
        <f t="shared" si="2"/>
        <v>0</v>
      </c>
      <c r="K48" s="70"/>
    </row>
    <row r="49">
      <c r="A49" s="70"/>
      <c r="C49" s="125"/>
      <c r="D49" s="125"/>
      <c r="F49" s="134">
        <v>11.7</v>
      </c>
      <c r="G49" s="163">
        <v>0.0</v>
      </c>
      <c r="H49" s="136">
        <f t="shared" si="1"/>
        <v>0</v>
      </c>
      <c r="I49" s="137">
        <v>0.02</v>
      </c>
      <c r="J49" s="136">
        <f t="shared" si="2"/>
        <v>0</v>
      </c>
      <c r="K49" s="70"/>
    </row>
    <row r="50">
      <c r="A50" s="70"/>
      <c r="C50" s="125"/>
      <c r="D50" s="125"/>
      <c r="F50" s="134">
        <v>11.7</v>
      </c>
      <c r="G50" s="163">
        <v>0.0</v>
      </c>
      <c r="H50" s="136">
        <f t="shared" si="1"/>
        <v>0</v>
      </c>
      <c r="I50" s="137">
        <v>0.02</v>
      </c>
      <c r="J50" s="136">
        <f t="shared" si="2"/>
        <v>0</v>
      </c>
      <c r="K50" s="70"/>
    </row>
    <row r="51">
      <c r="A51" s="70"/>
      <c r="C51" s="125"/>
      <c r="D51" s="125"/>
      <c r="F51" s="134">
        <v>11.7</v>
      </c>
      <c r="G51" s="163">
        <v>0.0</v>
      </c>
      <c r="H51" s="136">
        <f t="shared" si="1"/>
        <v>0</v>
      </c>
      <c r="I51" s="137">
        <v>0.02</v>
      </c>
      <c r="J51" s="136">
        <f t="shared" si="2"/>
        <v>0</v>
      </c>
      <c r="K51" s="70"/>
    </row>
    <row r="52">
      <c r="A52" s="70"/>
      <c r="C52" s="125"/>
      <c r="D52" s="125"/>
      <c r="F52" s="134">
        <v>11.7</v>
      </c>
      <c r="G52" s="163">
        <v>0.0</v>
      </c>
      <c r="H52" s="136">
        <f t="shared" si="1"/>
        <v>0</v>
      </c>
      <c r="I52" s="137">
        <v>0.02</v>
      </c>
      <c r="J52" s="136">
        <f t="shared" si="2"/>
        <v>0</v>
      </c>
      <c r="K52" s="70"/>
    </row>
    <row r="53">
      <c r="A53" s="70"/>
      <c r="C53" s="125"/>
      <c r="D53" s="125"/>
      <c r="F53" s="134">
        <v>11.7</v>
      </c>
      <c r="G53" s="163">
        <v>0.0</v>
      </c>
      <c r="H53" s="136">
        <f t="shared" si="1"/>
        <v>0</v>
      </c>
      <c r="I53" s="137">
        <v>0.02</v>
      </c>
      <c r="J53" s="136">
        <f t="shared" si="2"/>
        <v>0</v>
      </c>
      <c r="K53" s="70"/>
    </row>
    <row r="54">
      <c r="A54" s="70"/>
      <c r="C54" s="125"/>
      <c r="D54" s="125"/>
      <c r="F54" s="134">
        <v>11.7</v>
      </c>
      <c r="G54" s="163">
        <v>0.0</v>
      </c>
      <c r="H54" s="136">
        <f t="shared" si="1"/>
        <v>0</v>
      </c>
      <c r="I54" s="137">
        <v>0.02</v>
      </c>
      <c r="J54" s="136">
        <f t="shared" si="2"/>
        <v>0</v>
      </c>
      <c r="K54" s="70"/>
    </row>
    <row r="55">
      <c r="A55" s="70"/>
      <c r="C55" s="125"/>
      <c r="D55" s="125"/>
      <c r="F55" s="134">
        <v>11.7</v>
      </c>
      <c r="G55" s="163">
        <v>0.0</v>
      </c>
      <c r="H55" s="136">
        <f t="shared" si="1"/>
        <v>0</v>
      </c>
      <c r="I55" s="137">
        <v>0.02</v>
      </c>
      <c r="J55" s="136">
        <f t="shared" si="2"/>
        <v>0</v>
      </c>
      <c r="K55" s="70"/>
    </row>
    <row r="56">
      <c r="A56" s="70"/>
      <c r="C56" s="125"/>
      <c r="D56" s="125"/>
      <c r="F56" s="134">
        <v>11.7</v>
      </c>
      <c r="G56" s="163">
        <v>0.0</v>
      </c>
      <c r="H56" s="136">
        <f t="shared" si="1"/>
        <v>0</v>
      </c>
      <c r="I56" s="137">
        <v>0.02</v>
      </c>
      <c r="J56" s="136">
        <f t="shared" si="2"/>
        <v>0</v>
      </c>
      <c r="K56" s="70"/>
    </row>
    <row r="57">
      <c r="A57" s="70"/>
      <c r="C57" s="125"/>
      <c r="D57" s="125"/>
      <c r="F57" s="134">
        <v>11.7</v>
      </c>
      <c r="G57" s="163">
        <v>0.0</v>
      </c>
      <c r="H57" s="136">
        <f t="shared" si="1"/>
        <v>0</v>
      </c>
      <c r="I57" s="137">
        <v>0.02</v>
      </c>
      <c r="J57" s="136">
        <f t="shared" si="2"/>
        <v>0</v>
      </c>
      <c r="K57" s="70"/>
    </row>
    <row r="58">
      <c r="A58" s="70"/>
      <c r="C58" s="125"/>
      <c r="D58" s="125"/>
      <c r="F58" s="134">
        <v>11.7</v>
      </c>
      <c r="G58" s="163">
        <v>0.0</v>
      </c>
      <c r="H58" s="136">
        <f t="shared" si="1"/>
        <v>0</v>
      </c>
      <c r="I58" s="137">
        <v>0.02</v>
      </c>
      <c r="J58" s="136">
        <f t="shared" si="2"/>
        <v>0</v>
      </c>
      <c r="K58" s="70"/>
    </row>
    <row r="59">
      <c r="A59" s="70"/>
      <c r="C59" s="125"/>
      <c r="D59" s="125"/>
      <c r="F59" s="134">
        <v>11.7</v>
      </c>
      <c r="G59" s="163">
        <v>0.0</v>
      </c>
      <c r="H59" s="136">
        <f t="shared" si="1"/>
        <v>0</v>
      </c>
      <c r="I59" s="137">
        <v>0.02</v>
      </c>
      <c r="J59" s="136">
        <f t="shared" si="2"/>
        <v>0</v>
      </c>
      <c r="K59" s="70"/>
    </row>
    <row r="60">
      <c r="A60" s="70"/>
      <c r="C60" s="125"/>
      <c r="D60" s="125"/>
      <c r="F60" s="134">
        <v>11.7</v>
      </c>
      <c r="G60" s="163">
        <v>0.0</v>
      </c>
      <c r="H60" s="136">
        <f t="shared" si="1"/>
        <v>0</v>
      </c>
      <c r="I60" s="137">
        <v>0.02</v>
      </c>
      <c r="J60" s="136">
        <f t="shared" si="2"/>
        <v>0</v>
      </c>
      <c r="K60" s="70"/>
    </row>
    <row r="61">
      <c r="A61" s="70"/>
      <c r="C61" s="125"/>
      <c r="D61" s="125"/>
      <c r="F61" s="134">
        <v>11.7</v>
      </c>
      <c r="G61" s="163">
        <v>0.0</v>
      </c>
      <c r="H61" s="136">
        <f t="shared" si="1"/>
        <v>0</v>
      </c>
      <c r="I61" s="137">
        <v>0.02</v>
      </c>
      <c r="J61" s="136">
        <f t="shared" si="2"/>
        <v>0</v>
      </c>
      <c r="K61" s="70"/>
    </row>
    <row r="62">
      <c r="A62" s="70"/>
      <c r="C62" s="125"/>
      <c r="D62" s="125"/>
      <c r="F62" s="134">
        <v>11.7</v>
      </c>
      <c r="G62" s="163">
        <v>0.0</v>
      </c>
      <c r="H62" s="136">
        <f t="shared" si="1"/>
        <v>0</v>
      </c>
      <c r="I62" s="137">
        <v>0.02</v>
      </c>
      <c r="J62" s="136">
        <f t="shared" si="2"/>
        <v>0</v>
      </c>
      <c r="K62" s="70"/>
    </row>
    <row r="63">
      <c r="A63" s="70"/>
      <c r="C63" s="125"/>
      <c r="D63" s="125"/>
      <c r="F63" s="134">
        <v>11.7</v>
      </c>
      <c r="G63" s="163">
        <v>0.0</v>
      </c>
      <c r="H63" s="136">
        <f t="shared" si="1"/>
        <v>0</v>
      </c>
      <c r="I63" s="137">
        <v>0.02</v>
      </c>
      <c r="J63" s="136">
        <f t="shared" si="2"/>
        <v>0</v>
      </c>
      <c r="K63" s="70"/>
    </row>
    <row r="64">
      <c r="A64" s="70"/>
      <c r="C64" s="125"/>
      <c r="D64" s="125"/>
      <c r="F64" s="134">
        <v>11.7</v>
      </c>
      <c r="G64" s="163">
        <v>0.0</v>
      </c>
      <c r="H64" s="136">
        <f t="shared" si="1"/>
        <v>0</v>
      </c>
      <c r="I64" s="137">
        <v>0.02</v>
      </c>
      <c r="J64" s="136">
        <f t="shared" si="2"/>
        <v>0</v>
      </c>
      <c r="K64" s="70"/>
    </row>
    <row r="65">
      <c r="A65" s="70"/>
      <c r="C65" s="125"/>
      <c r="F65" s="134">
        <v>11.7</v>
      </c>
      <c r="G65" s="163">
        <v>0.0</v>
      </c>
      <c r="H65" s="136">
        <f t="shared" si="1"/>
        <v>0</v>
      </c>
      <c r="I65" s="137">
        <v>0.02</v>
      </c>
      <c r="J65" s="136">
        <f t="shared" si="2"/>
        <v>0</v>
      </c>
      <c r="K65" s="70"/>
    </row>
    <row r="66">
      <c r="A66" s="114">
        <v>8073.0</v>
      </c>
      <c r="B66" s="89" t="s">
        <v>60</v>
      </c>
      <c r="C66" s="79"/>
      <c r="D66" s="117"/>
      <c r="E66" s="79"/>
      <c r="F66" s="94"/>
      <c r="G66" s="117"/>
      <c r="H66" s="94"/>
      <c r="I66" s="117"/>
      <c r="J66" s="94"/>
      <c r="K66" s="71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</row>
    <row r="67">
      <c r="A67" s="71"/>
      <c r="B67" s="117"/>
      <c r="C67" s="79"/>
      <c r="D67" s="117"/>
      <c r="E67" s="79"/>
      <c r="F67" s="94"/>
      <c r="G67" s="117"/>
      <c r="H67" s="94"/>
      <c r="I67" s="117"/>
      <c r="J67" s="94"/>
      <c r="K67" s="71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</row>
    <row r="68">
      <c r="A68" s="71"/>
      <c r="B68" s="117"/>
      <c r="C68" s="79"/>
      <c r="D68" s="117"/>
      <c r="E68" s="79"/>
      <c r="F68" s="94"/>
      <c r="G68" s="117"/>
      <c r="H68" s="94"/>
      <c r="I68" s="117"/>
      <c r="J68" s="94"/>
      <c r="K68" s="71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</row>
    <row r="69">
      <c r="A69" s="71"/>
      <c r="B69" s="117"/>
      <c r="C69" s="79"/>
      <c r="D69" s="117"/>
      <c r="E69" s="79"/>
      <c r="F69" s="94"/>
      <c r="G69" s="117"/>
      <c r="H69" s="94"/>
      <c r="I69" s="117"/>
      <c r="J69" s="94"/>
      <c r="K69" s="71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</row>
    <row r="70">
      <c r="A70" s="71"/>
      <c r="B70" s="117"/>
      <c r="C70" s="79"/>
      <c r="D70" s="117"/>
      <c r="E70" s="79"/>
      <c r="F70" s="94"/>
      <c r="G70" s="117"/>
      <c r="H70" s="94"/>
      <c r="I70" s="117"/>
      <c r="J70" s="94"/>
      <c r="K70" s="71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</row>
    <row r="71">
      <c r="A71" s="71"/>
      <c r="B71" s="117"/>
      <c r="C71" s="79"/>
      <c r="D71" s="117"/>
      <c r="E71" s="79"/>
      <c r="F71" s="94"/>
      <c r="G71" s="117"/>
      <c r="H71" s="94"/>
      <c r="I71" s="117"/>
      <c r="J71" s="94"/>
      <c r="K71" s="71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</row>
    <row r="72">
      <c r="A72" s="71"/>
      <c r="B72" s="117"/>
      <c r="C72" s="79"/>
      <c r="D72" s="117"/>
      <c r="E72" s="79"/>
      <c r="F72" s="94"/>
      <c r="G72" s="117"/>
      <c r="H72" s="94"/>
      <c r="I72" s="117"/>
      <c r="J72" s="94"/>
      <c r="K72" s="71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</row>
    <row r="73">
      <c r="A73" s="71"/>
      <c r="B73" s="117"/>
      <c r="C73" s="79"/>
      <c r="D73" s="117"/>
      <c r="E73" s="79"/>
      <c r="F73" s="94"/>
      <c r="G73" s="117"/>
      <c r="H73" s="94"/>
      <c r="I73" s="117"/>
      <c r="J73" s="94"/>
      <c r="K73" s="71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</row>
    <row r="74">
      <c r="A74" s="71"/>
      <c r="B74" s="117"/>
      <c r="C74" s="79"/>
      <c r="D74" s="117"/>
      <c r="E74" s="79"/>
      <c r="F74" s="94"/>
      <c r="G74" s="117"/>
      <c r="H74" s="94"/>
      <c r="I74" s="117"/>
      <c r="J74" s="94"/>
      <c r="K74" s="71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</row>
    <row r="75">
      <c r="A75" s="71"/>
      <c r="B75" s="117"/>
      <c r="C75" s="79"/>
      <c r="D75" s="117"/>
      <c r="E75" s="79"/>
      <c r="F75" s="94"/>
      <c r="G75" s="117"/>
      <c r="H75" s="94"/>
      <c r="I75" s="117"/>
      <c r="J75" s="94"/>
      <c r="K75" s="71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</row>
    <row r="76">
      <c r="A76" s="71"/>
      <c r="B76" s="117"/>
      <c r="C76" s="79"/>
      <c r="D76" s="117"/>
      <c r="E76" s="79"/>
      <c r="F76" s="94"/>
      <c r="G76" s="117"/>
      <c r="H76" s="94"/>
      <c r="I76" s="117"/>
      <c r="J76" s="94"/>
      <c r="K76" s="71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</row>
    <row r="77">
      <c r="A77" s="71"/>
      <c r="B77" s="117"/>
      <c r="C77" s="79"/>
      <c r="D77" s="117"/>
      <c r="E77" s="79"/>
      <c r="F77" s="94"/>
      <c r="G77" s="117"/>
      <c r="H77" s="94"/>
      <c r="I77" s="117"/>
      <c r="J77" s="94"/>
      <c r="K77" s="71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</row>
    <row r="78">
      <c r="A78" s="71"/>
      <c r="B78" s="117"/>
      <c r="C78" s="79"/>
      <c r="D78" s="117"/>
      <c r="E78" s="79"/>
      <c r="F78" s="94"/>
      <c r="G78" s="117"/>
      <c r="H78" s="94"/>
      <c r="I78" s="117"/>
      <c r="J78" s="94"/>
      <c r="K78" s="71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</row>
    <row r="79">
      <c r="A79" s="71"/>
      <c r="B79" s="117"/>
      <c r="C79" s="79"/>
      <c r="D79" s="117"/>
      <c r="E79" s="79"/>
      <c r="F79" s="94"/>
      <c r="G79" s="117"/>
      <c r="H79" s="94"/>
      <c r="I79" s="117"/>
      <c r="J79" s="94"/>
      <c r="K79" s="71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</row>
    <row r="80">
      <c r="A80" s="71"/>
      <c r="B80" s="117"/>
      <c r="C80" s="79"/>
      <c r="D80" s="117"/>
      <c r="E80" s="79"/>
      <c r="F80" s="94"/>
      <c r="G80" s="117"/>
      <c r="H80" s="94"/>
      <c r="I80" s="117"/>
      <c r="J80" s="94"/>
      <c r="K80" s="71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</row>
    <row r="81">
      <c r="A81" s="71"/>
      <c r="B81" s="117"/>
      <c r="C81" s="79"/>
      <c r="D81" s="117"/>
      <c r="E81" s="79"/>
      <c r="F81" s="94"/>
      <c r="G81" s="117"/>
      <c r="H81" s="94"/>
      <c r="I81" s="117"/>
      <c r="J81" s="94"/>
      <c r="K81" s="71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</row>
    <row r="82">
      <c r="A82" s="71"/>
      <c r="B82" s="117"/>
      <c r="C82" s="79"/>
      <c r="D82" s="117"/>
      <c r="E82" s="79"/>
      <c r="F82" s="94"/>
      <c r="G82" s="117"/>
      <c r="H82" s="94"/>
      <c r="I82" s="117"/>
      <c r="J82" s="94"/>
      <c r="K82" s="71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</row>
    <row r="83">
      <c r="A83" s="71"/>
      <c r="B83" s="117"/>
      <c r="C83" s="79"/>
      <c r="D83" s="117"/>
      <c r="E83" s="79"/>
      <c r="F83" s="94"/>
      <c r="G83" s="117"/>
      <c r="H83" s="94"/>
      <c r="I83" s="117"/>
      <c r="J83" s="94"/>
      <c r="K83" s="71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</row>
    <row r="84">
      <c r="A84" s="71"/>
      <c r="B84" s="117"/>
      <c r="C84" s="79"/>
      <c r="D84" s="117"/>
      <c r="E84" s="79"/>
      <c r="F84" s="94"/>
      <c r="G84" s="117"/>
      <c r="H84" s="94"/>
      <c r="I84" s="117"/>
      <c r="J84" s="94"/>
      <c r="K84" s="71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</row>
    <row r="85">
      <c r="A85" s="71"/>
      <c r="B85" s="117"/>
      <c r="C85" s="79"/>
      <c r="D85" s="117"/>
      <c r="E85" s="79"/>
      <c r="F85" s="94"/>
      <c r="G85" s="117"/>
      <c r="H85" s="94"/>
      <c r="I85" s="117"/>
      <c r="J85" s="94"/>
      <c r="K85" s="71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</row>
    <row r="86">
      <c r="A86" s="71"/>
      <c r="B86" s="117"/>
      <c r="C86" s="79"/>
      <c r="D86" s="117"/>
      <c r="E86" s="79"/>
      <c r="F86" s="94"/>
      <c r="G86" s="117"/>
      <c r="H86" s="94"/>
      <c r="I86" s="117"/>
      <c r="J86" s="94"/>
      <c r="K86" s="71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</row>
    <row r="87">
      <c r="A87" s="71"/>
      <c r="B87" s="117"/>
      <c r="C87" s="79"/>
      <c r="D87" s="117"/>
      <c r="E87" s="79"/>
      <c r="F87" s="94"/>
      <c r="G87" s="117"/>
      <c r="H87" s="94"/>
      <c r="I87" s="117"/>
      <c r="J87" s="94"/>
      <c r="K87" s="71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</row>
    <row r="88">
      <c r="A88" s="71"/>
      <c r="B88" s="117"/>
      <c r="C88" s="79"/>
      <c r="D88" s="117"/>
      <c r="E88" s="79"/>
      <c r="F88" s="94"/>
      <c r="G88" s="117"/>
      <c r="H88" s="94"/>
      <c r="I88" s="117"/>
      <c r="J88" s="94"/>
      <c r="K88" s="71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</row>
    <row r="89">
      <c r="A89" s="71"/>
      <c r="B89" s="117"/>
      <c r="C89" s="79"/>
      <c r="D89" s="117"/>
      <c r="E89" s="79"/>
      <c r="F89" s="94"/>
      <c r="G89" s="117"/>
      <c r="H89" s="94"/>
      <c r="I89" s="117"/>
      <c r="J89" s="94"/>
      <c r="K89" s="71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</row>
    <row r="90">
      <c r="A90" s="71"/>
      <c r="B90" s="117"/>
      <c r="C90" s="79"/>
      <c r="D90" s="117"/>
      <c r="E90" s="79"/>
      <c r="F90" s="94"/>
      <c r="G90" s="117"/>
      <c r="H90" s="94"/>
      <c r="I90" s="117"/>
      <c r="J90" s="94"/>
      <c r="K90" s="71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</row>
    <row r="91">
      <c r="A91" s="71"/>
      <c r="B91" s="117"/>
      <c r="C91" s="79"/>
      <c r="D91" s="117"/>
      <c r="E91" s="117"/>
      <c r="F91" s="94"/>
      <c r="G91" s="117"/>
      <c r="H91" s="94"/>
      <c r="I91" s="117"/>
      <c r="J91" s="94"/>
      <c r="K91" s="71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</row>
    <row r="92">
      <c r="A92" s="71"/>
      <c r="B92" s="117"/>
      <c r="C92" s="79"/>
      <c r="D92" s="117"/>
      <c r="E92" s="117"/>
      <c r="F92" s="94"/>
      <c r="G92" s="117"/>
      <c r="H92" s="94"/>
      <c r="I92" s="117"/>
      <c r="J92" s="94"/>
      <c r="K92" s="71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</row>
    <row r="93">
      <c r="A93" s="71"/>
      <c r="B93" s="117"/>
      <c r="C93" s="79"/>
      <c r="D93" s="117"/>
      <c r="E93" s="117"/>
      <c r="F93" s="94"/>
      <c r="G93" s="117"/>
      <c r="H93" s="94"/>
      <c r="I93" s="117"/>
      <c r="J93" s="94"/>
      <c r="K93" s="71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</row>
    <row r="94">
      <c r="A94" s="71"/>
      <c r="B94" s="117"/>
      <c r="C94" s="79"/>
      <c r="D94" s="117"/>
      <c r="E94" s="117"/>
      <c r="F94" s="94"/>
      <c r="G94" s="117"/>
      <c r="H94" s="94"/>
      <c r="I94" s="117"/>
      <c r="J94" s="94"/>
      <c r="K94" s="71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</row>
    <row r="95">
      <c r="A95" s="71"/>
      <c r="B95" s="117"/>
      <c r="C95" s="79"/>
      <c r="D95" s="117"/>
      <c r="E95" s="117"/>
      <c r="F95" s="94"/>
      <c r="G95" s="117"/>
      <c r="H95" s="94"/>
      <c r="I95" s="117"/>
      <c r="J95" s="94"/>
      <c r="K95" s="71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</row>
    <row r="96">
      <c r="A96" s="71"/>
      <c r="B96" s="117"/>
      <c r="C96" s="79"/>
      <c r="D96" s="117"/>
      <c r="E96" s="117"/>
      <c r="F96" s="94"/>
      <c r="G96" s="117"/>
      <c r="H96" s="94"/>
      <c r="I96" s="117"/>
      <c r="J96" s="94"/>
      <c r="K96" s="71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</row>
    <row r="97">
      <c r="A97" s="71"/>
      <c r="B97" s="117"/>
      <c r="C97" s="79"/>
      <c r="D97" s="117"/>
      <c r="E97" s="117"/>
      <c r="F97" s="94"/>
      <c r="G97" s="117"/>
      <c r="H97" s="94"/>
      <c r="I97" s="117"/>
      <c r="J97" s="94"/>
      <c r="K97" s="71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</row>
    <row r="98">
      <c r="A98" s="71"/>
      <c r="B98" s="117"/>
      <c r="C98" s="79"/>
      <c r="D98" s="117"/>
      <c r="E98" s="117"/>
      <c r="F98" s="94"/>
      <c r="G98" s="117"/>
      <c r="H98" s="94"/>
      <c r="I98" s="117"/>
      <c r="J98" s="94"/>
      <c r="K98" s="71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</row>
    <row r="99">
      <c r="A99" s="71"/>
      <c r="B99" s="117"/>
      <c r="C99" s="79"/>
      <c r="D99" s="117"/>
      <c r="E99" s="117"/>
      <c r="F99" s="94"/>
      <c r="G99" s="117"/>
      <c r="H99" s="94"/>
      <c r="I99" s="117"/>
      <c r="J99" s="94"/>
      <c r="K99" s="71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</row>
    <row r="100">
      <c r="A100" s="71"/>
      <c r="B100" s="117"/>
      <c r="C100" s="79"/>
      <c r="D100" s="117"/>
      <c r="E100" s="117"/>
      <c r="F100" s="94"/>
      <c r="G100" s="117"/>
      <c r="H100" s="94"/>
      <c r="I100" s="117"/>
      <c r="J100" s="94"/>
      <c r="K100" s="71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</row>
    <row r="101">
      <c r="A101" s="71"/>
      <c r="B101" s="117"/>
      <c r="C101" s="79"/>
      <c r="D101" s="117"/>
      <c r="E101" s="117"/>
      <c r="F101" s="94"/>
      <c r="G101" s="117"/>
      <c r="H101" s="94"/>
      <c r="I101" s="117"/>
      <c r="J101" s="94"/>
      <c r="K101" s="71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</row>
    <row r="102">
      <c r="A102" s="71"/>
      <c r="B102" s="117"/>
      <c r="C102" s="79"/>
      <c r="D102" s="117"/>
      <c r="E102" s="117"/>
      <c r="F102" s="94"/>
      <c r="G102" s="117"/>
      <c r="H102" s="94"/>
      <c r="I102" s="117"/>
      <c r="J102" s="94"/>
      <c r="K102" s="71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</row>
    <row r="103">
      <c r="A103" s="71"/>
      <c r="B103" s="117"/>
      <c r="C103" s="79"/>
      <c r="D103" s="117"/>
      <c r="E103" s="117"/>
      <c r="F103" s="94"/>
      <c r="G103" s="117"/>
      <c r="H103" s="94"/>
      <c r="I103" s="117"/>
      <c r="J103" s="94"/>
      <c r="K103" s="71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</row>
    <row r="104">
      <c r="A104" s="71"/>
      <c r="B104" s="117"/>
      <c r="C104" s="79"/>
      <c r="D104" s="117"/>
      <c r="E104" s="117"/>
      <c r="F104" s="94"/>
      <c r="G104" s="117"/>
      <c r="H104" s="94"/>
      <c r="I104" s="117"/>
      <c r="J104" s="94"/>
      <c r="K104" s="71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</row>
    <row r="105">
      <c r="A105" s="71"/>
      <c r="B105" s="117"/>
      <c r="C105" s="79"/>
      <c r="D105" s="117"/>
      <c r="E105" s="117"/>
      <c r="F105" s="94"/>
      <c r="G105" s="117"/>
      <c r="H105" s="94"/>
      <c r="I105" s="117"/>
      <c r="J105" s="94"/>
      <c r="K105" s="71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</row>
    <row r="106">
      <c r="A106" s="71"/>
      <c r="B106" s="117"/>
      <c r="C106" s="79"/>
      <c r="D106" s="117"/>
      <c r="E106" s="117"/>
      <c r="F106" s="94"/>
      <c r="G106" s="117"/>
      <c r="H106" s="94"/>
      <c r="I106" s="117"/>
      <c r="J106" s="94"/>
      <c r="K106" s="71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</row>
    <row r="107">
      <c r="A107" s="71"/>
      <c r="B107" s="117"/>
      <c r="C107" s="79"/>
      <c r="D107" s="117"/>
      <c r="E107" s="117"/>
      <c r="F107" s="94"/>
      <c r="G107" s="117"/>
      <c r="H107" s="94"/>
      <c r="I107" s="117"/>
      <c r="J107" s="94"/>
      <c r="K107" s="71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</row>
    <row r="108">
      <c r="A108" s="71"/>
      <c r="B108" s="117"/>
      <c r="C108" s="79"/>
      <c r="D108" s="117"/>
      <c r="E108" s="117"/>
      <c r="F108" s="94"/>
      <c r="G108" s="117"/>
      <c r="H108" s="94"/>
      <c r="I108" s="117"/>
      <c r="J108" s="94"/>
      <c r="K108" s="71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</row>
    <row r="109">
      <c r="A109" s="71"/>
      <c r="B109" s="117"/>
      <c r="C109" s="79"/>
      <c r="D109" s="117"/>
      <c r="E109" s="117"/>
      <c r="F109" s="94"/>
      <c r="G109" s="117"/>
      <c r="H109" s="94"/>
      <c r="I109" s="117"/>
      <c r="J109" s="94"/>
      <c r="K109" s="71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</row>
    <row r="110">
      <c r="A110" s="71"/>
      <c r="B110" s="117"/>
      <c r="C110" s="79"/>
      <c r="D110" s="117"/>
      <c r="E110" s="117"/>
      <c r="F110" s="94"/>
      <c r="G110" s="117"/>
      <c r="H110" s="94"/>
      <c r="I110" s="117"/>
      <c r="J110" s="94"/>
      <c r="K110" s="71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</row>
    <row r="111">
      <c r="A111" s="71"/>
      <c r="B111" s="117"/>
      <c r="C111" s="79"/>
      <c r="D111" s="117"/>
      <c r="E111" s="117"/>
      <c r="F111" s="94"/>
      <c r="G111" s="117"/>
      <c r="H111" s="94"/>
      <c r="I111" s="117"/>
      <c r="J111" s="94"/>
      <c r="K111" s="71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</row>
    <row r="112">
      <c r="A112" s="71"/>
      <c r="B112" s="117"/>
      <c r="C112" s="79"/>
      <c r="D112" s="117"/>
      <c r="E112" s="117"/>
      <c r="F112" s="94"/>
      <c r="G112" s="117"/>
      <c r="H112" s="94"/>
      <c r="I112" s="117"/>
      <c r="J112" s="94"/>
      <c r="K112" s="71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</row>
    <row r="113">
      <c r="A113" s="71"/>
      <c r="B113" s="117"/>
      <c r="C113" s="79"/>
      <c r="D113" s="117"/>
      <c r="E113" s="117"/>
      <c r="F113" s="94"/>
      <c r="G113" s="117"/>
      <c r="H113" s="94"/>
      <c r="I113" s="117"/>
      <c r="J113" s="94"/>
      <c r="K113" s="71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</row>
    <row r="114">
      <c r="A114" s="71"/>
      <c r="B114" s="117"/>
      <c r="C114" s="79"/>
      <c r="D114" s="117"/>
      <c r="E114" s="117"/>
      <c r="F114" s="94"/>
      <c r="G114" s="117"/>
      <c r="H114" s="94"/>
      <c r="I114" s="117"/>
      <c r="J114" s="94"/>
      <c r="K114" s="71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</row>
    <row r="115">
      <c r="A115" s="71"/>
      <c r="B115" s="117"/>
      <c r="C115" s="79"/>
      <c r="D115" s="117"/>
      <c r="E115" s="117"/>
      <c r="F115" s="94"/>
      <c r="G115" s="117"/>
      <c r="H115" s="94"/>
      <c r="I115" s="117"/>
      <c r="J115" s="94"/>
      <c r="K115" s="71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</row>
    <row r="116">
      <c r="A116" s="71"/>
      <c r="B116" s="117"/>
      <c r="C116" s="79"/>
      <c r="D116" s="117"/>
      <c r="E116" s="117"/>
      <c r="F116" s="94"/>
      <c r="G116" s="117"/>
      <c r="H116" s="94"/>
      <c r="I116" s="117"/>
      <c r="J116" s="94"/>
      <c r="K116" s="71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</row>
    <row r="117">
      <c r="A117" s="71"/>
      <c r="B117" s="117"/>
      <c r="C117" s="79"/>
      <c r="D117" s="117"/>
      <c r="E117" s="117"/>
      <c r="F117" s="94"/>
      <c r="G117" s="117"/>
      <c r="H117" s="94"/>
      <c r="I117" s="117"/>
      <c r="J117" s="94"/>
      <c r="K117" s="71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</row>
    <row r="118">
      <c r="A118" s="71"/>
      <c r="B118" s="117"/>
      <c r="C118" s="79"/>
      <c r="D118" s="117"/>
      <c r="E118" s="117"/>
      <c r="F118" s="94"/>
      <c r="G118" s="117"/>
      <c r="H118" s="94"/>
      <c r="I118" s="117"/>
      <c r="J118" s="94"/>
      <c r="K118" s="71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</row>
    <row r="119">
      <c r="A119" s="71"/>
      <c r="B119" s="117"/>
      <c r="C119" s="79"/>
      <c r="D119" s="117"/>
      <c r="E119" s="117"/>
      <c r="F119" s="94"/>
      <c r="G119" s="117"/>
      <c r="H119" s="94"/>
      <c r="I119" s="117"/>
      <c r="J119" s="94"/>
      <c r="K119" s="71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</row>
    <row r="120">
      <c r="A120" s="71"/>
      <c r="B120" s="117"/>
      <c r="C120" s="79"/>
      <c r="D120" s="117"/>
      <c r="E120" s="117"/>
      <c r="F120" s="94"/>
      <c r="G120" s="117"/>
      <c r="H120" s="94"/>
      <c r="I120" s="117"/>
      <c r="J120" s="94"/>
      <c r="K120" s="71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</row>
    <row r="121">
      <c r="A121" s="71"/>
      <c r="B121" s="117"/>
      <c r="C121" s="79"/>
      <c r="D121" s="117"/>
      <c r="E121" s="117"/>
      <c r="F121" s="94"/>
      <c r="G121" s="117"/>
      <c r="H121" s="94"/>
      <c r="I121" s="117"/>
      <c r="J121" s="94"/>
      <c r="K121" s="71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</row>
    <row r="122">
      <c r="A122" s="71"/>
      <c r="B122" s="117"/>
      <c r="C122" s="79"/>
      <c r="D122" s="117"/>
      <c r="E122" s="117"/>
      <c r="F122" s="94"/>
      <c r="G122" s="117"/>
      <c r="H122" s="94"/>
      <c r="I122" s="117"/>
      <c r="J122" s="94"/>
      <c r="K122" s="71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</row>
    <row r="123">
      <c r="A123" s="71"/>
      <c r="B123" s="117"/>
      <c r="C123" s="79"/>
      <c r="D123" s="117"/>
      <c r="E123" s="117"/>
      <c r="F123" s="94"/>
      <c r="G123" s="117"/>
      <c r="H123" s="94"/>
      <c r="I123" s="117"/>
      <c r="J123" s="94"/>
      <c r="K123" s="71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</row>
    <row r="124">
      <c r="A124" s="71"/>
      <c r="B124" s="117"/>
      <c r="C124" s="79"/>
      <c r="D124" s="117"/>
      <c r="E124" s="117"/>
      <c r="F124" s="94"/>
      <c r="G124" s="117"/>
      <c r="H124" s="94"/>
      <c r="I124" s="117"/>
      <c r="J124" s="94"/>
      <c r="K124" s="71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</row>
    <row r="125">
      <c r="A125" s="71"/>
      <c r="B125" s="117"/>
      <c r="C125" s="79"/>
      <c r="D125" s="117"/>
      <c r="E125" s="117"/>
      <c r="F125" s="94"/>
      <c r="G125" s="117"/>
      <c r="H125" s="94"/>
      <c r="I125" s="117"/>
      <c r="J125" s="94"/>
      <c r="K125" s="71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</row>
    <row r="126">
      <c r="A126" s="71"/>
      <c r="B126" s="117"/>
      <c r="C126" s="79"/>
      <c r="D126" s="117"/>
      <c r="E126" s="117"/>
      <c r="F126" s="94"/>
      <c r="G126" s="117"/>
      <c r="H126" s="94"/>
      <c r="I126" s="117"/>
      <c r="J126" s="94"/>
      <c r="K126" s="71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</row>
    <row r="127">
      <c r="A127" s="71"/>
      <c r="B127" s="117"/>
      <c r="C127" s="79"/>
      <c r="D127" s="117"/>
      <c r="E127" s="117"/>
      <c r="F127" s="94"/>
      <c r="G127" s="117"/>
      <c r="H127" s="94"/>
      <c r="I127" s="117"/>
      <c r="J127" s="94"/>
      <c r="K127" s="71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</row>
    <row r="128">
      <c r="A128" s="71"/>
      <c r="B128" s="117"/>
      <c r="C128" s="79"/>
      <c r="D128" s="117"/>
      <c r="E128" s="117"/>
      <c r="F128" s="94"/>
      <c r="G128" s="117"/>
      <c r="H128" s="94"/>
      <c r="I128" s="117"/>
      <c r="J128" s="94"/>
      <c r="K128" s="71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</row>
    <row r="129">
      <c r="A129" s="71"/>
      <c r="B129" s="117"/>
      <c r="C129" s="79"/>
      <c r="D129" s="117"/>
      <c r="E129" s="117"/>
      <c r="F129" s="94"/>
      <c r="G129" s="117"/>
      <c r="H129" s="94"/>
      <c r="I129" s="117"/>
      <c r="J129" s="94"/>
      <c r="K129" s="71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</row>
    <row r="130">
      <c r="A130" s="71"/>
      <c r="B130" s="117"/>
      <c r="C130" s="79"/>
      <c r="D130" s="117"/>
      <c r="E130" s="117"/>
      <c r="F130" s="94"/>
      <c r="G130" s="117"/>
      <c r="H130" s="94"/>
      <c r="I130" s="117"/>
      <c r="J130" s="94"/>
      <c r="K130" s="71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</row>
    <row r="131">
      <c r="A131" s="71"/>
      <c r="B131" s="117"/>
      <c r="C131" s="79"/>
      <c r="D131" s="117"/>
      <c r="E131" s="117"/>
      <c r="F131" s="94"/>
      <c r="G131" s="117"/>
      <c r="H131" s="94"/>
      <c r="I131" s="117"/>
      <c r="J131" s="94"/>
      <c r="K131" s="71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</row>
    <row r="132">
      <c r="A132" s="71"/>
      <c r="B132" s="117"/>
      <c r="C132" s="79"/>
      <c r="D132" s="117"/>
      <c r="E132" s="117"/>
      <c r="F132" s="94"/>
      <c r="G132" s="117"/>
      <c r="H132" s="94"/>
      <c r="I132" s="117"/>
      <c r="J132" s="94"/>
      <c r="K132" s="71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</row>
    <row r="133">
      <c r="A133" s="71"/>
      <c r="B133" s="117"/>
      <c r="C133" s="79"/>
      <c r="D133" s="117"/>
      <c r="E133" s="117"/>
      <c r="F133" s="94"/>
      <c r="G133" s="117"/>
      <c r="H133" s="94"/>
      <c r="I133" s="117"/>
      <c r="J133" s="94"/>
      <c r="K133" s="71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</row>
    <row r="134">
      <c r="A134" s="71"/>
      <c r="B134" s="117"/>
      <c r="C134" s="79"/>
      <c r="D134" s="117"/>
      <c r="E134" s="117"/>
      <c r="F134" s="94"/>
      <c r="G134" s="117"/>
      <c r="H134" s="94"/>
      <c r="I134" s="117"/>
      <c r="J134" s="94"/>
      <c r="K134" s="71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</row>
    <row r="135">
      <c r="A135" s="71"/>
      <c r="B135" s="117"/>
      <c r="C135" s="79"/>
      <c r="D135" s="117"/>
      <c r="E135" s="117"/>
      <c r="F135" s="94"/>
      <c r="G135" s="117"/>
      <c r="H135" s="94"/>
      <c r="I135" s="117"/>
      <c r="J135" s="94"/>
      <c r="K135" s="71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</row>
    <row r="136">
      <c r="A136" s="71"/>
      <c r="B136" s="117"/>
      <c r="C136" s="79"/>
      <c r="D136" s="117"/>
      <c r="E136" s="117"/>
      <c r="F136" s="94"/>
      <c r="G136" s="117"/>
      <c r="H136" s="94"/>
      <c r="I136" s="117"/>
      <c r="J136" s="94"/>
      <c r="K136" s="71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</row>
    <row r="137">
      <c r="A137" s="71"/>
      <c r="B137" s="117"/>
      <c r="C137" s="79"/>
      <c r="D137" s="117"/>
      <c r="E137" s="117"/>
      <c r="F137" s="94"/>
      <c r="G137" s="117"/>
      <c r="H137" s="94"/>
      <c r="I137" s="117"/>
      <c r="J137" s="94"/>
      <c r="K137" s="71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</row>
    <row r="138">
      <c r="A138" s="71"/>
      <c r="B138" s="117"/>
      <c r="C138" s="79"/>
      <c r="D138" s="117"/>
      <c r="E138" s="117"/>
      <c r="F138" s="94"/>
      <c r="G138" s="117"/>
      <c r="H138" s="94"/>
      <c r="I138" s="117"/>
      <c r="J138" s="94"/>
      <c r="K138" s="71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</row>
    <row r="139">
      <c r="A139" s="71"/>
      <c r="B139" s="117"/>
      <c r="C139" s="79"/>
      <c r="D139" s="117"/>
      <c r="E139" s="117"/>
      <c r="F139" s="94"/>
      <c r="G139" s="117"/>
      <c r="H139" s="94"/>
      <c r="I139" s="117"/>
      <c r="J139" s="94"/>
      <c r="K139" s="71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</row>
    <row r="140">
      <c r="A140" s="71"/>
      <c r="B140" s="117"/>
      <c r="C140" s="79"/>
      <c r="D140" s="117"/>
      <c r="E140" s="117"/>
      <c r="F140" s="94"/>
      <c r="G140" s="117"/>
      <c r="H140" s="94"/>
      <c r="I140" s="117"/>
      <c r="J140" s="94"/>
      <c r="K140" s="71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</row>
    <row r="141">
      <c r="A141" s="71"/>
      <c r="B141" s="117"/>
      <c r="C141" s="79"/>
      <c r="D141" s="117"/>
      <c r="E141" s="117"/>
      <c r="F141" s="94"/>
      <c r="G141" s="117"/>
      <c r="H141" s="94"/>
      <c r="I141" s="117"/>
      <c r="J141" s="94"/>
      <c r="K141" s="71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</row>
    <row r="142">
      <c r="A142" s="71"/>
      <c r="B142" s="117"/>
      <c r="C142" s="79"/>
      <c r="D142" s="117"/>
      <c r="E142" s="117"/>
      <c r="F142" s="94"/>
      <c r="G142" s="117"/>
      <c r="H142" s="94"/>
      <c r="I142" s="117"/>
      <c r="J142" s="94"/>
      <c r="K142" s="71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</row>
    <row r="143">
      <c r="A143" s="71"/>
      <c r="B143" s="117"/>
      <c r="C143" s="79"/>
      <c r="D143" s="117"/>
      <c r="E143" s="117"/>
      <c r="F143" s="94"/>
      <c r="G143" s="117"/>
      <c r="H143" s="94"/>
      <c r="I143" s="117"/>
      <c r="J143" s="94"/>
      <c r="K143" s="71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</row>
    <row r="144">
      <c r="A144" s="71"/>
      <c r="B144" s="117"/>
      <c r="C144" s="79"/>
      <c r="D144" s="117"/>
      <c r="E144" s="117"/>
      <c r="F144" s="94"/>
      <c r="G144" s="117"/>
      <c r="H144" s="94"/>
      <c r="I144" s="117"/>
      <c r="J144" s="94"/>
      <c r="K144" s="71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</row>
    <row r="145">
      <c r="A145" s="71"/>
      <c r="B145" s="117"/>
      <c r="C145" s="79"/>
      <c r="D145" s="117"/>
      <c r="E145" s="117"/>
      <c r="F145" s="94"/>
      <c r="G145" s="117"/>
      <c r="H145" s="94"/>
      <c r="I145" s="117"/>
      <c r="J145" s="94"/>
      <c r="K145" s="71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</row>
    <row r="146">
      <c r="A146" s="71"/>
      <c r="B146" s="117"/>
      <c r="C146" s="79"/>
      <c r="D146" s="117"/>
      <c r="E146" s="117"/>
      <c r="F146" s="94"/>
      <c r="G146" s="117"/>
      <c r="H146" s="94"/>
      <c r="I146" s="117"/>
      <c r="J146" s="94"/>
      <c r="K146" s="71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</row>
    <row r="147">
      <c r="A147" s="71"/>
      <c r="B147" s="117"/>
      <c r="C147" s="79"/>
      <c r="D147" s="117"/>
      <c r="E147" s="117"/>
      <c r="F147" s="94"/>
      <c r="G147" s="117"/>
      <c r="H147" s="94"/>
      <c r="I147" s="117"/>
      <c r="J147" s="94"/>
      <c r="K147" s="71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</row>
    <row r="148">
      <c r="A148" s="71"/>
      <c r="B148" s="117"/>
      <c r="C148" s="79"/>
      <c r="D148" s="117"/>
      <c r="E148" s="117"/>
      <c r="F148" s="94"/>
      <c r="G148" s="117"/>
      <c r="H148" s="94"/>
      <c r="I148" s="117"/>
      <c r="J148" s="94"/>
      <c r="K148" s="71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</row>
    <row r="149">
      <c r="A149" s="71"/>
      <c r="B149" s="117"/>
      <c r="C149" s="79"/>
      <c r="D149" s="117"/>
      <c r="E149" s="117"/>
      <c r="F149" s="94"/>
      <c r="G149" s="117"/>
      <c r="H149" s="94"/>
      <c r="I149" s="117"/>
      <c r="J149" s="94"/>
      <c r="K149" s="71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</row>
    <row r="150">
      <c r="A150" s="71"/>
      <c r="B150" s="117"/>
      <c r="C150" s="79"/>
      <c r="D150" s="117"/>
      <c r="E150" s="117"/>
      <c r="F150" s="94"/>
      <c r="G150" s="117"/>
      <c r="H150" s="94"/>
      <c r="I150" s="117"/>
      <c r="J150" s="94"/>
      <c r="K150" s="71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</row>
    <row r="151">
      <c r="A151" s="71"/>
      <c r="B151" s="117"/>
      <c r="C151" s="79"/>
      <c r="D151" s="117"/>
      <c r="E151" s="117"/>
      <c r="F151" s="94"/>
      <c r="G151" s="117"/>
      <c r="H151" s="94"/>
      <c r="I151" s="117"/>
      <c r="J151" s="94"/>
      <c r="K151" s="71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</row>
    <row r="152">
      <c r="A152" s="71"/>
      <c r="B152" s="117"/>
      <c r="C152" s="79"/>
      <c r="D152" s="117"/>
      <c r="E152" s="117"/>
      <c r="F152" s="94"/>
      <c r="G152" s="117"/>
      <c r="H152" s="94"/>
      <c r="I152" s="117"/>
      <c r="J152" s="94"/>
      <c r="K152" s="71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</row>
    <row r="153">
      <c r="A153" s="71"/>
      <c r="B153" s="117"/>
      <c r="C153" s="79"/>
      <c r="D153" s="117"/>
      <c r="E153" s="117"/>
      <c r="F153" s="94"/>
      <c r="G153" s="117"/>
      <c r="H153" s="94"/>
      <c r="I153" s="117"/>
      <c r="J153" s="94"/>
      <c r="K153" s="71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</row>
    <row r="154">
      <c r="A154" s="71"/>
      <c r="B154" s="117"/>
      <c r="C154" s="79"/>
      <c r="D154" s="117"/>
      <c r="E154" s="117"/>
      <c r="F154" s="94"/>
      <c r="G154" s="117"/>
      <c r="H154" s="94"/>
      <c r="I154" s="117"/>
      <c r="J154" s="94"/>
      <c r="K154" s="71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</row>
    <row r="155">
      <c r="A155" s="71"/>
      <c r="B155" s="117"/>
      <c r="C155" s="79"/>
      <c r="D155" s="117"/>
      <c r="E155" s="117"/>
      <c r="F155" s="94"/>
      <c r="G155" s="117"/>
      <c r="H155" s="94"/>
      <c r="I155" s="117"/>
      <c r="J155" s="94"/>
      <c r="K155" s="71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</row>
    <row r="156">
      <c r="A156" s="71"/>
      <c r="B156" s="117"/>
      <c r="C156" s="79"/>
      <c r="D156" s="117"/>
      <c r="E156" s="117"/>
      <c r="F156" s="94"/>
      <c r="G156" s="117"/>
      <c r="H156" s="94"/>
      <c r="I156" s="117"/>
      <c r="J156" s="94"/>
      <c r="K156" s="71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</row>
    <row r="157">
      <c r="A157" s="71"/>
      <c r="B157" s="117"/>
      <c r="C157" s="79"/>
      <c r="D157" s="117"/>
      <c r="E157" s="117"/>
      <c r="F157" s="94"/>
      <c r="G157" s="117"/>
      <c r="H157" s="94"/>
      <c r="I157" s="117"/>
      <c r="J157" s="94"/>
      <c r="K157" s="71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</row>
    <row r="158">
      <c r="A158" s="71"/>
      <c r="B158" s="117"/>
      <c r="C158" s="79"/>
      <c r="D158" s="117"/>
      <c r="E158" s="117"/>
      <c r="F158" s="94"/>
      <c r="G158" s="117"/>
      <c r="H158" s="94"/>
      <c r="I158" s="117"/>
      <c r="J158" s="94"/>
      <c r="K158" s="71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</row>
    <row r="159">
      <c r="A159" s="71"/>
      <c r="B159" s="117"/>
      <c r="C159" s="79"/>
      <c r="D159" s="117"/>
      <c r="E159" s="117"/>
      <c r="F159" s="94"/>
      <c r="G159" s="117"/>
      <c r="H159" s="94"/>
      <c r="I159" s="117"/>
      <c r="J159" s="94"/>
      <c r="K159" s="71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</row>
    <row r="160">
      <c r="A160" s="71"/>
      <c r="B160" s="117"/>
      <c r="C160" s="79"/>
      <c r="D160" s="117"/>
      <c r="E160" s="117"/>
      <c r="F160" s="94"/>
      <c r="G160" s="117"/>
      <c r="H160" s="94"/>
      <c r="I160" s="117"/>
      <c r="J160" s="94"/>
      <c r="K160" s="71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</row>
    <row r="161">
      <c r="A161" s="71"/>
      <c r="B161" s="117"/>
      <c r="C161" s="79"/>
      <c r="D161" s="117"/>
      <c r="E161" s="117"/>
      <c r="F161" s="94"/>
      <c r="G161" s="117"/>
      <c r="H161" s="94"/>
      <c r="I161" s="117"/>
      <c r="J161" s="94"/>
      <c r="K161" s="71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</row>
    <row r="162">
      <c r="A162" s="71"/>
      <c r="B162" s="117"/>
      <c r="C162" s="79"/>
      <c r="D162" s="117"/>
      <c r="E162" s="117"/>
      <c r="F162" s="94"/>
      <c r="G162" s="117"/>
      <c r="H162" s="94"/>
      <c r="I162" s="117"/>
      <c r="J162" s="94"/>
      <c r="K162" s="71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</row>
    <row r="163">
      <c r="A163" s="71"/>
      <c r="B163" s="117"/>
      <c r="C163" s="79"/>
      <c r="D163" s="117"/>
      <c r="E163" s="117"/>
      <c r="F163" s="94"/>
      <c r="G163" s="117"/>
      <c r="H163" s="94"/>
      <c r="I163" s="117"/>
      <c r="J163" s="94"/>
      <c r="K163" s="71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</row>
    <row r="164">
      <c r="A164" s="71"/>
      <c r="B164" s="117"/>
      <c r="C164" s="79"/>
      <c r="D164" s="117"/>
      <c r="E164" s="117"/>
      <c r="F164" s="94"/>
      <c r="G164" s="117"/>
      <c r="H164" s="94"/>
      <c r="I164" s="117"/>
      <c r="J164" s="94"/>
      <c r="K164" s="71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</row>
    <row r="165">
      <c r="A165" s="71"/>
      <c r="B165" s="117"/>
      <c r="C165" s="79"/>
      <c r="D165" s="117"/>
      <c r="E165" s="117"/>
      <c r="F165" s="94"/>
      <c r="G165" s="117"/>
      <c r="H165" s="94"/>
      <c r="I165" s="117"/>
      <c r="J165" s="94"/>
      <c r="K165" s="71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</row>
    <row r="166">
      <c r="A166" s="71"/>
      <c r="B166" s="117"/>
      <c r="C166" s="79"/>
      <c r="D166" s="117"/>
      <c r="E166" s="117"/>
      <c r="F166" s="94"/>
      <c r="G166" s="117"/>
      <c r="H166" s="94"/>
      <c r="I166" s="117"/>
      <c r="J166" s="94"/>
      <c r="K166" s="71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</row>
    <row r="167">
      <c r="A167" s="71"/>
      <c r="B167" s="117"/>
      <c r="C167" s="79"/>
      <c r="D167" s="117"/>
      <c r="E167" s="117"/>
      <c r="F167" s="94"/>
      <c r="G167" s="117"/>
      <c r="H167" s="94"/>
      <c r="I167" s="117"/>
      <c r="J167" s="94"/>
      <c r="K167" s="71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</row>
    <row r="168">
      <c r="A168" s="71"/>
      <c r="B168" s="117"/>
      <c r="C168" s="79"/>
      <c r="D168" s="117"/>
      <c r="E168" s="117"/>
      <c r="F168" s="94"/>
      <c r="G168" s="117"/>
      <c r="H168" s="94"/>
      <c r="I168" s="117"/>
      <c r="J168" s="94"/>
      <c r="K168" s="71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</row>
    <row r="169">
      <c r="A169" s="71"/>
      <c r="B169" s="117"/>
      <c r="C169" s="79"/>
      <c r="D169" s="117"/>
      <c r="E169" s="117"/>
      <c r="F169" s="94"/>
      <c r="G169" s="117"/>
      <c r="H169" s="94"/>
      <c r="I169" s="117"/>
      <c r="J169" s="94"/>
      <c r="K169" s="71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</row>
    <row r="170">
      <c r="A170" s="71"/>
      <c r="B170" s="117"/>
      <c r="C170" s="79"/>
      <c r="D170" s="117"/>
      <c r="E170" s="117"/>
      <c r="F170" s="94"/>
      <c r="G170" s="117"/>
      <c r="H170" s="94"/>
      <c r="I170" s="117"/>
      <c r="J170" s="94"/>
      <c r="K170" s="71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</row>
    <row r="171">
      <c r="A171" s="71"/>
      <c r="B171" s="117"/>
      <c r="C171" s="79"/>
      <c r="D171" s="117"/>
      <c r="E171" s="117"/>
      <c r="F171" s="94"/>
      <c r="G171" s="117"/>
      <c r="H171" s="94"/>
      <c r="I171" s="117"/>
      <c r="J171" s="94"/>
      <c r="K171" s="71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</row>
    <row r="172">
      <c r="A172" s="71"/>
      <c r="B172" s="117"/>
      <c r="C172" s="79"/>
      <c r="D172" s="117"/>
      <c r="E172" s="117"/>
      <c r="F172" s="94"/>
      <c r="G172" s="117"/>
      <c r="H172" s="94"/>
      <c r="I172" s="117"/>
      <c r="J172" s="94"/>
      <c r="K172" s="71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</row>
    <row r="173">
      <c r="A173" s="71"/>
      <c r="B173" s="117"/>
      <c r="C173" s="79"/>
      <c r="D173" s="117"/>
      <c r="E173" s="117"/>
      <c r="F173" s="94"/>
      <c r="G173" s="117"/>
      <c r="H173" s="94"/>
      <c r="I173" s="117"/>
      <c r="J173" s="94"/>
      <c r="K173" s="71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</row>
    <row r="174">
      <c r="A174" s="71"/>
      <c r="B174" s="117"/>
      <c r="C174" s="79"/>
      <c r="D174" s="117"/>
      <c r="E174" s="117"/>
      <c r="F174" s="94"/>
      <c r="G174" s="117"/>
      <c r="H174" s="94"/>
      <c r="I174" s="117"/>
      <c r="J174" s="94"/>
      <c r="K174" s="71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</row>
    <row r="175">
      <c r="A175" s="71"/>
      <c r="B175" s="117"/>
      <c r="C175" s="79"/>
      <c r="D175" s="117"/>
      <c r="E175" s="117"/>
      <c r="F175" s="94"/>
      <c r="G175" s="117"/>
      <c r="H175" s="94"/>
      <c r="I175" s="117"/>
      <c r="J175" s="94"/>
      <c r="K175" s="71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</row>
    <row r="176">
      <c r="A176" s="71"/>
      <c r="B176" s="117"/>
      <c r="C176" s="79"/>
      <c r="D176" s="117"/>
      <c r="E176" s="117"/>
      <c r="F176" s="94"/>
      <c r="G176" s="117"/>
      <c r="H176" s="94"/>
      <c r="I176" s="117"/>
      <c r="J176" s="94"/>
      <c r="K176" s="71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</row>
    <row r="177">
      <c r="A177" s="71"/>
      <c r="B177" s="117"/>
      <c r="C177" s="79"/>
      <c r="D177" s="117"/>
      <c r="E177" s="117"/>
      <c r="F177" s="94"/>
      <c r="G177" s="117"/>
      <c r="H177" s="94"/>
      <c r="I177" s="117"/>
      <c r="J177" s="94"/>
      <c r="K177" s="71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</row>
    <row r="178">
      <c r="A178" s="71"/>
      <c r="B178" s="117"/>
      <c r="C178" s="79"/>
      <c r="D178" s="117"/>
      <c r="E178" s="117"/>
      <c r="F178" s="94"/>
      <c r="G178" s="117"/>
      <c r="H178" s="94"/>
      <c r="I178" s="117"/>
      <c r="J178" s="94"/>
      <c r="K178" s="71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</row>
    <row r="179">
      <c r="A179" s="71"/>
      <c r="B179" s="117"/>
      <c r="C179" s="79"/>
      <c r="D179" s="117"/>
      <c r="E179" s="117"/>
      <c r="F179" s="94"/>
      <c r="G179" s="117"/>
      <c r="H179" s="94"/>
      <c r="I179" s="117"/>
      <c r="J179" s="94"/>
      <c r="K179" s="71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</row>
    <row r="180">
      <c r="A180" s="71"/>
      <c r="B180" s="117"/>
      <c r="C180" s="79"/>
      <c r="D180" s="117"/>
      <c r="E180" s="117"/>
      <c r="F180" s="94"/>
      <c r="G180" s="117"/>
      <c r="H180" s="94"/>
      <c r="I180" s="117"/>
      <c r="J180" s="94"/>
      <c r="K180" s="71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</row>
    <row r="181">
      <c r="A181" s="71"/>
      <c r="B181" s="117"/>
      <c r="C181" s="79"/>
      <c r="D181" s="117"/>
      <c r="E181" s="117"/>
      <c r="F181" s="94"/>
      <c r="G181" s="117"/>
      <c r="H181" s="94"/>
      <c r="I181" s="117"/>
      <c r="J181" s="94"/>
      <c r="K181" s="71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</row>
    <row r="182">
      <c r="A182" s="71"/>
      <c r="B182" s="117"/>
      <c r="C182" s="79"/>
      <c r="D182" s="117"/>
      <c r="E182" s="117"/>
      <c r="F182" s="94"/>
      <c r="G182" s="117"/>
      <c r="H182" s="94"/>
      <c r="I182" s="117"/>
      <c r="J182" s="94"/>
      <c r="K182" s="71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</row>
    <row r="183">
      <c r="A183" s="71"/>
      <c r="B183" s="117"/>
      <c r="C183" s="79"/>
      <c r="D183" s="117"/>
      <c r="E183" s="117"/>
      <c r="F183" s="94"/>
      <c r="G183" s="117"/>
      <c r="H183" s="94"/>
      <c r="I183" s="117"/>
      <c r="J183" s="94"/>
      <c r="K183" s="71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</row>
    <row r="184">
      <c r="A184" s="71"/>
      <c r="B184" s="117"/>
      <c r="C184" s="79"/>
      <c r="D184" s="117"/>
      <c r="E184" s="117"/>
      <c r="F184" s="94"/>
      <c r="G184" s="117"/>
      <c r="H184" s="94"/>
      <c r="I184" s="117"/>
      <c r="J184" s="94"/>
      <c r="K184" s="71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</row>
    <row r="185">
      <c r="A185" s="71"/>
      <c r="B185" s="117"/>
      <c r="C185" s="79"/>
      <c r="D185" s="117"/>
      <c r="E185" s="117"/>
      <c r="F185" s="94"/>
      <c r="G185" s="117"/>
      <c r="H185" s="94"/>
      <c r="I185" s="117"/>
      <c r="J185" s="94"/>
      <c r="K185" s="71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</row>
    <row r="186">
      <c r="A186" s="71"/>
      <c r="B186" s="117"/>
      <c r="C186" s="79"/>
      <c r="D186" s="117"/>
      <c r="E186" s="117"/>
      <c r="F186" s="94"/>
      <c r="G186" s="117"/>
      <c r="H186" s="94"/>
      <c r="I186" s="117"/>
      <c r="J186" s="94"/>
      <c r="K186" s="71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</row>
    <row r="187">
      <c r="A187" s="71"/>
      <c r="B187" s="117"/>
      <c r="C187" s="79"/>
      <c r="D187" s="117"/>
      <c r="E187" s="117"/>
      <c r="F187" s="94"/>
      <c r="G187" s="117"/>
      <c r="H187" s="94"/>
      <c r="I187" s="117"/>
      <c r="J187" s="94"/>
      <c r="K187" s="71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</row>
    <row r="188">
      <c r="A188" s="71"/>
      <c r="B188" s="117"/>
      <c r="C188" s="79"/>
      <c r="D188" s="117"/>
      <c r="E188" s="117"/>
      <c r="F188" s="94"/>
      <c r="G188" s="117"/>
      <c r="H188" s="94"/>
      <c r="I188" s="117"/>
      <c r="J188" s="94"/>
      <c r="K188" s="71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</row>
    <row r="189">
      <c r="A189" s="71"/>
      <c r="B189" s="117"/>
      <c r="C189" s="79"/>
      <c r="D189" s="117"/>
      <c r="E189" s="117"/>
      <c r="F189" s="94"/>
      <c r="G189" s="117"/>
      <c r="H189" s="94"/>
      <c r="I189" s="117"/>
      <c r="J189" s="94"/>
      <c r="K189" s="71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</row>
    <row r="190">
      <c r="A190" s="71"/>
      <c r="B190" s="117"/>
      <c r="C190" s="79"/>
      <c r="D190" s="117"/>
      <c r="E190" s="117"/>
      <c r="F190" s="94"/>
      <c r="G190" s="117"/>
      <c r="H190" s="94"/>
      <c r="I190" s="117"/>
      <c r="J190" s="94"/>
      <c r="K190" s="71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</row>
    <row r="191">
      <c r="A191" s="71"/>
      <c r="B191" s="117"/>
      <c r="C191" s="79"/>
      <c r="D191" s="117"/>
      <c r="E191" s="117"/>
      <c r="F191" s="94"/>
      <c r="G191" s="117"/>
      <c r="H191" s="94"/>
      <c r="I191" s="117"/>
      <c r="J191" s="94"/>
      <c r="K191" s="71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</row>
    <row r="192">
      <c r="A192" s="71"/>
      <c r="B192" s="117"/>
      <c r="C192" s="79"/>
      <c r="D192" s="117"/>
      <c r="E192" s="117"/>
      <c r="F192" s="117"/>
      <c r="G192" s="117"/>
      <c r="H192" s="117"/>
      <c r="I192" s="117"/>
      <c r="J192" s="117"/>
      <c r="K192" s="71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</row>
    <row r="193">
      <c r="A193" s="71"/>
      <c r="B193" s="117"/>
      <c r="C193" s="79"/>
      <c r="D193" s="117"/>
      <c r="E193" s="117"/>
      <c r="F193" s="117"/>
      <c r="G193" s="117"/>
      <c r="H193" s="117"/>
      <c r="I193" s="117"/>
      <c r="J193" s="117"/>
      <c r="K193" s="71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</row>
    <row r="194">
      <c r="A194" s="71"/>
      <c r="B194" s="117"/>
      <c r="C194" s="79"/>
      <c r="D194" s="117"/>
      <c r="E194" s="117"/>
      <c r="F194" s="117"/>
      <c r="G194" s="117"/>
      <c r="H194" s="117"/>
      <c r="I194" s="117"/>
      <c r="J194" s="117"/>
      <c r="K194" s="71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</row>
    <row r="195">
      <c r="A195" s="71"/>
      <c r="B195" s="117"/>
      <c r="C195" s="79"/>
      <c r="D195" s="117"/>
      <c r="E195" s="117"/>
      <c r="F195" s="117"/>
      <c r="G195" s="117"/>
      <c r="H195" s="117"/>
      <c r="I195" s="117"/>
      <c r="J195" s="117"/>
      <c r="K195" s="71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</row>
    <row r="196">
      <c r="A196" s="71"/>
      <c r="B196" s="117"/>
      <c r="C196" s="79"/>
      <c r="D196" s="117"/>
      <c r="E196" s="117"/>
      <c r="F196" s="117"/>
      <c r="G196" s="117"/>
      <c r="H196" s="117"/>
      <c r="I196" s="117"/>
      <c r="J196" s="117"/>
      <c r="K196" s="71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</row>
    <row r="197">
      <c r="A197" s="71"/>
      <c r="B197" s="117"/>
      <c r="C197" s="79"/>
      <c r="D197" s="117"/>
      <c r="E197" s="117"/>
      <c r="F197" s="117"/>
      <c r="G197" s="117"/>
      <c r="H197" s="117"/>
      <c r="I197" s="117"/>
      <c r="J197" s="117"/>
      <c r="K197" s="71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</row>
    <row r="198">
      <c r="A198" s="71"/>
      <c r="B198" s="117"/>
      <c r="C198" s="79"/>
      <c r="D198" s="117"/>
      <c r="E198" s="117"/>
      <c r="F198" s="117"/>
      <c r="G198" s="117"/>
      <c r="H198" s="117"/>
      <c r="I198" s="117"/>
      <c r="J198" s="117"/>
      <c r="K198" s="71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</row>
    <row r="199">
      <c r="A199" s="71"/>
      <c r="B199" s="117"/>
      <c r="C199" s="79"/>
      <c r="D199" s="117"/>
      <c r="E199" s="117"/>
      <c r="F199" s="117"/>
      <c r="G199" s="117"/>
      <c r="H199" s="117"/>
      <c r="I199" s="117"/>
      <c r="J199" s="117"/>
      <c r="K199" s="71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</row>
    <row r="200">
      <c r="A200" s="71"/>
      <c r="B200" s="117"/>
      <c r="C200" s="79"/>
      <c r="D200" s="117"/>
      <c r="E200" s="117"/>
      <c r="F200" s="117"/>
      <c r="G200" s="117"/>
      <c r="H200" s="117"/>
      <c r="I200" s="117"/>
      <c r="J200" s="117"/>
      <c r="K200" s="71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</row>
    <row r="201">
      <c r="A201" s="71"/>
      <c r="B201" s="117"/>
      <c r="C201" s="79"/>
      <c r="D201" s="117"/>
      <c r="E201" s="117"/>
      <c r="F201" s="117"/>
      <c r="G201" s="117"/>
      <c r="H201" s="117"/>
      <c r="I201" s="117"/>
      <c r="J201" s="117"/>
      <c r="K201" s="71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</row>
    <row r="202">
      <c r="A202" s="71"/>
      <c r="B202" s="117"/>
      <c r="C202" s="79"/>
      <c r="D202" s="117"/>
      <c r="E202" s="117"/>
      <c r="F202" s="117"/>
      <c r="G202" s="117"/>
      <c r="H202" s="117"/>
      <c r="I202" s="117"/>
      <c r="J202" s="117"/>
      <c r="K202" s="71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</row>
    <row r="203">
      <c r="A203" s="71"/>
      <c r="B203" s="117"/>
      <c r="C203" s="79"/>
      <c r="D203" s="117"/>
      <c r="E203" s="117"/>
      <c r="F203" s="117"/>
      <c r="G203" s="117"/>
      <c r="H203" s="117"/>
      <c r="I203" s="117"/>
      <c r="J203" s="117"/>
      <c r="K203" s="71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</row>
    <row r="204">
      <c r="A204" s="71"/>
      <c r="B204" s="117"/>
      <c r="C204" s="79"/>
      <c r="D204" s="117"/>
      <c r="E204" s="117"/>
      <c r="F204" s="117"/>
      <c r="G204" s="117"/>
      <c r="H204" s="117"/>
      <c r="I204" s="117"/>
      <c r="J204" s="117"/>
      <c r="K204" s="71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</row>
    <row r="205">
      <c r="A205" s="71"/>
      <c r="B205" s="117"/>
      <c r="C205" s="79"/>
      <c r="D205" s="117"/>
      <c r="E205" s="117"/>
      <c r="F205" s="117"/>
      <c r="G205" s="117"/>
      <c r="H205" s="117"/>
      <c r="I205" s="117"/>
      <c r="J205" s="117"/>
      <c r="K205" s="71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</row>
    <row r="206">
      <c r="A206" s="71"/>
      <c r="B206" s="117"/>
      <c r="C206" s="79"/>
      <c r="D206" s="117"/>
      <c r="E206" s="117"/>
      <c r="F206" s="117"/>
      <c r="G206" s="117"/>
      <c r="H206" s="117"/>
      <c r="I206" s="117"/>
      <c r="J206" s="117"/>
      <c r="K206" s="71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</row>
    <row r="207">
      <c r="A207" s="71"/>
      <c r="B207" s="117"/>
      <c r="C207" s="79"/>
      <c r="D207" s="117"/>
      <c r="E207" s="117"/>
      <c r="F207" s="117"/>
      <c r="G207" s="117"/>
      <c r="H207" s="117"/>
      <c r="I207" s="117"/>
      <c r="J207" s="117"/>
      <c r="K207" s="71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</row>
    <row r="208">
      <c r="A208" s="71"/>
      <c r="B208" s="117"/>
      <c r="C208" s="79"/>
      <c r="D208" s="117"/>
      <c r="E208" s="117"/>
      <c r="F208" s="117"/>
      <c r="G208" s="117"/>
      <c r="H208" s="117"/>
      <c r="I208" s="117"/>
      <c r="J208" s="117"/>
      <c r="K208" s="71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</row>
    <row r="209">
      <c r="A209" s="71"/>
      <c r="B209" s="117"/>
      <c r="C209" s="79"/>
      <c r="D209" s="117"/>
      <c r="E209" s="117"/>
      <c r="F209" s="117"/>
      <c r="G209" s="117"/>
      <c r="H209" s="117"/>
      <c r="I209" s="117"/>
      <c r="J209" s="117"/>
      <c r="K209" s="71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</row>
    <row r="210">
      <c r="A210" s="71"/>
      <c r="B210" s="117"/>
      <c r="C210" s="79"/>
      <c r="D210" s="117"/>
      <c r="E210" s="117"/>
      <c r="F210" s="117"/>
      <c r="G210" s="117"/>
      <c r="H210" s="117"/>
      <c r="I210" s="117"/>
      <c r="J210" s="117"/>
      <c r="K210" s="71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</row>
    <row r="211">
      <c r="A211" s="71"/>
      <c r="B211" s="117"/>
      <c r="C211" s="79"/>
      <c r="D211" s="117"/>
      <c r="E211" s="117"/>
      <c r="F211" s="117"/>
      <c r="G211" s="117"/>
      <c r="H211" s="117"/>
      <c r="I211" s="117"/>
      <c r="J211" s="117"/>
      <c r="K211" s="71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</row>
    <row r="212">
      <c r="A212" s="71"/>
      <c r="B212" s="117"/>
      <c r="C212" s="79"/>
      <c r="D212" s="117"/>
      <c r="E212" s="117"/>
      <c r="F212" s="117"/>
      <c r="G212" s="117"/>
      <c r="H212" s="117"/>
      <c r="I212" s="117"/>
      <c r="J212" s="117"/>
      <c r="K212" s="71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</row>
    <row r="213">
      <c r="A213" s="71"/>
      <c r="B213" s="117"/>
      <c r="C213" s="79"/>
      <c r="D213" s="117"/>
      <c r="E213" s="117"/>
      <c r="F213" s="117"/>
      <c r="G213" s="117"/>
      <c r="H213" s="117"/>
      <c r="I213" s="117"/>
      <c r="J213" s="117"/>
      <c r="K213" s="71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</row>
    <row r="214">
      <c r="A214" s="71"/>
      <c r="B214" s="117"/>
      <c r="C214" s="79"/>
      <c r="D214" s="117"/>
      <c r="E214" s="117"/>
      <c r="F214" s="117"/>
      <c r="G214" s="117"/>
      <c r="H214" s="117"/>
      <c r="I214" s="117"/>
      <c r="J214" s="117"/>
      <c r="K214" s="71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</row>
    <row r="215">
      <c r="A215" s="71"/>
      <c r="B215" s="117"/>
      <c r="C215" s="79"/>
      <c r="D215" s="117"/>
      <c r="E215" s="117"/>
      <c r="F215" s="117"/>
      <c r="G215" s="117"/>
      <c r="H215" s="117"/>
      <c r="I215" s="117"/>
      <c r="J215" s="117"/>
      <c r="K215" s="71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</row>
    <row r="216">
      <c r="A216" s="71"/>
      <c r="B216" s="117"/>
      <c r="C216" s="79"/>
      <c r="D216" s="117"/>
      <c r="E216" s="117"/>
      <c r="F216" s="117"/>
      <c r="G216" s="117"/>
      <c r="H216" s="117"/>
      <c r="I216" s="117"/>
      <c r="J216" s="117"/>
      <c r="K216" s="71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</row>
    <row r="217">
      <c r="A217" s="71"/>
      <c r="B217" s="117"/>
      <c r="C217" s="79"/>
      <c r="D217" s="117"/>
      <c r="E217" s="117"/>
      <c r="F217" s="117"/>
      <c r="G217" s="117"/>
      <c r="H217" s="117"/>
      <c r="I217" s="117"/>
      <c r="J217" s="117"/>
      <c r="K217" s="71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</row>
    <row r="218">
      <c r="A218" s="71"/>
      <c r="B218" s="117"/>
      <c r="C218" s="79"/>
      <c r="D218" s="117"/>
      <c r="E218" s="117"/>
      <c r="F218" s="117"/>
      <c r="G218" s="117"/>
      <c r="H218" s="117"/>
      <c r="I218" s="117"/>
      <c r="J218" s="117"/>
      <c r="K218" s="71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</row>
    <row r="219">
      <c r="A219" s="71"/>
      <c r="B219" s="117"/>
      <c r="C219" s="79"/>
      <c r="D219" s="117"/>
      <c r="E219" s="117"/>
      <c r="F219" s="117"/>
      <c r="G219" s="117"/>
      <c r="H219" s="117"/>
      <c r="I219" s="117"/>
      <c r="J219" s="117"/>
      <c r="K219" s="71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</row>
    <row r="220">
      <c r="A220" s="71"/>
      <c r="B220" s="117"/>
      <c r="C220" s="79"/>
      <c r="D220" s="117"/>
      <c r="E220" s="117"/>
      <c r="F220" s="117"/>
      <c r="G220" s="117"/>
      <c r="H220" s="117"/>
      <c r="I220" s="117"/>
      <c r="J220" s="117"/>
      <c r="K220" s="71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</row>
    <row r="221">
      <c r="A221" s="71"/>
      <c r="B221" s="117"/>
      <c r="C221" s="79"/>
      <c r="D221" s="117"/>
      <c r="E221" s="117"/>
      <c r="F221" s="117"/>
      <c r="G221" s="117"/>
      <c r="H221" s="117"/>
      <c r="I221" s="117"/>
      <c r="J221" s="117"/>
      <c r="K221" s="71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</row>
    <row r="222">
      <c r="A222" s="71"/>
      <c r="B222" s="117"/>
      <c r="C222" s="79"/>
      <c r="D222" s="117"/>
      <c r="E222" s="117"/>
      <c r="F222" s="117"/>
      <c r="G222" s="117"/>
      <c r="H222" s="117"/>
      <c r="I222" s="117"/>
      <c r="J222" s="117"/>
      <c r="K222" s="71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</row>
    <row r="223">
      <c r="A223" s="71"/>
      <c r="B223" s="117"/>
      <c r="C223" s="79"/>
      <c r="D223" s="117"/>
      <c r="E223" s="117"/>
      <c r="F223" s="117"/>
      <c r="G223" s="117"/>
      <c r="H223" s="117"/>
      <c r="I223" s="117"/>
      <c r="J223" s="117"/>
      <c r="K223" s="71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</row>
    <row r="224">
      <c r="A224" s="71"/>
      <c r="B224" s="117"/>
      <c r="C224" s="79"/>
      <c r="D224" s="117"/>
      <c r="E224" s="117"/>
      <c r="F224" s="117"/>
      <c r="G224" s="117"/>
      <c r="H224" s="117"/>
      <c r="I224" s="117"/>
      <c r="J224" s="117"/>
      <c r="K224" s="71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</row>
    <row r="225">
      <c r="A225" s="71"/>
      <c r="B225" s="117"/>
      <c r="C225" s="79"/>
      <c r="D225" s="117"/>
      <c r="E225" s="117"/>
      <c r="F225" s="117"/>
      <c r="G225" s="117"/>
      <c r="H225" s="117"/>
      <c r="I225" s="117"/>
      <c r="J225" s="117"/>
      <c r="K225" s="71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</row>
    <row r="226">
      <c r="A226" s="71"/>
      <c r="B226" s="117"/>
      <c r="C226" s="79"/>
      <c r="D226" s="117"/>
      <c r="E226" s="117"/>
      <c r="F226" s="117"/>
      <c r="G226" s="117"/>
      <c r="H226" s="117"/>
      <c r="I226" s="117"/>
      <c r="J226" s="117"/>
      <c r="K226" s="71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</row>
    <row r="227">
      <c r="A227" s="71"/>
      <c r="B227" s="117"/>
      <c r="C227" s="79"/>
      <c r="D227" s="117"/>
      <c r="E227" s="117"/>
      <c r="F227" s="117"/>
      <c r="G227" s="117"/>
      <c r="H227" s="117"/>
      <c r="I227" s="117"/>
      <c r="J227" s="117"/>
      <c r="K227" s="71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  <c r="AB227" s="117"/>
    </row>
    <row r="228">
      <c r="A228" s="71"/>
      <c r="B228" s="117"/>
      <c r="C228" s="79"/>
      <c r="D228" s="117"/>
      <c r="E228" s="117"/>
      <c r="F228" s="117"/>
      <c r="G228" s="117"/>
      <c r="H228" s="117"/>
      <c r="I228" s="117"/>
      <c r="J228" s="117"/>
      <c r="K228" s="71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</row>
    <row r="229">
      <c r="A229" s="71"/>
      <c r="B229" s="117"/>
      <c r="C229" s="79"/>
      <c r="D229" s="117"/>
      <c r="E229" s="117"/>
      <c r="F229" s="117"/>
      <c r="G229" s="117"/>
      <c r="H229" s="117"/>
      <c r="I229" s="117"/>
      <c r="J229" s="117"/>
      <c r="K229" s="71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</row>
    <row r="230">
      <c r="A230" s="71"/>
      <c r="B230" s="117"/>
      <c r="C230" s="79"/>
      <c r="D230" s="117"/>
      <c r="E230" s="117"/>
      <c r="F230" s="117"/>
      <c r="G230" s="117"/>
      <c r="H230" s="117"/>
      <c r="I230" s="117"/>
      <c r="J230" s="117"/>
      <c r="K230" s="71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</row>
    <row r="231">
      <c r="A231" s="71"/>
      <c r="B231" s="117"/>
      <c r="C231" s="79"/>
      <c r="D231" s="117"/>
      <c r="E231" s="117"/>
      <c r="F231" s="117"/>
      <c r="G231" s="117"/>
      <c r="H231" s="117"/>
      <c r="I231" s="117"/>
      <c r="J231" s="117"/>
      <c r="K231" s="71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</row>
    <row r="232">
      <c r="A232" s="71"/>
      <c r="B232" s="117"/>
      <c r="C232" s="79"/>
      <c r="D232" s="117"/>
      <c r="E232" s="117"/>
      <c r="F232" s="117"/>
      <c r="G232" s="117"/>
      <c r="H232" s="117"/>
      <c r="I232" s="117"/>
      <c r="J232" s="117"/>
      <c r="K232" s="71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</row>
    <row r="233">
      <c r="A233" s="71"/>
      <c r="B233" s="117"/>
      <c r="C233" s="79"/>
      <c r="D233" s="117"/>
      <c r="E233" s="117"/>
      <c r="F233" s="117"/>
      <c r="G233" s="117"/>
      <c r="H233" s="117"/>
      <c r="I233" s="117"/>
      <c r="J233" s="117"/>
      <c r="K233" s="71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</row>
    <row r="234">
      <c r="A234" s="71"/>
      <c r="B234" s="117"/>
      <c r="C234" s="79"/>
      <c r="D234" s="117"/>
      <c r="E234" s="117"/>
      <c r="F234" s="117"/>
      <c r="G234" s="117"/>
      <c r="H234" s="117"/>
      <c r="I234" s="117"/>
      <c r="J234" s="117"/>
      <c r="K234" s="71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</row>
    <row r="235">
      <c r="A235" s="71"/>
      <c r="B235" s="117"/>
      <c r="C235" s="79"/>
      <c r="D235" s="117"/>
      <c r="E235" s="117"/>
      <c r="F235" s="117"/>
      <c r="G235" s="117"/>
      <c r="H235" s="117"/>
      <c r="I235" s="117"/>
      <c r="J235" s="117"/>
      <c r="K235" s="71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</row>
    <row r="236">
      <c r="A236" s="71"/>
      <c r="B236" s="117"/>
      <c r="C236" s="79"/>
      <c r="D236" s="117"/>
      <c r="E236" s="117"/>
      <c r="F236" s="117"/>
      <c r="G236" s="117"/>
      <c r="H236" s="117"/>
      <c r="I236" s="117"/>
      <c r="J236" s="117"/>
      <c r="K236" s="71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</row>
    <row r="237">
      <c r="A237" s="71"/>
      <c r="B237" s="117"/>
      <c r="C237" s="79"/>
      <c r="D237" s="117"/>
      <c r="E237" s="117"/>
      <c r="F237" s="117"/>
      <c r="G237" s="117"/>
      <c r="H237" s="117"/>
      <c r="I237" s="117"/>
      <c r="J237" s="117"/>
      <c r="K237" s="71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</row>
    <row r="238">
      <c r="A238" s="71"/>
      <c r="B238" s="117"/>
      <c r="C238" s="79"/>
      <c r="D238" s="117"/>
      <c r="E238" s="117"/>
      <c r="F238" s="117"/>
      <c r="G238" s="117"/>
      <c r="H238" s="117"/>
      <c r="I238" s="117"/>
      <c r="J238" s="117"/>
      <c r="K238" s="71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</row>
    <row r="239">
      <c r="A239" s="71"/>
      <c r="B239" s="117"/>
      <c r="C239" s="79"/>
      <c r="D239" s="117"/>
      <c r="E239" s="117"/>
      <c r="F239" s="117"/>
      <c r="G239" s="117"/>
      <c r="H239" s="117"/>
      <c r="I239" s="117"/>
      <c r="J239" s="117"/>
      <c r="K239" s="71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</row>
    <row r="240">
      <c r="A240" s="71"/>
      <c r="B240" s="117"/>
      <c r="C240" s="79"/>
      <c r="D240" s="117"/>
      <c r="E240" s="117"/>
      <c r="F240" s="117"/>
      <c r="G240" s="117"/>
      <c r="H240" s="117"/>
      <c r="I240" s="117"/>
      <c r="J240" s="117"/>
      <c r="K240" s="71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</row>
    <row r="241">
      <c r="A241" s="71"/>
      <c r="B241" s="117"/>
      <c r="C241" s="79"/>
      <c r="D241" s="117"/>
      <c r="E241" s="117"/>
      <c r="F241" s="117"/>
      <c r="G241" s="117"/>
      <c r="H241" s="117"/>
      <c r="I241" s="117"/>
      <c r="J241" s="117"/>
      <c r="K241" s="71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</row>
    <row r="242">
      <c r="A242" s="71"/>
      <c r="B242" s="117"/>
      <c r="C242" s="79"/>
      <c r="D242" s="117"/>
      <c r="E242" s="117"/>
      <c r="F242" s="117"/>
      <c r="G242" s="117"/>
      <c r="H242" s="117"/>
      <c r="I242" s="117"/>
      <c r="J242" s="117"/>
      <c r="K242" s="71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</row>
    <row r="243">
      <c r="A243" s="71"/>
      <c r="B243" s="117"/>
      <c r="C243" s="79"/>
      <c r="D243" s="117"/>
      <c r="E243" s="117"/>
      <c r="F243" s="117"/>
      <c r="G243" s="117"/>
      <c r="H243" s="117"/>
      <c r="I243" s="117"/>
      <c r="J243" s="117"/>
      <c r="K243" s="71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</row>
    <row r="244">
      <c r="A244" s="71"/>
      <c r="B244" s="117"/>
      <c r="C244" s="79"/>
      <c r="D244" s="117"/>
      <c r="E244" s="117"/>
      <c r="F244" s="117"/>
      <c r="G244" s="117"/>
      <c r="H244" s="117"/>
      <c r="I244" s="117"/>
      <c r="J244" s="117"/>
      <c r="K244" s="71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</row>
    <row r="245">
      <c r="A245" s="71"/>
      <c r="B245" s="117"/>
      <c r="C245" s="79"/>
      <c r="D245" s="117"/>
      <c r="E245" s="117"/>
      <c r="F245" s="117"/>
      <c r="G245" s="117"/>
      <c r="H245" s="117"/>
      <c r="I245" s="117"/>
      <c r="J245" s="117"/>
      <c r="K245" s="71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</row>
    <row r="246">
      <c r="A246" s="71"/>
      <c r="B246" s="117"/>
      <c r="C246" s="79"/>
      <c r="D246" s="117"/>
      <c r="E246" s="117"/>
      <c r="F246" s="117"/>
      <c r="G246" s="117"/>
      <c r="H246" s="117"/>
      <c r="I246" s="117"/>
      <c r="J246" s="117"/>
      <c r="K246" s="71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</row>
    <row r="247">
      <c r="A247" s="71"/>
      <c r="B247" s="117"/>
      <c r="C247" s="79"/>
      <c r="D247" s="117"/>
      <c r="E247" s="117"/>
      <c r="F247" s="117"/>
      <c r="G247" s="117"/>
      <c r="H247" s="117"/>
      <c r="I247" s="117"/>
      <c r="J247" s="117"/>
      <c r="K247" s="71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</row>
    <row r="248">
      <c r="A248" s="71"/>
      <c r="B248" s="117"/>
      <c r="C248" s="79"/>
      <c r="D248" s="117"/>
      <c r="E248" s="117"/>
      <c r="F248" s="117"/>
      <c r="G248" s="117"/>
      <c r="H248" s="117"/>
      <c r="I248" s="117"/>
      <c r="J248" s="117"/>
      <c r="K248" s="71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</row>
    <row r="249">
      <c r="A249" s="71"/>
      <c r="B249" s="117"/>
      <c r="C249" s="79"/>
      <c r="D249" s="117"/>
      <c r="E249" s="117"/>
      <c r="F249" s="117"/>
      <c r="G249" s="117"/>
      <c r="H249" s="117"/>
      <c r="I249" s="117"/>
      <c r="J249" s="117"/>
      <c r="K249" s="71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</row>
    <row r="250">
      <c r="A250" s="71"/>
      <c r="B250" s="117"/>
      <c r="C250" s="79"/>
      <c r="D250" s="117"/>
      <c r="E250" s="117"/>
      <c r="F250" s="117"/>
      <c r="G250" s="117"/>
      <c r="H250" s="117"/>
      <c r="I250" s="117"/>
      <c r="J250" s="117"/>
      <c r="K250" s="71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  <c r="AB250" s="117"/>
    </row>
    <row r="251">
      <c r="A251" s="71"/>
      <c r="B251" s="117"/>
      <c r="C251" s="79"/>
      <c r="D251" s="117"/>
      <c r="E251" s="117"/>
      <c r="F251" s="117"/>
      <c r="G251" s="117"/>
      <c r="H251" s="117"/>
      <c r="I251" s="117"/>
      <c r="J251" s="117"/>
      <c r="K251" s="71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</row>
    <row r="252">
      <c r="A252" s="71"/>
      <c r="B252" s="117"/>
      <c r="C252" s="79"/>
      <c r="D252" s="117"/>
      <c r="E252" s="117"/>
      <c r="F252" s="117"/>
      <c r="G252" s="117"/>
      <c r="H252" s="117"/>
      <c r="I252" s="117"/>
      <c r="J252" s="117"/>
      <c r="K252" s="71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</row>
    <row r="253">
      <c r="A253" s="71"/>
      <c r="B253" s="117"/>
      <c r="C253" s="79"/>
      <c r="D253" s="117"/>
      <c r="E253" s="117"/>
      <c r="F253" s="117"/>
      <c r="G253" s="117"/>
      <c r="H253" s="117"/>
      <c r="I253" s="117"/>
      <c r="J253" s="117"/>
      <c r="K253" s="71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</row>
    <row r="254">
      <c r="A254" s="71"/>
      <c r="B254" s="117"/>
      <c r="C254" s="79"/>
      <c r="D254" s="117"/>
      <c r="E254" s="117"/>
      <c r="F254" s="117"/>
      <c r="G254" s="117"/>
      <c r="H254" s="117"/>
      <c r="I254" s="117"/>
      <c r="J254" s="117"/>
      <c r="K254" s="71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</row>
    <row r="255">
      <c r="A255" s="71"/>
      <c r="B255" s="117"/>
      <c r="C255" s="79"/>
      <c r="D255" s="117"/>
      <c r="E255" s="117"/>
      <c r="F255" s="117"/>
      <c r="G255" s="117"/>
      <c r="H255" s="117"/>
      <c r="I255" s="117"/>
      <c r="J255" s="117"/>
      <c r="K255" s="71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</row>
    <row r="256">
      <c r="A256" s="71"/>
      <c r="B256" s="117"/>
      <c r="C256" s="79"/>
      <c r="D256" s="117"/>
      <c r="E256" s="117"/>
      <c r="F256" s="117"/>
      <c r="G256" s="117"/>
      <c r="H256" s="117"/>
      <c r="I256" s="117"/>
      <c r="J256" s="117"/>
      <c r="K256" s="71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</row>
    <row r="257">
      <c r="A257" s="71"/>
      <c r="B257" s="117"/>
      <c r="C257" s="79"/>
      <c r="D257" s="117"/>
      <c r="E257" s="117"/>
      <c r="F257" s="117"/>
      <c r="G257" s="117"/>
      <c r="H257" s="117"/>
      <c r="I257" s="117"/>
      <c r="J257" s="117"/>
      <c r="K257" s="71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</row>
    <row r="258">
      <c r="A258" s="71"/>
      <c r="B258" s="117"/>
      <c r="C258" s="79"/>
      <c r="D258" s="117"/>
      <c r="E258" s="117"/>
      <c r="F258" s="117"/>
      <c r="G258" s="117"/>
      <c r="H258" s="117"/>
      <c r="I258" s="117"/>
      <c r="J258" s="117"/>
      <c r="K258" s="71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</row>
    <row r="259">
      <c r="A259" s="71"/>
      <c r="B259" s="117"/>
      <c r="C259" s="79"/>
      <c r="D259" s="117"/>
      <c r="E259" s="117"/>
      <c r="F259" s="117"/>
      <c r="G259" s="117"/>
      <c r="H259" s="117"/>
      <c r="I259" s="117"/>
      <c r="J259" s="117"/>
      <c r="K259" s="71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</row>
    <row r="260">
      <c r="A260" s="71"/>
      <c r="B260" s="117"/>
      <c r="C260" s="79"/>
      <c r="D260" s="117"/>
      <c r="E260" s="117"/>
      <c r="F260" s="117"/>
      <c r="G260" s="117"/>
      <c r="H260" s="117"/>
      <c r="I260" s="117"/>
      <c r="J260" s="117"/>
      <c r="K260" s="71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</row>
    <row r="261">
      <c r="A261" s="71"/>
      <c r="B261" s="117"/>
      <c r="C261" s="79"/>
      <c r="D261" s="117"/>
      <c r="E261" s="117"/>
      <c r="F261" s="117"/>
      <c r="G261" s="117"/>
      <c r="H261" s="117"/>
      <c r="I261" s="117"/>
      <c r="J261" s="117"/>
      <c r="K261" s="71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  <c r="AB261" s="117"/>
    </row>
    <row r="262">
      <c r="A262" s="71"/>
      <c r="B262" s="117"/>
      <c r="C262" s="79"/>
      <c r="D262" s="117"/>
      <c r="E262" s="117"/>
      <c r="F262" s="117"/>
      <c r="G262" s="117"/>
      <c r="H262" s="117"/>
      <c r="I262" s="117"/>
      <c r="J262" s="117"/>
      <c r="K262" s="71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</row>
    <row r="263">
      <c r="A263" s="71"/>
      <c r="B263" s="117"/>
      <c r="C263" s="79"/>
      <c r="D263" s="117"/>
      <c r="E263" s="117"/>
      <c r="F263" s="117"/>
      <c r="G263" s="117"/>
      <c r="H263" s="117"/>
      <c r="I263" s="117"/>
      <c r="J263" s="117"/>
      <c r="K263" s="71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</row>
    <row r="264">
      <c r="A264" s="71"/>
      <c r="B264" s="117"/>
      <c r="C264" s="79"/>
      <c r="D264" s="117"/>
      <c r="E264" s="117"/>
      <c r="F264" s="117"/>
      <c r="G264" s="117"/>
      <c r="H264" s="117"/>
      <c r="I264" s="117"/>
      <c r="J264" s="117"/>
      <c r="K264" s="71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</row>
    <row r="265">
      <c r="A265" s="71"/>
      <c r="B265" s="117"/>
      <c r="C265" s="79"/>
      <c r="D265" s="117"/>
      <c r="E265" s="117"/>
      <c r="F265" s="117"/>
      <c r="G265" s="117"/>
      <c r="H265" s="117"/>
      <c r="I265" s="117"/>
      <c r="J265" s="117"/>
      <c r="K265" s="71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</row>
    <row r="266">
      <c r="A266" s="71"/>
      <c r="B266" s="117"/>
      <c r="C266" s="79"/>
      <c r="D266" s="117"/>
      <c r="E266" s="117"/>
      <c r="F266" s="117"/>
      <c r="G266" s="117"/>
      <c r="H266" s="117"/>
      <c r="I266" s="117"/>
      <c r="J266" s="117"/>
      <c r="K266" s="71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</row>
    <row r="267">
      <c r="A267" s="71"/>
      <c r="B267" s="117"/>
      <c r="C267" s="79"/>
      <c r="D267" s="117"/>
      <c r="E267" s="117"/>
      <c r="F267" s="117"/>
      <c r="G267" s="117"/>
      <c r="H267" s="117"/>
      <c r="I267" s="117"/>
      <c r="J267" s="117"/>
      <c r="K267" s="71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</row>
    <row r="268">
      <c r="A268" s="71"/>
      <c r="B268" s="117"/>
      <c r="C268" s="79"/>
      <c r="D268" s="117"/>
      <c r="E268" s="117"/>
      <c r="F268" s="117"/>
      <c r="G268" s="117"/>
      <c r="H268" s="117"/>
      <c r="I268" s="117"/>
      <c r="J268" s="117"/>
      <c r="K268" s="71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</row>
    <row r="269">
      <c r="A269" s="71"/>
      <c r="B269" s="117"/>
      <c r="C269" s="79"/>
      <c r="D269" s="117"/>
      <c r="E269" s="117"/>
      <c r="F269" s="117"/>
      <c r="G269" s="117"/>
      <c r="H269" s="117"/>
      <c r="I269" s="117"/>
      <c r="J269" s="117"/>
      <c r="K269" s="71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  <c r="AB269" s="117"/>
    </row>
    <row r="270">
      <c r="A270" s="71"/>
      <c r="B270" s="117"/>
      <c r="C270" s="79"/>
      <c r="D270" s="117"/>
      <c r="E270" s="117"/>
      <c r="F270" s="117"/>
      <c r="G270" s="117"/>
      <c r="H270" s="117"/>
      <c r="I270" s="117"/>
      <c r="J270" s="117"/>
      <c r="K270" s="71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</row>
    <row r="271">
      <c r="A271" s="71"/>
      <c r="B271" s="117"/>
      <c r="C271" s="79"/>
      <c r="D271" s="117"/>
      <c r="E271" s="117"/>
      <c r="F271" s="117"/>
      <c r="G271" s="117"/>
      <c r="H271" s="117"/>
      <c r="I271" s="117"/>
      <c r="J271" s="117"/>
      <c r="K271" s="71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</row>
    <row r="272">
      <c r="A272" s="71"/>
      <c r="B272" s="117"/>
      <c r="C272" s="79"/>
      <c r="D272" s="117"/>
      <c r="E272" s="117"/>
      <c r="F272" s="117"/>
      <c r="G272" s="117"/>
      <c r="H272" s="117"/>
      <c r="I272" s="117"/>
      <c r="J272" s="117"/>
      <c r="K272" s="71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</row>
    <row r="273">
      <c r="A273" s="71"/>
      <c r="B273" s="117"/>
      <c r="C273" s="79"/>
      <c r="D273" s="117"/>
      <c r="E273" s="117"/>
      <c r="F273" s="117"/>
      <c r="G273" s="117"/>
      <c r="H273" s="117"/>
      <c r="I273" s="117"/>
      <c r="J273" s="117"/>
      <c r="K273" s="71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</row>
    <row r="274">
      <c r="A274" s="71"/>
      <c r="B274" s="117"/>
      <c r="C274" s="79"/>
      <c r="D274" s="117"/>
      <c r="E274" s="117"/>
      <c r="F274" s="117"/>
      <c r="G274" s="117"/>
      <c r="H274" s="117"/>
      <c r="I274" s="117"/>
      <c r="J274" s="117"/>
      <c r="K274" s="71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</row>
    <row r="275">
      <c r="A275" s="71"/>
      <c r="B275" s="117"/>
      <c r="C275" s="79"/>
      <c r="D275" s="117"/>
      <c r="E275" s="117"/>
      <c r="F275" s="117"/>
      <c r="G275" s="117"/>
      <c r="H275" s="117"/>
      <c r="I275" s="117"/>
      <c r="J275" s="117"/>
      <c r="K275" s="71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</row>
    <row r="276">
      <c r="A276" s="71"/>
      <c r="B276" s="117"/>
      <c r="C276" s="79"/>
      <c r="D276" s="117"/>
      <c r="E276" s="117"/>
      <c r="F276" s="117"/>
      <c r="G276" s="117"/>
      <c r="H276" s="117"/>
      <c r="I276" s="117"/>
      <c r="J276" s="117"/>
      <c r="K276" s="71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</row>
    <row r="277">
      <c r="A277" s="71"/>
      <c r="B277" s="117"/>
      <c r="C277" s="79"/>
      <c r="D277" s="117"/>
      <c r="E277" s="117"/>
      <c r="F277" s="117"/>
      <c r="G277" s="117"/>
      <c r="H277" s="117"/>
      <c r="I277" s="117"/>
      <c r="J277" s="117"/>
      <c r="K277" s="71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</row>
    <row r="278">
      <c r="A278" s="71"/>
      <c r="B278" s="117"/>
      <c r="C278" s="79"/>
      <c r="D278" s="117"/>
      <c r="E278" s="117"/>
      <c r="F278" s="117"/>
      <c r="G278" s="117"/>
      <c r="H278" s="117"/>
      <c r="I278" s="117"/>
      <c r="J278" s="117"/>
      <c r="K278" s="71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17"/>
    </row>
    <row r="279">
      <c r="A279" s="71"/>
      <c r="B279" s="117"/>
      <c r="C279" s="79"/>
      <c r="D279" s="117"/>
      <c r="E279" s="117"/>
      <c r="F279" s="117"/>
      <c r="G279" s="117"/>
      <c r="H279" s="117"/>
      <c r="I279" s="117"/>
      <c r="J279" s="117"/>
      <c r="K279" s="71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</row>
    <row r="280">
      <c r="A280" s="71"/>
      <c r="B280" s="117"/>
      <c r="C280" s="79"/>
      <c r="D280" s="117"/>
      <c r="E280" s="117"/>
      <c r="F280" s="117"/>
      <c r="G280" s="117"/>
      <c r="H280" s="117"/>
      <c r="I280" s="117"/>
      <c r="J280" s="117"/>
      <c r="K280" s="71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</row>
    <row r="281">
      <c r="A281" s="71"/>
      <c r="B281" s="117"/>
      <c r="C281" s="79"/>
      <c r="D281" s="117"/>
      <c r="E281" s="117"/>
      <c r="F281" s="117"/>
      <c r="G281" s="117"/>
      <c r="H281" s="117"/>
      <c r="I281" s="117"/>
      <c r="J281" s="117"/>
      <c r="K281" s="71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</row>
    <row r="282">
      <c r="A282" s="71"/>
      <c r="B282" s="117"/>
      <c r="C282" s="79"/>
      <c r="D282" s="117"/>
      <c r="E282" s="117"/>
      <c r="F282" s="117"/>
      <c r="G282" s="117"/>
      <c r="H282" s="117"/>
      <c r="I282" s="117"/>
      <c r="J282" s="117"/>
      <c r="K282" s="71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</row>
    <row r="283">
      <c r="A283" s="71"/>
      <c r="B283" s="117"/>
      <c r="C283" s="79"/>
      <c r="D283" s="117"/>
      <c r="E283" s="117"/>
      <c r="F283" s="117"/>
      <c r="G283" s="117"/>
      <c r="H283" s="117"/>
      <c r="I283" s="117"/>
      <c r="J283" s="117"/>
      <c r="K283" s="71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</row>
    <row r="284">
      <c r="A284" s="71"/>
      <c r="B284" s="117"/>
      <c r="C284" s="79"/>
      <c r="D284" s="117"/>
      <c r="E284" s="117"/>
      <c r="F284" s="117"/>
      <c r="G284" s="117"/>
      <c r="H284" s="117"/>
      <c r="I284" s="117"/>
      <c r="J284" s="117"/>
      <c r="K284" s="71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</row>
    <row r="285">
      <c r="A285" s="71"/>
      <c r="B285" s="117"/>
      <c r="C285" s="79"/>
      <c r="D285" s="117"/>
      <c r="E285" s="117"/>
      <c r="F285" s="117"/>
      <c r="G285" s="117"/>
      <c r="H285" s="117"/>
      <c r="I285" s="117"/>
      <c r="J285" s="117"/>
      <c r="K285" s="71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</row>
    <row r="286">
      <c r="A286" s="71"/>
      <c r="B286" s="117"/>
      <c r="C286" s="79"/>
      <c r="D286" s="117"/>
      <c r="E286" s="117"/>
      <c r="F286" s="117"/>
      <c r="G286" s="117"/>
      <c r="H286" s="117"/>
      <c r="I286" s="117"/>
      <c r="J286" s="117"/>
      <c r="K286" s="71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</row>
    <row r="287">
      <c r="A287" s="71"/>
      <c r="B287" s="117"/>
      <c r="C287" s="79"/>
      <c r="D287" s="117"/>
      <c r="E287" s="117"/>
      <c r="F287" s="117"/>
      <c r="G287" s="117"/>
      <c r="H287" s="117"/>
      <c r="I287" s="117"/>
      <c r="J287" s="117"/>
      <c r="K287" s="71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</row>
    <row r="288">
      <c r="A288" s="71"/>
      <c r="B288" s="117"/>
      <c r="C288" s="79"/>
      <c r="D288" s="117"/>
      <c r="E288" s="117"/>
      <c r="F288" s="117"/>
      <c r="G288" s="117"/>
      <c r="H288" s="117"/>
      <c r="I288" s="117"/>
      <c r="J288" s="117"/>
      <c r="K288" s="71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</row>
    <row r="289">
      <c r="A289" s="71"/>
      <c r="B289" s="117"/>
      <c r="C289" s="79"/>
      <c r="D289" s="117"/>
      <c r="E289" s="117"/>
      <c r="F289" s="117"/>
      <c r="G289" s="117"/>
      <c r="H289" s="117"/>
      <c r="I289" s="117"/>
      <c r="J289" s="117"/>
      <c r="K289" s="71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</row>
    <row r="290">
      <c r="A290" s="71"/>
      <c r="B290" s="117"/>
      <c r="C290" s="79"/>
      <c r="D290" s="117"/>
      <c r="E290" s="117"/>
      <c r="F290" s="117"/>
      <c r="G290" s="117"/>
      <c r="H290" s="117"/>
      <c r="I290" s="117"/>
      <c r="J290" s="117"/>
      <c r="K290" s="71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</row>
    <row r="291">
      <c r="A291" s="71"/>
      <c r="B291" s="117"/>
      <c r="C291" s="79"/>
      <c r="D291" s="117"/>
      <c r="E291" s="117"/>
      <c r="F291" s="117"/>
      <c r="G291" s="117"/>
      <c r="H291" s="117"/>
      <c r="I291" s="117"/>
      <c r="J291" s="117"/>
      <c r="K291" s="71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</row>
    <row r="292">
      <c r="A292" s="71"/>
      <c r="B292" s="117"/>
      <c r="C292" s="79"/>
      <c r="D292" s="117"/>
      <c r="E292" s="117"/>
      <c r="F292" s="117"/>
      <c r="G292" s="117"/>
      <c r="H292" s="117"/>
      <c r="I292" s="117"/>
      <c r="J292" s="117"/>
      <c r="K292" s="71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  <c r="AB292" s="117"/>
    </row>
    <row r="293">
      <c r="A293" s="71"/>
      <c r="B293" s="117"/>
      <c r="C293" s="79"/>
      <c r="D293" s="117"/>
      <c r="E293" s="117"/>
      <c r="F293" s="117"/>
      <c r="G293" s="117"/>
      <c r="H293" s="117"/>
      <c r="I293" s="117"/>
      <c r="J293" s="117"/>
      <c r="K293" s="71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</row>
    <row r="294">
      <c r="A294" s="71"/>
      <c r="B294" s="117"/>
      <c r="C294" s="79"/>
      <c r="D294" s="117"/>
      <c r="E294" s="117"/>
      <c r="F294" s="117"/>
      <c r="G294" s="117"/>
      <c r="H294" s="117"/>
      <c r="I294" s="117"/>
      <c r="J294" s="117"/>
      <c r="K294" s="71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</row>
    <row r="295">
      <c r="A295" s="71"/>
      <c r="B295" s="117"/>
      <c r="C295" s="79"/>
      <c r="D295" s="117"/>
      <c r="E295" s="117"/>
      <c r="F295" s="117"/>
      <c r="G295" s="117"/>
      <c r="H295" s="117"/>
      <c r="I295" s="117"/>
      <c r="J295" s="117"/>
      <c r="K295" s="71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</row>
    <row r="296">
      <c r="A296" s="71"/>
      <c r="B296" s="117"/>
      <c r="C296" s="79"/>
      <c r="D296" s="117"/>
      <c r="E296" s="117"/>
      <c r="F296" s="117"/>
      <c r="G296" s="117"/>
      <c r="H296" s="117"/>
      <c r="I296" s="117"/>
      <c r="J296" s="117"/>
      <c r="K296" s="71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</row>
    <row r="297">
      <c r="A297" s="71"/>
      <c r="B297" s="117"/>
      <c r="C297" s="79"/>
      <c r="D297" s="117"/>
      <c r="E297" s="117"/>
      <c r="F297" s="117"/>
      <c r="G297" s="117"/>
      <c r="H297" s="117"/>
      <c r="I297" s="117"/>
      <c r="J297" s="117"/>
      <c r="K297" s="71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</row>
    <row r="298">
      <c r="A298" s="71"/>
      <c r="B298" s="117"/>
      <c r="C298" s="79"/>
      <c r="D298" s="117"/>
      <c r="E298" s="117"/>
      <c r="F298" s="117"/>
      <c r="G298" s="117"/>
      <c r="H298" s="117"/>
      <c r="I298" s="117"/>
      <c r="J298" s="117"/>
      <c r="K298" s="71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</row>
    <row r="299">
      <c r="A299" s="71"/>
      <c r="B299" s="117"/>
      <c r="C299" s="79"/>
      <c r="D299" s="117"/>
      <c r="E299" s="117"/>
      <c r="F299" s="117"/>
      <c r="G299" s="117"/>
      <c r="H299" s="117"/>
      <c r="I299" s="117"/>
      <c r="J299" s="117"/>
      <c r="K299" s="71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</row>
    <row r="300">
      <c r="A300" s="71"/>
      <c r="B300" s="117"/>
      <c r="C300" s="79"/>
      <c r="D300" s="117"/>
      <c r="E300" s="117"/>
      <c r="F300" s="117"/>
      <c r="G300" s="117"/>
      <c r="H300" s="117"/>
      <c r="I300" s="117"/>
      <c r="J300" s="117"/>
      <c r="K300" s="71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</row>
    <row r="301">
      <c r="A301" s="71"/>
      <c r="B301" s="117"/>
      <c r="C301" s="79"/>
      <c r="D301" s="117"/>
      <c r="E301" s="117"/>
      <c r="F301" s="117"/>
      <c r="G301" s="117"/>
      <c r="H301" s="117"/>
      <c r="I301" s="117"/>
      <c r="J301" s="117"/>
      <c r="K301" s="71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</row>
    <row r="302">
      <c r="A302" s="71"/>
      <c r="B302" s="117"/>
      <c r="C302" s="79"/>
      <c r="D302" s="117"/>
      <c r="E302" s="117"/>
      <c r="F302" s="117"/>
      <c r="G302" s="117"/>
      <c r="H302" s="117"/>
      <c r="I302" s="117"/>
      <c r="J302" s="117"/>
      <c r="K302" s="71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</row>
    <row r="303">
      <c r="A303" s="71"/>
      <c r="B303" s="117"/>
      <c r="C303" s="79"/>
      <c r="D303" s="117"/>
      <c r="E303" s="117"/>
      <c r="F303" s="117"/>
      <c r="G303" s="117"/>
      <c r="H303" s="117"/>
      <c r="I303" s="117"/>
      <c r="J303" s="117"/>
      <c r="K303" s="71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</row>
    <row r="304">
      <c r="A304" s="71"/>
      <c r="B304" s="117"/>
      <c r="C304" s="79"/>
      <c r="D304" s="117"/>
      <c r="E304" s="117"/>
      <c r="F304" s="117"/>
      <c r="G304" s="117"/>
      <c r="H304" s="117"/>
      <c r="I304" s="117"/>
      <c r="J304" s="117"/>
      <c r="K304" s="71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</row>
    <row r="305">
      <c r="A305" s="71"/>
      <c r="B305" s="117"/>
      <c r="C305" s="79"/>
      <c r="D305" s="117"/>
      <c r="E305" s="117"/>
      <c r="F305" s="117"/>
      <c r="G305" s="117"/>
      <c r="H305" s="117"/>
      <c r="I305" s="117"/>
      <c r="J305" s="117"/>
      <c r="K305" s="71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</row>
    <row r="306">
      <c r="A306" s="71"/>
      <c r="B306" s="117"/>
      <c r="C306" s="79"/>
      <c r="D306" s="117"/>
      <c r="E306" s="117"/>
      <c r="F306" s="117"/>
      <c r="G306" s="117"/>
      <c r="H306" s="117"/>
      <c r="I306" s="117"/>
      <c r="J306" s="117"/>
      <c r="K306" s="71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</row>
    <row r="307">
      <c r="A307" s="71"/>
      <c r="B307" s="117"/>
      <c r="C307" s="79"/>
      <c r="D307" s="117"/>
      <c r="E307" s="117"/>
      <c r="F307" s="117"/>
      <c r="G307" s="117"/>
      <c r="H307" s="117"/>
      <c r="I307" s="117"/>
      <c r="J307" s="117"/>
      <c r="K307" s="71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  <c r="AB307" s="117"/>
    </row>
    <row r="308">
      <c r="A308" s="71"/>
      <c r="B308" s="117"/>
      <c r="C308" s="79"/>
      <c r="D308" s="117"/>
      <c r="E308" s="117"/>
      <c r="F308" s="117"/>
      <c r="G308" s="117"/>
      <c r="H308" s="117"/>
      <c r="I308" s="117"/>
      <c r="J308" s="117"/>
      <c r="K308" s="71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</row>
    <row r="309">
      <c r="A309" s="71"/>
      <c r="B309" s="117"/>
      <c r="C309" s="79"/>
      <c r="D309" s="117"/>
      <c r="E309" s="117"/>
      <c r="F309" s="117"/>
      <c r="G309" s="117"/>
      <c r="H309" s="117"/>
      <c r="I309" s="117"/>
      <c r="J309" s="117"/>
      <c r="K309" s="71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</row>
    <row r="310">
      <c r="A310" s="71"/>
      <c r="B310" s="117"/>
      <c r="C310" s="79"/>
      <c r="D310" s="117"/>
      <c r="E310" s="117"/>
      <c r="F310" s="117"/>
      <c r="G310" s="117"/>
      <c r="H310" s="117"/>
      <c r="I310" s="117"/>
      <c r="J310" s="117"/>
      <c r="K310" s="71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</row>
    <row r="311">
      <c r="A311" s="71"/>
      <c r="B311" s="117"/>
      <c r="C311" s="79"/>
      <c r="D311" s="117"/>
      <c r="E311" s="117"/>
      <c r="F311" s="117"/>
      <c r="G311" s="117"/>
      <c r="H311" s="117"/>
      <c r="I311" s="117"/>
      <c r="J311" s="117"/>
      <c r="K311" s="71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</row>
    <row r="312">
      <c r="A312" s="71"/>
      <c r="B312" s="117"/>
      <c r="C312" s="79"/>
      <c r="D312" s="117"/>
      <c r="E312" s="117"/>
      <c r="F312" s="117"/>
      <c r="G312" s="117"/>
      <c r="H312" s="117"/>
      <c r="I312" s="117"/>
      <c r="J312" s="117"/>
      <c r="K312" s="71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</row>
    <row r="313">
      <c r="A313" s="71"/>
      <c r="B313" s="117"/>
      <c r="C313" s="79"/>
      <c r="D313" s="117"/>
      <c r="E313" s="117"/>
      <c r="F313" s="117"/>
      <c r="G313" s="117"/>
      <c r="H313" s="117"/>
      <c r="I313" s="117"/>
      <c r="J313" s="117"/>
      <c r="K313" s="71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</row>
    <row r="314">
      <c r="A314" s="71"/>
      <c r="B314" s="117"/>
      <c r="C314" s="79"/>
      <c r="D314" s="117"/>
      <c r="E314" s="117"/>
      <c r="F314" s="117"/>
      <c r="G314" s="117"/>
      <c r="H314" s="117"/>
      <c r="I314" s="117"/>
      <c r="J314" s="117"/>
      <c r="K314" s="71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</row>
    <row r="315">
      <c r="A315" s="71"/>
      <c r="B315" s="117"/>
      <c r="C315" s="79"/>
      <c r="D315" s="117"/>
      <c r="E315" s="117"/>
      <c r="F315" s="117"/>
      <c r="G315" s="117"/>
      <c r="H315" s="117"/>
      <c r="I315" s="117"/>
      <c r="J315" s="117"/>
      <c r="K315" s="71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</row>
    <row r="316">
      <c r="A316" s="71"/>
      <c r="B316" s="117"/>
      <c r="C316" s="79"/>
      <c r="D316" s="117"/>
      <c r="E316" s="117"/>
      <c r="F316" s="117"/>
      <c r="G316" s="117"/>
      <c r="H316" s="117"/>
      <c r="I316" s="117"/>
      <c r="J316" s="117"/>
      <c r="K316" s="71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  <c r="AB316" s="117"/>
    </row>
    <row r="317">
      <c r="A317" s="71"/>
      <c r="B317" s="117"/>
      <c r="C317" s="79"/>
      <c r="D317" s="117"/>
      <c r="E317" s="117"/>
      <c r="F317" s="117"/>
      <c r="G317" s="117"/>
      <c r="H317" s="117"/>
      <c r="I317" s="117"/>
      <c r="J317" s="117"/>
      <c r="K317" s="71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</row>
    <row r="318">
      <c r="A318" s="71"/>
      <c r="B318" s="117"/>
      <c r="C318" s="79"/>
      <c r="D318" s="117"/>
      <c r="E318" s="117"/>
      <c r="F318" s="117"/>
      <c r="G318" s="117"/>
      <c r="H318" s="117"/>
      <c r="I318" s="117"/>
      <c r="J318" s="117"/>
      <c r="K318" s="71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</row>
    <row r="319">
      <c r="A319" s="71"/>
      <c r="B319" s="117"/>
      <c r="C319" s="79"/>
      <c r="D319" s="117"/>
      <c r="E319" s="117"/>
      <c r="F319" s="117"/>
      <c r="G319" s="117"/>
      <c r="H319" s="117"/>
      <c r="I319" s="117"/>
      <c r="J319" s="117"/>
      <c r="K319" s="71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</row>
    <row r="320">
      <c r="A320" s="71"/>
      <c r="B320" s="117"/>
      <c r="C320" s="79"/>
      <c r="D320" s="117"/>
      <c r="E320" s="117"/>
      <c r="F320" s="117"/>
      <c r="G320" s="117"/>
      <c r="H320" s="117"/>
      <c r="I320" s="117"/>
      <c r="J320" s="117"/>
      <c r="K320" s="71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</row>
    <row r="321">
      <c r="A321" s="71"/>
      <c r="B321" s="117"/>
      <c r="C321" s="79"/>
      <c r="D321" s="117"/>
      <c r="E321" s="117"/>
      <c r="F321" s="117"/>
      <c r="G321" s="117"/>
      <c r="H321" s="117"/>
      <c r="I321" s="117"/>
      <c r="J321" s="117"/>
      <c r="K321" s="71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</row>
    <row r="322">
      <c r="A322" s="71"/>
      <c r="B322" s="117"/>
      <c r="C322" s="79"/>
      <c r="D322" s="117"/>
      <c r="E322" s="117"/>
      <c r="F322" s="117"/>
      <c r="G322" s="117"/>
      <c r="H322" s="117"/>
      <c r="I322" s="117"/>
      <c r="J322" s="117"/>
      <c r="K322" s="71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</row>
    <row r="323">
      <c r="A323" s="71"/>
      <c r="B323" s="117"/>
      <c r="C323" s="79"/>
      <c r="D323" s="117"/>
      <c r="E323" s="117"/>
      <c r="F323" s="117"/>
      <c r="G323" s="117"/>
      <c r="H323" s="117"/>
      <c r="I323" s="117"/>
      <c r="J323" s="117"/>
      <c r="K323" s="71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</row>
    <row r="324">
      <c r="A324" s="71"/>
      <c r="B324" s="117"/>
      <c r="C324" s="79"/>
      <c r="D324" s="117"/>
      <c r="E324" s="117"/>
      <c r="F324" s="117"/>
      <c r="G324" s="117"/>
      <c r="H324" s="117"/>
      <c r="I324" s="117"/>
      <c r="J324" s="117"/>
      <c r="K324" s="71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</row>
    <row r="325">
      <c r="A325" s="71"/>
      <c r="B325" s="117"/>
      <c r="C325" s="79"/>
      <c r="D325" s="117"/>
      <c r="E325" s="117"/>
      <c r="F325" s="117"/>
      <c r="G325" s="117"/>
      <c r="H325" s="117"/>
      <c r="I325" s="117"/>
      <c r="J325" s="117"/>
      <c r="K325" s="71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</row>
    <row r="326">
      <c r="A326" s="71"/>
      <c r="B326" s="117"/>
      <c r="C326" s="79"/>
      <c r="D326" s="117"/>
      <c r="E326" s="117"/>
      <c r="F326" s="117"/>
      <c r="G326" s="117"/>
      <c r="H326" s="117"/>
      <c r="I326" s="117"/>
      <c r="J326" s="117"/>
      <c r="K326" s="71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</row>
    <row r="327">
      <c r="A327" s="71"/>
      <c r="B327" s="117"/>
      <c r="C327" s="79"/>
      <c r="D327" s="117"/>
      <c r="E327" s="117"/>
      <c r="F327" s="117"/>
      <c r="G327" s="117"/>
      <c r="H327" s="117"/>
      <c r="I327" s="117"/>
      <c r="J327" s="117"/>
      <c r="K327" s="71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</row>
    <row r="328">
      <c r="A328" s="71"/>
      <c r="B328" s="117"/>
      <c r="C328" s="79"/>
      <c r="D328" s="117"/>
      <c r="E328" s="117"/>
      <c r="F328" s="117"/>
      <c r="G328" s="117"/>
      <c r="H328" s="117"/>
      <c r="I328" s="117"/>
      <c r="J328" s="117"/>
      <c r="K328" s="71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  <c r="AB328" s="117"/>
    </row>
    <row r="329">
      <c r="A329" s="71"/>
      <c r="B329" s="117"/>
      <c r="C329" s="79"/>
      <c r="D329" s="117"/>
      <c r="E329" s="117"/>
      <c r="F329" s="117"/>
      <c r="G329" s="117"/>
      <c r="H329" s="117"/>
      <c r="I329" s="117"/>
      <c r="J329" s="117"/>
      <c r="K329" s="71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</row>
    <row r="330">
      <c r="A330" s="71"/>
      <c r="B330" s="117"/>
      <c r="C330" s="79"/>
      <c r="D330" s="117"/>
      <c r="E330" s="117"/>
      <c r="F330" s="117"/>
      <c r="G330" s="117"/>
      <c r="H330" s="117"/>
      <c r="I330" s="117"/>
      <c r="J330" s="117"/>
      <c r="K330" s="71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</row>
    <row r="331">
      <c r="A331" s="71"/>
      <c r="B331" s="117"/>
      <c r="C331" s="79"/>
      <c r="D331" s="117"/>
      <c r="E331" s="117"/>
      <c r="F331" s="117"/>
      <c r="G331" s="117"/>
      <c r="H331" s="117"/>
      <c r="I331" s="117"/>
      <c r="J331" s="117"/>
      <c r="K331" s="71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  <c r="AB331" s="117"/>
    </row>
    <row r="332">
      <c r="A332" s="71"/>
      <c r="B332" s="117"/>
      <c r="C332" s="79"/>
      <c r="D332" s="117"/>
      <c r="E332" s="117"/>
      <c r="F332" s="117"/>
      <c r="G332" s="117"/>
      <c r="H332" s="117"/>
      <c r="I332" s="117"/>
      <c r="J332" s="117"/>
      <c r="K332" s="71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</row>
    <row r="333">
      <c r="A333" s="71"/>
      <c r="B333" s="117"/>
      <c r="C333" s="79"/>
      <c r="D333" s="117"/>
      <c r="E333" s="117"/>
      <c r="F333" s="117"/>
      <c r="G333" s="117"/>
      <c r="H333" s="117"/>
      <c r="I333" s="117"/>
      <c r="J333" s="117"/>
      <c r="K333" s="71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</row>
    <row r="334">
      <c r="A334" s="71"/>
      <c r="B334" s="117"/>
      <c r="C334" s="79"/>
      <c r="D334" s="117"/>
      <c r="E334" s="117"/>
      <c r="F334" s="117"/>
      <c r="G334" s="117"/>
      <c r="H334" s="117"/>
      <c r="I334" s="117"/>
      <c r="J334" s="117"/>
      <c r="K334" s="71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  <c r="AB334" s="117"/>
    </row>
    <row r="335">
      <c r="A335" s="71"/>
      <c r="B335" s="117"/>
      <c r="C335" s="79"/>
      <c r="D335" s="117"/>
      <c r="E335" s="117"/>
      <c r="F335" s="117"/>
      <c r="G335" s="117"/>
      <c r="H335" s="117"/>
      <c r="I335" s="117"/>
      <c r="J335" s="117"/>
      <c r="K335" s="71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  <c r="AB335" s="117"/>
    </row>
    <row r="336">
      <c r="A336" s="71"/>
      <c r="B336" s="117"/>
      <c r="C336" s="79"/>
      <c r="D336" s="117"/>
      <c r="E336" s="117"/>
      <c r="F336" s="117"/>
      <c r="G336" s="117"/>
      <c r="H336" s="117"/>
      <c r="I336" s="117"/>
      <c r="J336" s="117"/>
      <c r="K336" s="71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  <c r="AB336" s="117"/>
    </row>
    <row r="337">
      <c r="A337" s="71"/>
      <c r="B337" s="117"/>
      <c r="C337" s="79"/>
      <c r="D337" s="117"/>
      <c r="E337" s="117"/>
      <c r="F337" s="117"/>
      <c r="G337" s="117"/>
      <c r="H337" s="117"/>
      <c r="I337" s="117"/>
      <c r="J337" s="117"/>
      <c r="K337" s="71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</row>
    <row r="338">
      <c r="A338" s="71"/>
      <c r="B338" s="117"/>
      <c r="C338" s="79"/>
      <c r="D338" s="117"/>
      <c r="E338" s="117"/>
      <c r="F338" s="117"/>
      <c r="G338" s="117"/>
      <c r="H338" s="117"/>
      <c r="I338" s="117"/>
      <c r="J338" s="117"/>
      <c r="K338" s="71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</row>
    <row r="339">
      <c r="A339" s="71"/>
      <c r="B339" s="117"/>
      <c r="C339" s="79"/>
      <c r="D339" s="117"/>
      <c r="E339" s="117"/>
      <c r="F339" s="117"/>
      <c r="G339" s="117"/>
      <c r="H339" s="117"/>
      <c r="I339" s="117"/>
      <c r="J339" s="117"/>
      <c r="K339" s="71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</row>
    <row r="340">
      <c r="A340" s="71"/>
      <c r="B340" s="117"/>
      <c r="C340" s="79"/>
      <c r="D340" s="117"/>
      <c r="E340" s="117"/>
      <c r="F340" s="117"/>
      <c r="G340" s="117"/>
      <c r="H340" s="117"/>
      <c r="I340" s="117"/>
      <c r="J340" s="117"/>
      <c r="K340" s="71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  <c r="AB340" s="117"/>
    </row>
    <row r="341">
      <c r="A341" s="71"/>
      <c r="B341" s="117"/>
      <c r="C341" s="79"/>
      <c r="D341" s="117"/>
      <c r="E341" s="117"/>
      <c r="F341" s="117"/>
      <c r="G341" s="117"/>
      <c r="H341" s="117"/>
      <c r="I341" s="117"/>
      <c r="J341" s="117"/>
      <c r="K341" s="71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  <c r="AB341" s="117"/>
    </row>
    <row r="342">
      <c r="A342" s="71"/>
      <c r="B342" s="117"/>
      <c r="C342" s="79"/>
      <c r="D342" s="117"/>
      <c r="E342" s="117"/>
      <c r="F342" s="117"/>
      <c r="G342" s="117"/>
      <c r="H342" s="117"/>
      <c r="I342" s="117"/>
      <c r="J342" s="117"/>
      <c r="K342" s="71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  <c r="AB342" s="117"/>
    </row>
    <row r="343">
      <c r="A343" s="71"/>
      <c r="B343" s="117"/>
      <c r="C343" s="79"/>
      <c r="D343" s="117"/>
      <c r="E343" s="117"/>
      <c r="F343" s="117"/>
      <c r="G343" s="117"/>
      <c r="H343" s="117"/>
      <c r="I343" s="117"/>
      <c r="J343" s="117"/>
      <c r="K343" s="71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  <c r="AB343" s="117"/>
    </row>
    <row r="344">
      <c r="A344" s="71"/>
      <c r="B344" s="117"/>
      <c r="C344" s="79"/>
      <c r="D344" s="117"/>
      <c r="E344" s="117"/>
      <c r="F344" s="117"/>
      <c r="G344" s="117"/>
      <c r="H344" s="117"/>
      <c r="I344" s="117"/>
      <c r="J344" s="117"/>
      <c r="K344" s="71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  <c r="AB344" s="117"/>
    </row>
    <row r="345">
      <c r="A345" s="71"/>
      <c r="B345" s="117"/>
      <c r="C345" s="79"/>
      <c r="D345" s="117"/>
      <c r="E345" s="117"/>
      <c r="F345" s="117"/>
      <c r="G345" s="117"/>
      <c r="H345" s="117"/>
      <c r="I345" s="117"/>
      <c r="J345" s="117"/>
      <c r="K345" s="71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  <c r="AB345" s="117"/>
    </row>
    <row r="346">
      <c r="A346" s="71"/>
      <c r="B346" s="117"/>
      <c r="C346" s="79"/>
      <c r="D346" s="117"/>
      <c r="E346" s="117"/>
      <c r="F346" s="117"/>
      <c r="G346" s="117"/>
      <c r="H346" s="117"/>
      <c r="I346" s="117"/>
      <c r="J346" s="117"/>
      <c r="K346" s="71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/>
    </row>
    <row r="347">
      <c r="A347" s="71"/>
      <c r="B347" s="117"/>
      <c r="C347" s="79"/>
      <c r="D347" s="117"/>
      <c r="E347" s="117"/>
      <c r="F347" s="117"/>
      <c r="G347" s="117"/>
      <c r="H347" s="117"/>
      <c r="I347" s="117"/>
      <c r="J347" s="117"/>
      <c r="K347" s="71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  <c r="AB347" s="117"/>
    </row>
    <row r="348">
      <c r="A348" s="71"/>
      <c r="B348" s="117"/>
      <c r="C348" s="79"/>
      <c r="D348" s="117"/>
      <c r="E348" s="117"/>
      <c r="F348" s="117"/>
      <c r="G348" s="117"/>
      <c r="H348" s="117"/>
      <c r="I348" s="117"/>
      <c r="J348" s="117"/>
      <c r="K348" s="71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  <c r="AB348" s="117"/>
    </row>
    <row r="349">
      <c r="A349" s="71"/>
      <c r="B349" s="117"/>
      <c r="C349" s="79"/>
      <c r="D349" s="117"/>
      <c r="E349" s="117"/>
      <c r="F349" s="117"/>
      <c r="G349" s="117"/>
      <c r="H349" s="117"/>
      <c r="I349" s="117"/>
      <c r="J349" s="117"/>
      <c r="K349" s="71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  <c r="AB349" s="117"/>
    </row>
    <row r="350">
      <c r="A350" s="71"/>
      <c r="B350" s="117"/>
      <c r="C350" s="79"/>
      <c r="D350" s="117"/>
      <c r="E350" s="117"/>
      <c r="F350" s="117"/>
      <c r="G350" s="117"/>
      <c r="H350" s="117"/>
      <c r="I350" s="117"/>
      <c r="J350" s="117"/>
      <c r="K350" s="71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</row>
    <row r="351">
      <c r="A351" s="71"/>
      <c r="B351" s="117"/>
      <c r="C351" s="79"/>
      <c r="D351" s="117"/>
      <c r="E351" s="117"/>
      <c r="F351" s="117"/>
      <c r="G351" s="117"/>
      <c r="H351" s="117"/>
      <c r="I351" s="117"/>
      <c r="J351" s="117"/>
      <c r="K351" s="71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</row>
    <row r="352">
      <c r="A352" s="71"/>
      <c r="B352" s="117"/>
      <c r="C352" s="79"/>
      <c r="D352" s="117"/>
      <c r="E352" s="117"/>
      <c r="F352" s="117"/>
      <c r="G352" s="117"/>
      <c r="H352" s="117"/>
      <c r="I352" s="117"/>
      <c r="J352" s="117"/>
      <c r="K352" s="71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  <c r="AB352" s="117"/>
    </row>
    <row r="353">
      <c r="A353" s="71"/>
      <c r="B353" s="117"/>
      <c r="C353" s="79"/>
      <c r="D353" s="117"/>
      <c r="E353" s="117"/>
      <c r="F353" s="117"/>
      <c r="G353" s="117"/>
      <c r="H353" s="117"/>
      <c r="I353" s="117"/>
      <c r="J353" s="117"/>
      <c r="K353" s="71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</row>
    <row r="354">
      <c r="A354" s="71"/>
      <c r="B354" s="117"/>
      <c r="C354" s="79"/>
      <c r="D354" s="117"/>
      <c r="E354" s="117"/>
      <c r="F354" s="117"/>
      <c r="G354" s="117"/>
      <c r="H354" s="117"/>
      <c r="I354" s="117"/>
      <c r="J354" s="117"/>
      <c r="K354" s="71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  <c r="AB354" s="117"/>
    </row>
    <row r="355">
      <c r="A355" s="71"/>
      <c r="B355" s="117"/>
      <c r="C355" s="79"/>
      <c r="D355" s="117"/>
      <c r="E355" s="117"/>
      <c r="F355" s="117"/>
      <c r="G355" s="117"/>
      <c r="H355" s="117"/>
      <c r="I355" s="117"/>
      <c r="J355" s="117"/>
      <c r="K355" s="71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  <c r="AB355" s="117"/>
    </row>
    <row r="356">
      <c r="A356" s="71"/>
      <c r="B356" s="117"/>
      <c r="C356" s="79"/>
      <c r="D356" s="117"/>
      <c r="E356" s="117"/>
      <c r="F356" s="117"/>
      <c r="G356" s="117"/>
      <c r="H356" s="117"/>
      <c r="I356" s="117"/>
      <c r="J356" s="117"/>
      <c r="K356" s="71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  <c r="AB356" s="117"/>
    </row>
    <row r="357">
      <c r="A357" s="71"/>
      <c r="B357" s="117"/>
      <c r="C357" s="79"/>
      <c r="D357" s="117"/>
      <c r="E357" s="117"/>
      <c r="F357" s="117"/>
      <c r="G357" s="117"/>
      <c r="H357" s="117"/>
      <c r="I357" s="117"/>
      <c r="J357" s="117"/>
      <c r="K357" s="71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  <c r="AB357" s="117"/>
    </row>
    <row r="358">
      <c r="A358" s="71"/>
      <c r="B358" s="117"/>
      <c r="C358" s="79"/>
      <c r="D358" s="117"/>
      <c r="E358" s="117"/>
      <c r="F358" s="117"/>
      <c r="G358" s="117"/>
      <c r="H358" s="117"/>
      <c r="I358" s="117"/>
      <c r="J358" s="117"/>
      <c r="K358" s="71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  <c r="AB358" s="117"/>
    </row>
    <row r="359">
      <c r="A359" s="71"/>
      <c r="B359" s="117"/>
      <c r="C359" s="79"/>
      <c r="D359" s="117"/>
      <c r="E359" s="117"/>
      <c r="F359" s="117"/>
      <c r="G359" s="117"/>
      <c r="H359" s="117"/>
      <c r="I359" s="117"/>
      <c r="J359" s="117"/>
      <c r="K359" s="71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  <c r="AB359" s="117"/>
    </row>
    <row r="360">
      <c r="A360" s="71"/>
      <c r="B360" s="117"/>
      <c r="C360" s="79"/>
      <c r="D360" s="117"/>
      <c r="E360" s="117"/>
      <c r="F360" s="117"/>
      <c r="G360" s="117"/>
      <c r="H360" s="117"/>
      <c r="I360" s="117"/>
      <c r="J360" s="117"/>
      <c r="K360" s="71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  <c r="AB360" s="117"/>
    </row>
    <row r="361">
      <c r="A361" s="71"/>
      <c r="B361" s="117"/>
      <c r="C361" s="79"/>
      <c r="D361" s="117"/>
      <c r="E361" s="117"/>
      <c r="F361" s="117"/>
      <c r="G361" s="117"/>
      <c r="H361" s="117"/>
      <c r="I361" s="117"/>
      <c r="J361" s="117"/>
      <c r="K361" s="71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</row>
    <row r="362">
      <c r="A362" s="71"/>
      <c r="B362" s="117"/>
      <c r="C362" s="79"/>
      <c r="D362" s="117"/>
      <c r="E362" s="117"/>
      <c r="F362" s="117"/>
      <c r="G362" s="117"/>
      <c r="H362" s="117"/>
      <c r="I362" s="117"/>
      <c r="J362" s="117"/>
      <c r="K362" s="71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  <c r="AB362" s="117"/>
    </row>
    <row r="363">
      <c r="A363" s="71"/>
      <c r="B363" s="117"/>
      <c r="C363" s="79"/>
      <c r="D363" s="117"/>
      <c r="E363" s="117"/>
      <c r="F363" s="117"/>
      <c r="G363" s="117"/>
      <c r="H363" s="117"/>
      <c r="I363" s="117"/>
      <c r="J363" s="117"/>
      <c r="K363" s="71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</row>
    <row r="364">
      <c r="A364" s="71"/>
      <c r="B364" s="117"/>
      <c r="C364" s="79"/>
      <c r="D364" s="117"/>
      <c r="E364" s="117"/>
      <c r="F364" s="117"/>
      <c r="G364" s="117"/>
      <c r="H364" s="117"/>
      <c r="I364" s="117"/>
      <c r="J364" s="117"/>
      <c r="K364" s="71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  <c r="AB364" s="117"/>
    </row>
    <row r="365">
      <c r="A365" s="71"/>
      <c r="B365" s="117"/>
      <c r="C365" s="79"/>
      <c r="D365" s="117"/>
      <c r="E365" s="117"/>
      <c r="F365" s="117"/>
      <c r="G365" s="117"/>
      <c r="H365" s="117"/>
      <c r="I365" s="117"/>
      <c r="J365" s="117"/>
      <c r="K365" s="71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  <c r="AB365" s="117"/>
    </row>
    <row r="366">
      <c r="A366" s="71"/>
      <c r="B366" s="117"/>
      <c r="C366" s="79"/>
      <c r="D366" s="117"/>
      <c r="E366" s="117"/>
      <c r="F366" s="117"/>
      <c r="G366" s="117"/>
      <c r="H366" s="117"/>
      <c r="I366" s="117"/>
      <c r="J366" s="117"/>
      <c r="K366" s="71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  <c r="AB366" s="117"/>
    </row>
    <row r="367">
      <c r="A367" s="71"/>
      <c r="B367" s="117"/>
      <c r="C367" s="79"/>
      <c r="D367" s="117"/>
      <c r="E367" s="117"/>
      <c r="F367" s="117"/>
      <c r="G367" s="117"/>
      <c r="H367" s="117"/>
      <c r="I367" s="117"/>
      <c r="J367" s="117"/>
      <c r="K367" s="71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  <c r="AB367" s="117"/>
    </row>
    <row r="368">
      <c r="A368" s="71"/>
      <c r="B368" s="117"/>
      <c r="C368" s="79"/>
      <c r="D368" s="117"/>
      <c r="E368" s="117"/>
      <c r="F368" s="117"/>
      <c r="G368" s="117"/>
      <c r="H368" s="117"/>
      <c r="I368" s="117"/>
      <c r="J368" s="117"/>
      <c r="K368" s="71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</row>
    <row r="369">
      <c r="A369" s="71"/>
      <c r="B369" s="117"/>
      <c r="C369" s="79"/>
      <c r="D369" s="117"/>
      <c r="E369" s="117"/>
      <c r="F369" s="117"/>
      <c r="G369" s="117"/>
      <c r="H369" s="117"/>
      <c r="I369" s="117"/>
      <c r="J369" s="117"/>
      <c r="K369" s="71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</row>
    <row r="370">
      <c r="A370" s="71"/>
      <c r="B370" s="117"/>
      <c r="C370" s="79"/>
      <c r="D370" s="117"/>
      <c r="E370" s="117"/>
      <c r="F370" s="117"/>
      <c r="G370" s="117"/>
      <c r="H370" s="117"/>
      <c r="I370" s="117"/>
      <c r="J370" s="117"/>
      <c r="K370" s="71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  <c r="AB370" s="117"/>
    </row>
    <row r="371">
      <c r="A371" s="71"/>
      <c r="B371" s="117"/>
      <c r="C371" s="79"/>
      <c r="D371" s="117"/>
      <c r="E371" s="117"/>
      <c r="F371" s="117"/>
      <c r="G371" s="117"/>
      <c r="H371" s="117"/>
      <c r="I371" s="117"/>
      <c r="J371" s="117"/>
      <c r="K371" s="71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  <c r="AB371" s="117"/>
    </row>
    <row r="372">
      <c r="A372" s="71"/>
      <c r="B372" s="117"/>
      <c r="C372" s="79"/>
      <c r="D372" s="117"/>
      <c r="E372" s="117"/>
      <c r="F372" s="117"/>
      <c r="G372" s="117"/>
      <c r="H372" s="117"/>
      <c r="I372" s="117"/>
      <c r="J372" s="117"/>
      <c r="K372" s="71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</row>
    <row r="373">
      <c r="A373" s="71"/>
      <c r="B373" s="117"/>
      <c r="C373" s="79"/>
      <c r="D373" s="117"/>
      <c r="E373" s="117"/>
      <c r="F373" s="117"/>
      <c r="G373" s="117"/>
      <c r="H373" s="117"/>
      <c r="I373" s="117"/>
      <c r="J373" s="117"/>
      <c r="K373" s="71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</row>
    <row r="374">
      <c r="A374" s="71"/>
      <c r="B374" s="117"/>
      <c r="C374" s="79"/>
      <c r="D374" s="117"/>
      <c r="E374" s="117"/>
      <c r="F374" s="117"/>
      <c r="G374" s="117"/>
      <c r="H374" s="117"/>
      <c r="I374" s="117"/>
      <c r="J374" s="117"/>
      <c r="K374" s="71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</row>
    <row r="375">
      <c r="A375" s="71"/>
      <c r="B375" s="117"/>
      <c r="C375" s="79"/>
      <c r="D375" s="117"/>
      <c r="E375" s="117"/>
      <c r="F375" s="117"/>
      <c r="G375" s="117"/>
      <c r="H375" s="117"/>
      <c r="I375" s="117"/>
      <c r="J375" s="117"/>
      <c r="K375" s="71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  <c r="AB375" s="117"/>
    </row>
    <row r="376">
      <c r="A376" s="71"/>
      <c r="B376" s="117"/>
      <c r="C376" s="79"/>
      <c r="D376" s="117"/>
      <c r="E376" s="117"/>
      <c r="F376" s="117"/>
      <c r="G376" s="117"/>
      <c r="H376" s="117"/>
      <c r="I376" s="117"/>
      <c r="J376" s="117"/>
      <c r="K376" s="71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  <c r="AB376" s="117"/>
    </row>
    <row r="377">
      <c r="A377" s="71"/>
      <c r="B377" s="117"/>
      <c r="C377" s="79"/>
      <c r="D377" s="117"/>
      <c r="E377" s="117"/>
      <c r="F377" s="117"/>
      <c r="G377" s="117"/>
      <c r="H377" s="117"/>
      <c r="I377" s="117"/>
      <c r="J377" s="117"/>
      <c r="K377" s="71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  <c r="AB377" s="117"/>
    </row>
    <row r="378">
      <c r="A378" s="71"/>
      <c r="B378" s="117"/>
      <c r="C378" s="79"/>
      <c r="D378" s="117"/>
      <c r="E378" s="117"/>
      <c r="F378" s="117"/>
      <c r="G378" s="117"/>
      <c r="H378" s="117"/>
      <c r="I378" s="117"/>
      <c r="J378" s="117"/>
      <c r="K378" s="71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  <c r="AB378" s="117"/>
    </row>
    <row r="379">
      <c r="A379" s="71"/>
      <c r="B379" s="117"/>
      <c r="C379" s="79"/>
      <c r="D379" s="117"/>
      <c r="E379" s="117"/>
      <c r="F379" s="117"/>
      <c r="G379" s="117"/>
      <c r="H379" s="117"/>
      <c r="I379" s="117"/>
      <c r="J379" s="117"/>
      <c r="K379" s="71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</row>
    <row r="380">
      <c r="A380" s="71"/>
      <c r="B380" s="117"/>
      <c r="C380" s="79"/>
      <c r="D380" s="117"/>
      <c r="E380" s="117"/>
      <c r="F380" s="117"/>
      <c r="G380" s="117"/>
      <c r="H380" s="117"/>
      <c r="I380" s="117"/>
      <c r="J380" s="117"/>
      <c r="K380" s="71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</row>
    <row r="381">
      <c r="A381" s="71"/>
      <c r="B381" s="117"/>
      <c r="C381" s="79"/>
      <c r="D381" s="117"/>
      <c r="E381" s="117"/>
      <c r="F381" s="117"/>
      <c r="G381" s="117"/>
      <c r="H381" s="117"/>
      <c r="I381" s="117"/>
      <c r="J381" s="117"/>
      <c r="K381" s="71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  <c r="AB381" s="117"/>
    </row>
    <row r="382">
      <c r="A382" s="71"/>
      <c r="B382" s="117"/>
      <c r="C382" s="79"/>
      <c r="D382" s="117"/>
      <c r="E382" s="117"/>
      <c r="F382" s="117"/>
      <c r="G382" s="117"/>
      <c r="H382" s="117"/>
      <c r="I382" s="117"/>
      <c r="J382" s="117"/>
      <c r="K382" s="71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</row>
    <row r="383">
      <c r="A383" s="71"/>
      <c r="B383" s="117"/>
      <c r="C383" s="79"/>
      <c r="D383" s="117"/>
      <c r="E383" s="117"/>
      <c r="F383" s="117"/>
      <c r="G383" s="117"/>
      <c r="H383" s="117"/>
      <c r="I383" s="117"/>
      <c r="J383" s="117"/>
      <c r="K383" s="71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  <c r="AB383" s="117"/>
    </row>
    <row r="384">
      <c r="A384" s="71"/>
      <c r="B384" s="117"/>
      <c r="C384" s="79"/>
      <c r="D384" s="117"/>
      <c r="E384" s="117"/>
      <c r="F384" s="117"/>
      <c r="G384" s="117"/>
      <c r="H384" s="117"/>
      <c r="I384" s="117"/>
      <c r="J384" s="117"/>
      <c r="K384" s="71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  <c r="AB384" s="117"/>
    </row>
    <row r="385">
      <c r="A385" s="71"/>
      <c r="B385" s="117"/>
      <c r="C385" s="79"/>
      <c r="D385" s="117"/>
      <c r="E385" s="117"/>
      <c r="F385" s="117"/>
      <c r="G385" s="117"/>
      <c r="H385" s="117"/>
      <c r="I385" s="117"/>
      <c r="J385" s="117"/>
      <c r="K385" s="71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  <c r="AB385" s="117"/>
    </row>
    <row r="386">
      <c r="A386" s="71"/>
      <c r="B386" s="117"/>
      <c r="C386" s="79"/>
      <c r="D386" s="117"/>
      <c r="E386" s="117"/>
      <c r="F386" s="117"/>
      <c r="G386" s="117"/>
      <c r="H386" s="117"/>
      <c r="I386" s="117"/>
      <c r="J386" s="117"/>
      <c r="K386" s="71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</row>
    <row r="387">
      <c r="A387" s="71"/>
      <c r="B387" s="117"/>
      <c r="C387" s="79"/>
      <c r="D387" s="117"/>
      <c r="E387" s="117"/>
      <c r="F387" s="117"/>
      <c r="G387" s="117"/>
      <c r="H387" s="117"/>
      <c r="I387" s="117"/>
      <c r="J387" s="117"/>
      <c r="K387" s="71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</row>
    <row r="388">
      <c r="A388" s="71"/>
      <c r="B388" s="117"/>
      <c r="C388" s="79"/>
      <c r="D388" s="117"/>
      <c r="E388" s="117"/>
      <c r="F388" s="117"/>
      <c r="G388" s="117"/>
      <c r="H388" s="117"/>
      <c r="I388" s="117"/>
      <c r="J388" s="117"/>
      <c r="K388" s="71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  <c r="AB388" s="117"/>
    </row>
    <row r="389">
      <c r="A389" s="71"/>
      <c r="B389" s="117"/>
      <c r="C389" s="79"/>
      <c r="D389" s="117"/>
      <c r="E389" s="117"/>
      <c r="F389" s="117"/>
      <c r="G389" s="117"/>
      <c r="H389" s="117"/>
      <c r="I389" s="117"/>
      <c r="J389" s="117"/>
      <c r="K389" s="71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  <c r="AB389" s="117"/>
    </row>
    <row r="390">
      <c r="A390" s="71"/>
      <c r="B390" s="117"/>
      <c r="C390" s="79"/>
      <c r="D390" s="117"/>
      <c r="E390" s="117"/>
      <c r="F390" s="117"/>
      <c r="G390" s="117"/>
      <c r="H390" s="117"/>
      <c r="I390" s="117"/>
      <c r="J390" s="117"/>
      <c r="K390" s="71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  <c r="AB390" s="117"/>
    </row>
    <row r="391">
      <c r="A391" s="71"/>
      <c r="B391" s="117"/>
      <c r="C391" s="79"/>
      <c r="D391" s="117"/>
      <c r="E391" s="117"/>
      <c r="F391" s="117"/>
      <c r="G391" s="117"/>
      <c r="H391" s="117"/>
      <c r="I391" s="117"/>
      <c r="J391" s="117"/>
      <c r="K391" s="71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  <c r="AB391" s="117"/>
    </row>
    <row r="392">
      <c r="A392" s="71"/>
      <c r="B392" s="117"/>
      <c r="C392" s="79"/>
      <c r="D392" s="117"/>
      <c r="E392" s="117"/>
      <c r="F392" s="117"/>
      <c r="G392" s="117"/>
      <c r="H392" s="117"/>
      <c r="I392" s="117"/>
      <c r="J392" s="117"/>
      <c r="K392" s="71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  <c r="AB392" s="117"/>
    </row>
    <row r="393">
      <c r="A393" s="71"/>
      <c r="B393" s="117"/>
      <c r="C393" s="79"/>
      <c r="D393" s="117"/>
      <c r="E393" s="117"/>
      <c r="F393" s="117"/>
      <c r="G393" s="117"/>
      <c r="H393" s="117"/>
      <c r="I393" s="117"/>
      <c r="J393" s="117"/>
      <c r="K393" s="71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  <c r="AB393" s="117"/>
    </row>
    <row r="394">
      <c r="A394" s="71"/>
      <c r="B394" s="117"/>
      <c r="C394" s="79"/>
      <c r="D394" s="117"/>
      <c r="E394" s="117"/>
      <c r="F394" s="117"/>
      <c r="G394" s="117"/>
      <c r="H394" s="117"/>
      <c r="I394" s="117"/>
      <c r="J394" s="117"/>
      <c r="K394" s="71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</row>
    <row r="395">
      <c r="A395" s="71"/>
      <c r="B395" s="117"/>
      <c r="C395" s="79"/>
      <c r="D395" s="117"/>
      <c r="E395" s="117"/>
      <c r="F395" s="117"/>
      <c r="G395" s="117"/>
      <c r="H395" s="117"/>
      <c r="I395" s="117"/>
      <c r="J395" s="117"/>
      <c r="K395" s="71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</row>
    <row r="396">
      <c r="A396" s="71"/>
      <c r="B396" s="117"/>
      <c r="C396" s="79"/>
      <c r="D396" s="117"/>
      <c r="E396" s="117"/>
      <c r="F396" s="117"/>
      <c r="G396" s="117"/>
      <c r="H396" s="117"/>
      <c r="I396" s="117"/>
      <c r="J396" s="117"/>
      <c r="K396" s="71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  <c r="AB396" s="117"/>
    </row>
    <row r="397">
      <c r="A397" s="71"/>
      <c r="B397" s="117"/>
      <c r="C397" s="79"/>
      <c r="D397" s="117"/>
      <c r="E397" s="117"/>
      <c r="F397" s="117"/>
      <c r="G397" s="117"/>
      <c r="H397" s="117"/>
      <c r="I397" s="117"/>
      <c r="J397" s="117"/>
      <c r="K397" s="71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  <c r="AB397" s="117"/>
    </row>
    <row r="398">
      <c r="A398" s="71"/>
      <c r="B398" s="117"/>
      <c r="C398" s="79"/>
      <c r="D398" s="117"/>
      <c r="E398" s="117"/>
      <c r="F398" s="117"/>
      <c r="G398" s="117"/>
      <c r="H398" s="117"/>
      <c r="I398" s="117"/>
      <c r="J398" s="117"/>
      <c r="K398" s="71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  <c r="AB398" s="117"/>
    </row>
    <row r="399">
      <c r="A399" s="71"/>
      <c r="B399" s="117"/>
      <c r="C399" s="79"/>
      <c r="D399" s="117"/>
      <c r="E399" s="117"/>
      <c r="F399" s="117"/>
      <c r="G399" s="117"/>
      <c r="H399" s="117"/>
      <c r="I399" s="117"/>
      <c r="J399" s="117"/>
      <c r="K399" s="71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  <c r="AB399" s="117"/>
    </row>
    <row r="400">
      <c r="A400" s="71"/>
      <c r="B400" s="117"/>
      <c r="C400" s="79"/>
      <c r="D400" s="117"/>
      <c r="E400" s="117"/>
      <c r="F400" s="117"/>
      <c r="G400" s="117"/>
      <c r="H400" s="117"/>
      <c r="I400" s="117"/>
      <c r="J400" s="117"/>
      <c r="K400" s="71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  <c r="AB400" s="117"/>
    </row>
    <row r="401">
      <c r="A401" s="71"/>
      <c r="B401" s="117"/>
      <c r="C401" s="79"/>
      <c r="D401" s="117"/>
      <c r="E401" s="117"/>
      <c r="F401" s="117"/>
      <c r="G401" s="117"/>
      <c r="H401" s="117"/>
      <c r="I401" s="117"/>
      <c r="J401" s="117"/>
      <c r="K401" s="71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</row>
    <row r="402">
      <c r="A402" s="71"/>
      <c r="B402" s="117"/>
      <c r="C402" s="79"/>
      <c r="D402" s="117"/>
      <c r="E402" s="117"/>
      <c r="F402" s="117"/>
      <c r="G402" s="117"/>
      <c r="H402" s="117"/>
      <c r="I402" s="117"/>
      <c r="J402" s="117"/>
      <c r="K402" s="71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</row>
    <row r="403">
      <c r="A403" s="71"/>
      <c r="B403" s="117"/>
      <c r="C403" s="79"/>
      <c r="D403" s="117"/>
      <c r="E403" s="117"/>
      <c r="F403" s="117"/>
      <c r="G403" s="117"/>
      <c r="H403" s="117"/>
      <c r="I403" s="117"/>
      <c r="J403" s="117"/>
      <c r="K403" s="71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  <c r="AB403" s="117"/>
    </row>
    <row r="404">
      <c r="A404" s="71"/>
      <c r="B404" s="117"/>
      <c r="C404" s="79"/>
      <c r="D404" s="117"/>
      <c r="E404" s="117"/>
      <c r="F404" s="117"/>
      <c r="G404" s="117"/>
      <c r="H404" s="117"/>
      <c r="I404" s="117"/>
      <c r="J404" s="117"/>
      <c r="K404" s="71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</row>
    <row r="405">
      <c r="A405" s="71"/>
      <c r="B405" s="117"/>
      <c r="C405" s="79"/>
      <c r="D405" s="117"/>
      <c r="E405" s="117"/>
      <c r="F405" s="117"/>
      <c r="G405" s="117"/>
      <c r="H405" s="117"/>
      <c r="I405" s="117"/>
      <c r="J405" s="117"/>
      <c r="K405" s="71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  <c r="AB405" s="117"/>
    </row>
    <row r="406">
      <c r="A406" s="71"/>
      <c r="B406" s="117"/>
      <c r="C406" s="79"/>
      <c r="D406" s="117"/>
      <c r="E406" s="117"/>
      <c r="F406" s="117"/>
      <c r="G406" s="117"/>
      <c r="H406" s="117"/>
      <c r="I406" s="117"/>
      <c r="J406" s="117"/>
      <c r="K406" s="71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</row>
    <row r="407">
      <c r="A407" s="71"/>
      <c r="B407" s="117"/>
      <c r="C407" s="79"/>
      <c r="D407" s="117"/>
      <c r="E407" s="117"/>
      <c r="F407" s="117"/>
      <c r="G407" s="117"/>
      <c r="H407" s="117"/>
      <c r="I407" s="117"/>
      <c r="J407" s="117"/>
      <c r="K407" s="71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  <c r="AB407" s="117"/>
    </row>
    <row r="408">
      <c r="A408" s="71"/>
      <c r="B408" s="117"/>
      <c r="C408" s="79"/>
      <c r="D408" s="117"/>
      <c r="E408" s="117"/>
      <c r="F408" s="117"/>
      <c r="G408" s="117"/>
      <c r="H408" s="117"/>
      <c r="I408" s="117"/>
      <c r="J408" s="117"/>
      <c r="K408" s="71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  <c r="AB408" s="117"/>
    </row>
    <row r="409">
      <c r="A409" s="71"/>
      <c r="B409" s="117"/>
      <c r="C409" s="79"/>
      <c r="D409" s="117"/>
      <c r="E409" s="117"/>
      <c r="F409" s="117"/>
      <c r="G409" s="117"/>
      <c r="H409" s="117"/>
      <c r="I409" s="117"/>
      <c r="J409" s="117"/>
      <c r="K409" s="71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  <c r="AB409" s="117"/>
    </row>
    <row r="410">
      <c r="A410" s="71"/>
      <c r="B410" s="117"/>
      <c r="C410" s="79"/>
      <c r="D410" s="117"/>
      <c r="E410" s="117"/>
      <c r="F410" s="117"/>
      <c r="G410" s="117"/>
      <c r="H410" s="117"/>
      <c r="I410" s="117"/>
      <c r="J410" s="117"/>
      <c r="K410" s="71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  <c r="AB410" s="117"/>
    </row>
    <row r="411">
      <c r="A411" s="71"/>
      <c r="B411" s="117"/>
      <c r="C411" s="79"/>
      <c r="D411" s="117"/>
      <c r="E411" s="117"/>
      <c r="F411" s="117"/>
      <c r="G411" s="117"/>
      <c r="H411" s="117"/>
      <c r="I411" s="117"/>
      <c r="J411" s="117"/>
      <c r="K411" s="71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</row>
    <row r="412">
      <c r="A412" s="71"/>
      <c r="B412" s="117"/>
      <c r="C412" s="79"/>
      <c r="D412" s="117"/>
      <c r="E412" s="117"/>
      <c r="F412" s="117"/>
      <c r="G412" s="117"/>
      <c r="H412" s="117"/>
      <c r="I412" s="117"/>
      <c r="J412" s="117"/>
      <c r="K412" s="71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  <c r="AB412" s="117"/>
    </row>
    <row r="413">
      <c r="A413" s="71"/>
      <c r="B413" s="117"/>
      <c r="C413" s="79"/>
      <c r="D413" s="117"/>
      <c r="E413" s="117"/>
      <c r="F413" s="117"/>
      <c r="G413" s="117"/>
      <c r="H413" s="117"/>
      <c r="I413" s="117"/>
      <c r="J413" s="117"/>
      <c r="K413" s="71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  <c r="AB413" s="117"/>
    </row>
    <row r="414">
      <c r="A414" s="71"/>
      <c r="B414" s="117"/>
      <c r="C414" s="79"/>
      <c r="D414" s="117"/>
      <c r="E414" s="117"/>
      <c r="F414" s="117"/>
      <c r="G414" s="117"/>
      <c r="H414" s="117"/>
      <c r="I414" s="117"/>
      <c r="J414" s="117"/>
      <c r="K414" s="71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</row>
    <row r="415">
      <c r="A415" s="71"/>
      <c r="B415" s="117"/>
      <c r="C415" s="79"/>
      <c r="D415" s="117"/>
      <c r="E415" s="117"/>
      <c r="F415" s="117"/>
      <c r="G415" s="117"/>
      <c r="H415" s="117"/>
      <c r="I415" s="117"/>
      <c r="J415" s="117"/>
      <c r="K415" s="71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</row>
    <row r="416">
      <c r="A416" s="71"/>
      <c r="B416" s="117"/>
      <c r="C416" s="79"/>
      <c r="D416" s="117"/>
      <c r="E416" s="117"/>
      <c r="F416" s="117"/>
      <c r="G416" s="117"/>
      <c r="H416" s="117"/>
      <c r="I416" s="117"/>
      <c r="J416" s="117"/>
      <c r="K416" s="71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</row>
    <row r="417">
      <c r="A417" s="71"/>
      <c r="B417" s="117"/>
      <c r="C417" s="79"/>
      <c r="D417" s="117"/>
      <c r="E417" s="117"/>
      <c r="F417" s="117"/>
      <c r="G417" s="117"/>
      <c r="H417" s="117"/>
      <c r="I417" s="117"/>
      <c r="J417" s="117"/>
      <c r="K417" s="71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  <c r="AB417" s="117"/>
    </row>
    <row r="418">
      <c r="A418" s="71"/>
      <c r="B418" s="117"/>
      <c r="C418" s="79"/>
      <c r="D418" s="117"/>
      <c r="E418" s="117"/>
      <c r="F418" s="117"/>
      <c r="G418" s="117"/>
      <c r="H418" s="117"/>
      <c r="I418" s="117"/>
      <c r="J418" s="117"/>
      <c r="K418" s="71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  <c r="AB418" s="117"/>
    </row>
    <row r="419">
      <c r="A419" s="71"/>
      <c r="B419" s="117"/>
      <c r="C419" s="79"/>
      <c r="D419" s="117"/>
      <c r="E419" s="117"/>
      <c r="F419" s="117"/>
      <c r="G419" s="117"/>
      <c r="H419" s="117"/>
      <c r="I419" s="117"/>
      <c r="J419" s="117"/>
      <c r="K419" s="71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  <c r="AB419" s="117"/>
    </row>
    <row r="420">
      <c r="A420" s="71"/>
      <c r="B420" s="117"/>
      <c r="C420" s="79"/>
      <c r="D420" s="117"/>
      <c r="E420" s="117"/>
      <c r="F420" s="117"/>
      <c r="G420" s="117"/>
      <c r="H420" s="117"/>
      <c r="I420" s="117"/>
      <c r="J420" s="117"/>
      <c r="K420" s="71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  <c r="AB420" s="117"/>
    </row>
    <row r="421">
      <c r="A421" s="71"/>
      <c r="B421" s="117"/>
      <c r="C421" s="79"/>
      <c r="D421" s="117"/>
      <c r="E421" s="117"/>
      <c r="F421" s="117"/>
      <c r="G421" s="117"/>
      <c r="H421" s="117"/>
      <c r="I421" s="117"/>
      <c r="J421" s="117"/>
      <c r="K421" s="71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  <c r="AB421" s="117"/>
    </row>
    <row r="422">
      <c r="A422" s="71"/>
      <c r="B422" s="117"/>
      <c r="C422" s="79"/>
      <c r="D422" s="117"/>
      <c r="E422" s="117"/>
      <c r="F422" s="117"/>
      <c r="G422" s="117"/>
      <c r="H422" s="117"/>
      <c r="I422" s="117"/>
      <c r="J422" s="117"/>
      <c r="K422" s="71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  <c r="AB422" s="117"/>
    </row>
    <row r="423">
      <c r="A423" s="71"/>
      <c r="B423" s="117"/>
      <c r="C423" s="79"/>
      <c r="D423" s="117"/>
      <c r="E423" s="117"/>
      <c r="F423" s="117"/>
      <c r="G423" s="117"/>
      <c r="H423" s="117"/>
      <c r="I423" s="117"/>
      <c r="J423" s="117"/>
      <c r="K423" s="71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  <c r="AB423" s="117"/>
    </row>
    <row r="424">
      <c r="A424" s="71"/>
      <c r="B424" s="117"/>
      <c r="C424" s="79"/>
      <c r="D424" s="117"/>
      <c r="E424" s="117"/>
      <c r="F424" s="117"/>
      <c r="G424" s="117"/>
      <c r="H424" s="117"/>
      <c r="I424" s="117"/>
      <c r="J424" s="117"/>
      <c r="K424" s="71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  <c r="AB424" s="117"/>
    </row>
    <row r="425">
      <c r="A425" s="71"/>
      <c r="B425" s="117"/>
      <c r="C425" s="79"/>
      <c r="D425" s="117"/>
      <c r="E425" s="117"/>
      <c r="F425" s="117"/>
      <c r="G425" s="117"/>
      <c r="H425" s="117"/>
      <c r="I425" s="117"/>
      <c r="J425" s="117"/>
      <c r="K425" s="71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  <c r="AB425" s="117"/>
    </row>
    <row r="426">
      <c r="A426" s="71"/>
      <c r="B426" s="117"/>
      <c r="C426" s="79"/>
      <c r="D426" s="117"/>
      <c r="E426" s="117"/>
      <c r="F426" s="117"/>
      <c r="G426" s="117"/>
      <c r="H426" s="117"/>
      <c r="I426" s="117"/>
      <c r="J426" s="117"/>
      <c r="K426" s="71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  <c r="AB426" s="117"/>
    </row>
    <row r="427">
      <c r="A427" s="71"/>
      <c r="B427" s="117"/>
      <c r="C427" s="79"/>
      <c r="D427" s="117"/>
      <c r="E427" s="117"/>
      <c r="F427" s="117"/>
      <c r="G427" s="117"/>
      <c r="H427" s="117"/>
      <c r="I427" s="117"/>
      <c r="J427" s="117"/>
      <c r="K427" s="71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  <c r="AB427" s="117"/>
    </row>
    <row r="428">
      <c r="A428" s="71"/>
      <c r="B428" s="117"/>
      <c r="C428" s="79"/>
      <c r="D428" s="117"/>
      <c r="E428" s="117"/>
      <c r="F428" s="117"/>
      <c r="G428" s="117"/>
      <c r="H428" s="117"/>
      <c r="I428" s="117"/>
      <c r="J428" s="117"/>
      <c r="K428" s="71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</row>
    <row r="429">
      <c r="A429" s="71"/>
      <c r="B429" s="117"/>
      <c r="C429" s="79"/>
      <c r="D429" s="117"/>
      <c r="E429" s="117"/>
      <c r="F429" s="117"/>
      <c r="G429" s="117"/>
      <c r="H429" s="117"/>
      <c r="I429" s="117"/>
      <c r="J429" s="117"/>
      <c r="K429" s="71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</row>
    <row r="430">
      <c r="A430" s="71"/>
      <c r="B430" s="117"/>
      <c r="C430" s="79"/>
      <c r="D430" s="117"/>
      <c r="E430" s="117"/>
      <c r="F430" s="117"/>
      <c r="G430" s="117"/>
      <c r="H430" s="117"/>
      <c r="I430" s="117"/>
      <c r="J430" s="117"/>
      <c r="K430" s="71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  <c r="AB430" s="117"/>
    </row>
    <row r="431">
      <c r="A431" s="71"/>
      <c r="B431" s="117"/>
      <c r="C431" s="79"/>
      <c r="D431" s="117"/>
      <c r="E431" s="117"/>
      <c r="F431" s="117"/>
      <c r="G431" s="117"/>
      <c r="H431" s="117"/>
      <c r="I431" s="117"/>
      <c r="J431" s="117"/>
      <c r="K431" s="71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</row>
    <row r="432">
      <c r="A432" s="71"/>
      <c r="B432" s="117"/>
      <c r="C432" s="79"/>
      <c r="D432" s="117"/>
      <c r="E432" s="117"/>
      <c r="F432" s="117"/>
      <c r="G432" s="117"/>
      <c r="H432" s="117"/>
      <c r="I432" s="117"/>
      <c r="J432" s="117"/>
      <c r="K432" s="71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</row>
    <row r="433">
      <c r="A433" s="71"/>
      <c r="B433" s="117"/>
      <c r="C433" s="79"/>
      <c r="D433" s="117"/>
      <c r="E433" s="117"/>
      <c r="F433" s="117"/>
      <c r="G433" s="117"/>
      <c r="H433" s="117"/>
      <c r="I433" s="117"/>
      <c r="J433" s="117"/>
      <c r="K433" s="71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</row>
    <row r="434">
      <c r="A434" s="71"/>
      <c r="B434" s="117"/>
      <c r="C434" s="79"/>
      <c r="D434" s="117"/>
      <c r="E434" s="117"/>
      <c r="F434" s="117"/>
      <c r="G434" s="117"/>
      <c r="H434" s="117"/>
      <c r="I434" s="117"/>
      <c r="J434" s="117"/>
      <c r="K434" s="71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</row>
    <row r="435">
      <c r="A435" s="71"/>
      <c r="B435" s="117"/>
      <c r="C435" s="79"/>
      <c r="D435" s="117"/>
      <c r="E435" s="117"/>
      <c r="F435" s="117"/>
      <c r="G435" s="117"/>
      <c r="H435" s="117"/>
      <c r="I435" s="117"/>
      <c r="J435" s="117"/>
      <c r="K435" s="71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</row>
    <row r="436">
      <c r="A436" s="71"/>
      <c r="B436" s="117"/>
      <c r="C436" s="79"/>
      <c r="D436" s="117"/>
      <c r="E436" s="117"/>
      <c r="F436" s="117"/>
      <c r="G436" s="117"/>
      <c r="H436" s="117"/>
      <c r="I436" s="117"/>
      <c r="J436" s="117"/>
      <c r="K436" s="71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</row>
    <row r="437">
      <c r="A437" s="71"/>
      <c r="B437" s="117"/>
      <c r="C437" s="79"/>
      <c r="D437" s="117"/>
      <c r="E437" s="117"/>
      <c r="F437" s="117"/>
      <c r="G437" s="117"/>
      <c r="H437" s="117"/>
      <c r="I437" s="117"/>
      <c r="J437" s="117"/>
      <c r="K437" s="71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</row>
    <row r="438">
      <c r="A438" s="71"/>
      <c r="B438" s="117"/>
      <c r="C438" s="79"/>
      <c r="D438" s="117"/>
      <c r="E438" s="117"/>
      <c r="F438" s="117"/>
      <c r="G438" s="117"/>
      <c r="H438" s="117"/>
      <c r="I438" s="117"/>
      <c r="J438" s="117"/>
      <c r="K438" s="71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</row>
    <row r="439">
      <c r="A439" s="71"/>
      <c r="B439" s="117"/>
      <c r="C439" s="79"/>
      <c r="D439" s="117"/>
      <c r="E439" s="117"/>
      <c r="F439" s="117"/>
      <c r="G439" s="117"/>
      <c r="H439" s="117"/>
      <c r="I439" s="117"/>
      <c r="J439" s="117"/>
      <c r="K439" s="71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</row>
    <row r="440">
      <c r="A440" s="71"/>
      <c r="B440" s="117"/>
      <c r="C440" s="79"/>
      <c r="D440" s="117"/>
      <c r="E440" s="117"/>
      <c r="F440" s="117"/>
      <c r="G440" s="117"/>
      <c r="H440" s="117"/>
      <c r="I440" s="117"/>
      <c r="J440" s="117"/>
      <c r="K440" s="71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</row>
    <row r="441">
      <c r="A441" s="71"/>
      <c r="B441" s="117"/>
      <c r="C441" s="79"/>
      <c r="D441" s="117"/>
      <c r="E441" s="117"/>
      <c r="F441" s="117"/>
      <c r="G441" s="117"/>
      <c r="H441" s="117"/>
      <c r="I441" s="117"/>
      <c r="J441" s="117"/>
      <c r="K441" s="71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</row>
    <row r="442">
      <c r="A442" s="71"/>
      <c r="B442" s="117"/>
      <c r="C442" s="79"/>
      <c r="D442" s="117"/>
      <c r="E442" s="117"/>
      <c r="F442" s="117"/>
      <c r="G442" s="117"/>
      <c r="H442" s="117"/>
      <c r="I442" s="117"/>
      <c r="J442" s="117"/>
      <c r="K442" s="71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  <c r="AB442" s="117"/>
    </row>
    <row r="443">
      <c r="A443" s="71"/>
      <c r="B443" s="117"/>
      <c r="C443" s="79"/>
      <c r="D443" s="117"/>
      <c r="E443" s="117"/>
      <c r="F443" s="117"/>
      <c r="G443" s="117"/>
      <c r="H443" s="117"/>
      <c r="I443" s="117"/>
      <c r="J443" s="117"/>
      <c r="K443" s="71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</row>
    <row r="444">
      <c r="A444" s="71"/>
      <c r="B444" s="117"/>
      <c r="C444" s="79"/>
      <c r="D444" s="117"/>
      <c r="E444" s="117"/>
      <c r="F444" s="117"/>
      <c r="G444" s="117"/>
      <c r="H444" s="117"/>
      <c r="I444" s="117"/>
      <c r="J444" s="117"/>
      <c r="K444" s="71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</row>
    <row r="445">
      <c r="A445" s="71"/>
      <c r="B445" s="117"/>
      <c r="C445" s="79"/>
      <c r="D445" s="117"/>
      <c r="E445" s="117"/>
      <c r="F445" s="117"/>
      <c r="G445" s="117"/>
      <c r="H445" s="117"/>
      <c r="I445" s="117"/>
      <c r="J445" s="117"/>
      <c r="K445" s="71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  <c r="AB445" s="117"/>
    </row>
    <row r="446">
      <c r="A446" s="71"/>
      <c r="B446" s="117"/>
      <c r="C446" s="79"/>
      <c r="D446" s="117"/>
      <c r="E446" s="117"/>
      <c r="F446" s="117"/>
      <c r="G446" s="117"/>
      <c r="H446" s="117"/>
      <c r="I446" s="117"/>
      <c r="J446" s="117"/>
      <c r="K446" s="71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</row>
    <row r="447">
      <c r="A447" s="71"/>
      <c r="B447" s="117"/>
      <c r="C447" s="79"/>
      <c r="D447" s="117"/>
      <c r="E447" s="117"/>
      <c r="F447" s="117"/>
      <c r="G447" s="117"/>
      <c r="H447" s="117"/>
      <c r="I447" s="117"/>
      <c r="J447" s="117"/>
      <c r="K447" s="71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</row>
    <row r="448">
      <c r="A448" s="71"/>
      <c r="B448" s="117"/>
      <c r="C448" s="79"/>
      <c r="D448" s="117"/>
      <c r="E448" s="117"/>
      <c r="F448" s="117"/>
      <c r="G448" s="117"/>
      <c r="H448" s="117"/>
      <c r="I448" s="117"/>
      <c r="J448" s="117"/>
      <c r="K448" s="71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</row>
    <row r="449">
      <c r="A449" s="71"/>
      <c r="B449" s="117"/>
      <c r="C449" s="79"/>
      <c r="D449" s="117"/>
      <c r="E449" s="117"/>
      <c r="F449" s="117"/>
      <c r="G449" s="117"/>
      <c r="H449" s="117"/>
      <c r="I449" s="117"/>
      <c r="J449" s="117"/>
      <c r="K449" s="71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</row>
    <row r="450">
      <c r="A450" s="71"/>
      <c r="B450" s="117"/>
      <c r="C450" s="79"/>
      <c r="D450" s="117"/>
      <c r="E450" s="117"/>
      <c r="F450" s="117"/>
      <c r="G450" s="117"/>
      <c r="H450" s="117"/>
      <c r="I450" s="117"/>
      <c r="J450" s="117"/>
      <c r="K450" s="71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</row>
    <row r="451">
      <c r="A451" s="71"/>
      <c r="B451" s="117"/>
      <c r="C451" s="79"/>
      <c r="D451" s="117"/>
      <c r="E451" s="117"/>
      <c r="F451" s="117"/>
      <c r="G451" s="117"/>
      <c r="H451" s="117"/>
      <c r="I451" s="117"/>
      <c r="J451" s="117"/>
      <c r="K451" s="71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  <c r="AB451" s="117"/>
    </row>
    <row r="452">
      <c r="A452" s="71"/>
      <c r="B452" s="117"/>
      <c r="C452" s="79"/>
      <c r="D452" s="117"/>
      <c r="E452" s="117"/>
      <c r="F452" s="117"/>
      <c r="G452" s="117"/>
      <c r="H452" s="117"/>
      <c r="I452" s="117"/>
      <c r="J452" s="117"/>
      <c r="K452" s="71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  <c r="AB452" s="117"/>
    </row>
    <row r="453">
      <c r="A453" s="71"/>
      <c r="B453" s="117"/>
      <c r="C453" s="79"/>
      <c r="D453" s="117"/>
      <c r="E453" s="117"/>
      <c r="F453" s="117"/>
      <c r="G453" s="117"/>
      <c r="H453" s="117"/>
      <c r="I453" s="117"/>
      <c r="J453" s="117"/>
      <c r="K453" s="71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  <c r="AB453" s="117"/>
    </row>
    <row r="454">
      <c r="A454" s="71"/>
      <c r="B454" s="117"/>
      <c r="C454" s="79"/>
      <c r="D454" s="117"/>
      <c r="E454" s="117"/>
      <c r="F454" s="117"/>
      <c r="G454" s="117"/>
      <c r="H454" s="117"/>
      <c r="I454" s="117"/>
      <c r="J454" s="117"/>
      <c r="K454" s="71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</row>
    <row r="455">
      <c r="A455" s="71"/>
      <c r="B455" s="117"/>
      <c r="C455" s="79"/>
      <c r="D455" s="117"/>
      <c r="E455" s="117"/>
      <c r="F455" s="117"/>
      <c r="G455" s="117"/>
      <c r="H455" s="117"/>
      <c r="I455" s="117"/>
      <c r="J455" s="117"/>
      <c r="K455" s="71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7"/>
    </row>
    <row r="456">
      <c r="A456" s="71"/>
      <c r="B456" s="117"/>
      <c r="C456" s="79"/>
      <c r="D456" s="117"/>
      <c r="E456" s="117"/>
      <c r="F456" s="117"/>
      <c r="G456" s="117"/>
      <c r="H456" s="117"/>
      <c r="I456" s="117"/>
      <c r="J456" s="117"/>
      <c r="K456" s="71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7"/>
    </row>
    <row r="457">
      <c r="A457" s="71"/>
      <c r="B457" s="117"/>
      <c r="C457" s="79"/>
      <c r="D457" s="117"/>
      <c r="E457" s="117"/>
      <c r="F457" s="117"/>
      <c r="G457" s="117"/>
      <c r="H457" s="117"/>
      <c r="I457" s="117"/>
      <c r="J457" s="117"/>
      <c r="K457" s="71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</row>
    <row r="458">
      <c r="A458" s="71"/>
      <c r="B458" s="117"/>
      <c r="C458" s="79"/>
      <c r="D458" s="117"/>
      <c r="E458" s="117"/>
      <c r="F458" s="117"/>
      <c r="G458" s="117"/>
      <c r="H458" s="117"/>
      <c r="I458" s="117"/>
      <c r="J458" s="117"/>
      <c r="K458" s="71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  <c r="AB458" s="117"/>
    </row>
    <row r="459">
      <c r="A459" s="71"/>
      <c r="B459" s="117"/>
      <c r="C459" s="79"/>
      <c r="D459" s="117"/>
      <c r="E459" s="117"/>
      <c r="F459" s="117"/>
      <c r="G459" s="117"/>
      <c r="H459" s="117"/>
      <c r="I459" s="117"/>
      <c r="J459" s="117"/>
      <c r="K459" s="71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  <c r="AB459" s="117"/>
    </row>
    <row r="460">
      <c r="A460" s="71"/>
      <c r="B460" s="117"/>
      <c r="C460" s="79"/>
      <c r="D460" s="117"/>
      <c r="E460" s="117"/>
      <c r="F460" s="117"/>
      <c r="G460" s="117"/>
      <c r="H460" s="117"/>
      <c r="I460" s="117"/>
      <c r="J460" s="117"/>
      <c r="K460" s="71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</row>
    <row r="461">
      <c r="A461" s="71"/>
      <c r="B461" s="117"/>
      <c r="C461" s="79"/>
      <c r="D461" s="117"/>
      <c r="E461" s="117"/>
      <c r="F461" s="117"/>
      <c r="G461" s="117"/>
      <c r="H461" s="117"/>
      <c r="I461" s="117"/>
      <c r="J461" s="117"/>
      <c r="K461" s="71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</row>
    <row r="462">
      <c r="A462" s="71"/>
      <c r="B462" s="117"/>
      <c r="C462" s="79"/>
      <c r="D462" s="117"/>
      <c r="E462" s="117"/>
      <c r="F462" s="117"/>
      <c r="G462" s="117"/>
      <c r="H462" s="117"/>
      <c r="I462" s="117"/>
      <c r="J462" s="117"/>
      <c r="K462" s="71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</row>
    <row r="463">
      <c r="A463" s="71"/>
      <c r="B463" s="117"/>
      <c r="C463" s="79"/>
      <c r="D463" s="117"/>
      <c r="E463" s="117"/>
      <c r="F463" s="117"/>
      <c r="G463" s="117"/>
      <c r="H463" s="117"/>
      <c r="I463" s="117"/>
      <c r="J463" s="117"/>
      <c r="K463" s="71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</row>
    <row r="464">
      <c r="A464" s="71"/>
      <c r="B464" s="117"/>
      <c r="C464" s="79"/>
      <c r="D464" s="117"/>
      <c r="E464" s="117"/>
      <c r="F464" s="117"/>
      <c r="G464" s="117"/>
      <c r="H464" s="117"/>
      <c r="I464" s="117"/>
      <c r="J464" s="117"/>
      <c r="K464" s="71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</row>
    <row r="465">
      <c r="A465" s="71"/>
      <c r="B465" s="117"/>
      <c r="C465" s="79"/>
      <c r="D465" s="117"/>
      <c r="E465" s="117"/>
      <c r="F465" s="117"/>
      <c r="G465" s="117"/>
      <c r="H465" s="117"/>
      <c r="I465" s="117"/>
      <c r="J465" s="117"/>
      <c r="K465" s="71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</row>
    <row r="466">
      <c r="A466" s="71"/>
      <c r="B466" s="117"/>
      <c r="C466" s="79"/>
      <c r="D466" s="117"/>
      <c r="E466" s="117"/>
      <c r="F466" s="117"/>
      <c r="G466" s="117"/>
      <c r="H466" s="117"/>
      <c r="I466" s="117"/>
      <c r="J466" s="117"/>
      <c r="K466" s="71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</row>
    <row r="467">
      <c r="A467" s="71"/>
      <c r="B467" s="117"/>
      <c r="C467" s="79"/>
      <c r="D467" s="117"/>
      <c r="E467" s="117"/>
      <c r="F467" s="117"/>
      <c r="G467" s="117"/>
      <c r="H467" s="117"/>
      <c r="I467" s="117"/>
      <c r="J467" s="117"/>
      <c r="K467" s="71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</row>
    <row r="468">
      <c r="A468" s="71"/>
      <c r="B468" s="117"/>
      <c r="C468" s="79"/>
      <c r="D468" s="117"/>
      <c r="E468" s="117"/>
      <c r="F468" s="117"/>
      <c r="G468" s="117"/>
      <c r="H468" s="117"/>
      <c r="I468" s="117"/>
      <c r="J468" s="117"/>
      <c r="K468" s="71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</row>
    <row r="469">
      <c r="A469" s="71"/>
      <c r="B469" s="117"/>
      <c r="C469" s="79"/>
      <c r="D469" s="117"/>
      <c r="E469" s="117"/>
      <c r="F469" s="117"/>
      <c r="G469" s="117"/>
      <c r="H469" s="117"/>
      <c r="I469" s="117"/>
      <c r="J469" s="117"/>
      <c r="K469" s="71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</row>
    <row r="470">
      <c r="A470" s="71"/>
      <c r="B470" s="117"/>
      <c r="C470" s="79"/>
      <c r="D470" s="117"/>
      <c r="E470" s="117"/>
      <c r="F470" s="117"/>
      <c r="G470" s="117"/>
      <c r="H470" s="117"/>
      <c r="I470" s="117"/>
      <c r="J470" s="117"/>
      <c r="K470" s="71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</row>
    <row r="471">
      <c r="A471" s="71"/>
      <c r="B471" s="117"/>
      <c r="C471" s="79"/>
      <c r="D471" s="117"/>
      <c r="E471" s="117"/>
      <c r="F471" s="117"/>
      <c r="G471" s="117"/>
      <c r="H471" s="117"/>
      <c r="I471" s="117"/>
      <c r="J471" s="117"/>
      <c r="K471" s="71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</row>
    <row r="472">
      <c r="A472" s="71"/>
      <c r="B472" s="117"/>
      <c r="C472" s="79"/>
      <c r="D472" s="117"/>
      <c r="E472" s="117"/>
      <c r="F472" s="117"/>
      <c r="G472" s="117"/>
      <c r="H472" s="117"/>
      <c r="I472" s="117"/>
      <c r="J472" s="117"/>
      <c r="K472" s="71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</row>
    <row r="473">
      <c r="A473" s="71"/>
      <c r="B473" s="117"/>
      <c r="C473" s="79"/>
      <c r="D473" s="117"/>
      <c r="E473" s="117"/>
      <c r="F473" s="117"/>
      <c r="G473" s="117"/>
      <c r="H473" s="117"/>
      <c r="I473" s="117"/>
      <c r="J473" s="117"/>
      <c r="K473" s="71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</row>
    <row r="474">
      <c r="A474" s="71"/>
      <c r="B474" s="117"/>
      <c r="C474" s="79"/>
      <c r="D474" s="117"/>
      <c r="E474" s="117"/>
      <c r="F474" s="117"/>
      <c r="G474" s="117"/>
      <c r="H474" s="117"/>
      <c r="I474" s="117"/>
      <c r="J474" s="117"/>
      <c r="K474" s="71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</row>
    <row r="475">
      <c r="A475" s="71"/>
      <c r="B475" s="117"/>
      <c r="C475" s="79"/>
      <c r="D475" s="117"/>
      <c r="E475" s="117"/>
      <c r="F475" s="117"/>
      <c r="G475" s="117"/>
      <c r="H475" s="117"/>
      <c r="I475" s="117"/>
      <c r="J475" s="117"/>
      <c r="K475" s="71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  <c r="AB475" s="117"/>
    </row>
    <row r="476">
      <c r="A476" s="71"/>
      <c r="B476" s="117"/>
      <c r="C476" s="79"/>
      <c r="D476" s="117"/>
      <c r="E476" s="117"/>
      <c r="F476" s="117"/>
      <c r="G476" s="117"/>
      <c r="H476" s="117"/>
      <c r="I476" s="117"/>
      <c r="J476" s="117"/>
      <c r="K476" s="71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  <c r="AB476" s="117"/>
    </row>
    <row r="477">
      <c r="A477" s="71"/>
      <c r="B477" s="117"/>
      <c r="C477" s="79"/>
      <c r="D477" s="117"/>
      <c r="E477" s="117"/>
      <c r="F477" s="117"/>
      <c r="G477" s="117"/>
      <c r="H477" s="117"/>
      <c r="I477" s="117"/>
      <c r="J477" s="117"/>
      <c r="K477" s="71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</row>
    <row r="478">
      <c r="A478" s="71"/>
      <c r="B478" s="117"/>
      <c r="C478" s="79"/>
      <c r="D478" s="117"/>
      <c r="E478" s="117"/>
      <c r="F478" s="117"/>
      <c r="G478" s="117"/>
      <c r="H478" s="117"/>
      <c r="I478" s="117"/>
      <c r="J478" s="117"/>
      <c r="K478" s="71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</row>
    <row r="479">
      <c r="A479" s="71"/>
      <c r="B479" s="117"/>
      <c r="C479" s="79"/>
      <c r="D479" s="117"/>
      <c r="E479" s="117"/>
      <c r="F479" s="117"/>
      <c r="G479" s="117"/>
      <c r="H479" s="117"/>
      <c r="I479" s="117"/>
      <c r="J479" s="117"/>
      <c r="K479" s="71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</row>
    <row r="480">
      <c r="A480" s="71"/>
      <c r="B480" s="117"/>
      <c r="C480" s="79"/>
      <c r="D480" s="117"/>
      <c r="E480" s="117"/>
      <c r="F480" s="117"/>
      <c r="G480" s="117"/>
      <c r="H480" s="117"/>
      <c r="I480" s="117"/>
      <c r="J480" s="117"/>
      <c r="K480" s="71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</row>
    <row r="481">
      <c r="A481" s="71"/>
      <c r="B481" s="117"/>
      <c r="C481" s="79"/>
      <c r="D481" s="117"/>
      <c r="E481" s="117"/>
      <c r="F481" s="117"/>
      <c r="G481" s="117"/>
      <c r="H481" s="117"/>
      <c r="I481" s="117"/>
      <c r="J481" s="117"/>
      <c r="K481" s="71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</row>
    <row r="482">
      <c r="A482" s="71"/>
      <c r="B482" s="117"/>
      <c r="C482" s="79"/>
      <c r="D482" s="117"/>
      <c r="E482" s="117"/>
      <c r="F482" s="117"/>
      <c r="G482" s="117"/>
      <c r="H482" s="117"/>
      <c r="I482" s="117"/>
      <c r="J482" s="117"/>
      <c r="K482" s="71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</row>
    <row r="483">
      <c r="A483" s="71"/>
      <c r="B483" s="117"/>
      <c r="C483" s="79"/>
      <c r="D483" s="117"/>
      <c r="E483" s="117"/>
      <c r="F483" s="117"/>
      <c r="G483" s="117"/>
      <c r="H483" s="117"/>
      <c r="I483" s="117"/>
      <c r="J483" s="117"/>
      <c r="K483" s="71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</row>
    <row r="484">
      <c r="A484" s="71"/>
      <c r="B484" s="117"/>
      <c r="C484" s="79"/>
      <c r="D484" s="117"/>
      <c r="E484" s="117"/>
      <c r="F484" s="117"/>
      <c r="G484" s="117"/>
      <c r="H484" s="117"/>
      <c r="I484" s="117"/>
      <c r="J484" s="117"/>
      <c r="K484" s="71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</row>
    <row r="485">
      <c r="A485" s="71"/>
      <c r="B485" s="117"/>
      <c r="C485" s="79"/>
      <c r="D485" s="117"/>
      <c r="E485" s="117"/>
      <c r="F485" s="117"/>
      <c r="G485" s="117"/>
      <c r="H485" s="117"/>
      <c r="I485" s="117"/>
      <c r="J485" s="117"/>
      <c r="K485" s="71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</row>
    <row r="486">
      <c r="A486" s="71"/>
      <c r="B486" s="117"/>
      <c r="C486" s="79"/>
      <c r="D486" s="117"/>
      <c r="E486" s="117"/>
      <c r="F486" s="117"/>
      <c r="G486" s="117"/>
      <c r="H486" s="117"/>
      <c r="I486" s="117"/>
      <c r="J486" s="117"/>
      <c r="K486" s="71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</row>
    <row r="487">
      <c r="A487" s="71"/>
      <c r="B487" s="117"/>
      <c r="C487" s="79"/>
      <c r="D487" s="117"/>
      <c r="E487" s="117"/>
      <c r="F487" s="117"/>
      <c r="G487" s="117"/>
      <c r="H487" s="117"/>
      <c r="I487" s="117"/>
      <c r="J487" s="117"/>
      <c r="K487" s="71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  <c r="AB487" s="117"/>
    </row>
    <row r="488">
      <c r="A488" s="71"/>
      <c r="B488" s="117"/>
      <c r="C488" s="79"/>
      <c r="D488" s="117"/>
      <c r="E488" s="117"/>
      <c r="F488" s="117"/>
      <c r="G488" s="117"/>
      <c r="H488" s="117"/>
      <c r="I488" s="117"/>
      <c r="J488" s="117"/>
      <c r="K488" s="71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</row>
    <row r="489">
      <c r="A489" s="71"/>
      <c r="B489" s="117"/>
      <c r="C489" s="79"/>
      <c r="D489" s="117"/>
      <c r="E489" s="117"/>
      <c r="F489" s="117"/>
      <c r="G489" s="117"/>
      <c r="H489" s="117"/>
      <c r="I489" s="117"/>
      <c r="J489" s="117"/>
      <c r="K489" s="71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</row>
    <row r="490">
      <c r="A490" s="71"/>
      <c r="B490" s="117"/>
      <c r="C490" s="79"/>
      <c r="D490" s="117"/>
      <c r="E490" s="117"/>
      <c r="F490" s="117"/>
      <c r="G490" s="117"/>
      <c r="H490" s="117"/>
      <c r="I490" s="117"/>
      <c r="J490" s="117"/>
      <c r="K490" s="71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</row>
    <row r="491">
      <c r="A491" s="71"/>
      <c r="B491" s="117"/>
      <c r="C491" s="79"/>
      <c r="D491" s="117"/>
      <c r="E491" s="117"/>
      <c r="F491" s="117"/>
      <c r="G491" s="117"/>
      <c r="H491" s="117"/>
      <c r="I491" s="117"/>
      <c r="J491" s="117"/>
      <c r="K491" s="71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</row>
    <row r="492">
      <c r="A492" s="71"/>
      <c r="B492" s="117"/>
      <c r="C492" s="79"/>
      <c r="D492" s="117"/>
      <c r="E492" s="117"/>
      <c r="F492" s="117"/>
      <c r="G492" s="117"/>
      <c r="H492" s="117"/>
      <c r="I492" s="117"/>
      <c r="J492" s="117"/>
      <c r="K492" s="71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</row>
    <row r="493">
      <c r="A493" s="71"/>
      <c r="B493" s="117"/>
      <c r="C493" s="79"/>
      <c r="D493" s="117"/>
      <c r="E493" s="117"/>
      <c r="F493" s="117"/>
      <c r="G493" s="117"/>
      <c r="H493" s="117"/>
      <c r="I493" s="117"/>
      <c r="J493" s="117"/>
      <c r="K493" s="71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</row>
    <row r="494">
      <c r="A494" s="71"/>
      <c r="B494" s="117"/>
      <c r="C494" s="79"/>
      <c r="D494" s="117"/>
      <c r="E494" s="117"/>
      <c r="F494" s="117"/>
      <c r="G494" s="117"/>
      <c r="H494" s="117"/>
      <c r="I494" s="117"/>
      <c r="J494" s="117"/>
      <c r="K494" s="71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</row>
    <row r="495">
      <c r="A495" s="71"/>
      <c r="B495" s="117"/>
      <c r="C495" s="79"/>
      <c r="D495" s="117"/>
      <c r="E495" s="117"/>
      <c r="F495" s="117"/>
      <c r="G495" s="117"/>
      <c r="H495" s="117"/>
      <c r="I495" s="117"/>
      <c r="J495" s="117"/>
      <c r="K495" s="71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</row>
    <row r="496">
      <c r="A496" s="71"/>
      <c r="B496" s="117"/>
      <c r="C496" s="79"/>
      <c r="D496" s="117"/>
      <c r="E496" s="117"/>
      <c r="F496" s="117"/>
      <c r="G496" s="117"/>
      <c r="H496" s="117"/>
      <c r="I496" s="117"/>
      <c r="J496" s="117"/>
      <c r="K496" s="71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</row>
    <row r="497">
      <c r="A497" s="71"/>
      <c r="B497" s="117"/>
      <c r="C497" s="79"/>
      <c r="D497" s="117"/>
      <c r="E497" s="117"/>
      <c r="F497" s="117"/>
      <c r="G497" s="117"/>
      <c r="H497" s="117"/>
      <c r="I497" s="117"/>
      <c r="J497" s="117"/>
      <c r="K497" s="71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</row>
    <row r="498">
      <c r="A498" s="71"/>
      <c r="B498" s="117"/>
      <c r="C498" s="79"/>
      <c r="D498" s="117"/>
      <c r="E498" s="117"/>
      <c r="F498" s="117"/>
      <c r="G498" s="117"/>
      <c r="H498" s="117"/>
      <c r="I498" s="117"/>
      <c r="J498" s="117"/>
      <c r="K498" s="71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</row>
    <row r="499">
      <c r="A499" s="71"/>
      <c r="B499" s="117"/>
      <c r="C499" s="79"/>
      <c r="D499" s="117"/>
      <c r="E499" s="117"/>
      <c r="F499" s="117"/>
      <c r="G499" s="117"/>
      <c r="H499" s="117"/>
      <c r="I499" s="117"/>
      <c r="J499" s="117"/>
      <c r="K499" s="71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</row>
    <row r="500">
      <c r="A500" s="71"/>
      <c r="B500" s="117"/>
      <c r="C500" s="79"/>
      <c r="D500" s="117"/>
      <c r="E500" s="117"/>
      <c r="F500" s="117"/>
      <c r="G500" s="117"/>
      <c r="H500" s="117"/>
      <c r="I500" s="117"/>
      <c r="J500" s="117"/>
      <c r="K500" s="71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</row>
    <row r="501">
      <c r="A501" s="71"/>
      <c r="B501" s="117"/>
      <c r="C501" s="79"/>
      <c r="D501" s="117"/>
      <c r="E501" s="117"/>
      <c r="F501" s="117"/>
      <c r="G501" s="117"/>
      <c r="H501" s="117"/>
      <c r="I501" s="117"/>
      <c r="J501" s="117"/>
      <c r="K501" s="71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</row>
    <row r="502">
      <c r="A502" s="71"/>
      <c r="B502" s="117"/>
      <c r="C502" s="79"/>
      <c r="D502" s="117"/>
      <c r="E502" s="117"/>
      <c r="F502" s="117"/>
      <c r="G502" s="117"/>
      <c r="H502" s="117"/>
      <c r="I502" s="117"/>
      <c r="J502" s="117"/>
      <c r="K502" s="71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</row>
    <row r="503">
      <c r="A503" s="71"/>
      <c r="B503" s="117"/>
      <c r="C503" s="79"/>
      <c r="D503" s="117"/>
      <c r="E503" s="117"/>
      <c r="F503" s="117"/>
      <c r="G503" s="117"/>
      <c r="H503" s="117"/>
      <c r="I503" s="117"/>
      <c r="J503" s="117"/>
      <c r="K503" s="71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</row>
    <row r="504">
      <c r="A504" s="71"/>
      <c r="B504" s="117"/>
      <c r="C504" s="79"/>
      <c r="D504" s="117"/>
      <c r="E504" s="117"/>
      <c r="F504" s="117"/>
      <c r="G504" s="117"/>
      <c r="H504" s="117"/>
      <c r="I504" s="117"/>
      <c r="J504" s="117"/>
      <c r="K504" s="71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</row>
    <row r="505">
      <c r="A505" s="71"/>
      <c r="B505" s="117"/>
      <c r="C505" s="79"/>
      <c r="D505" s="117"/>
      <c r="E505" s="117"/>
      <c r="F505" s="117"/>
      <c r="G505" s="117"/>
      <c r="H505" s="117"/>
      <c r="I505" s="117"/>
      <c r="J505" s="117"/>
      <c r="K505" s="71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</row>
    <row r="506">
      <c r="A506" s="71"/>
      <c r="B506" s="117"/>
      <c r="C506" s="79"/>
      <c r="D506" s="117"/>
      <c r="E506" s="117"/>
      <c r="F506" s="117"/>
      <c r="G506" s="117"/>
      <c r="H506" s="117"/>
      <c r="I506" s="117"/>
      <c r="J506" s="117"/>
      <c r="K506" s="71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</row>
    <row r="507">
      <c r="A507" s="71"/>
      <c r="B507" s="117"/>
      <c r="C507" s="79"/>
      <c r="D507" s="117"/>
      <c r="E507" s="117"/>
      <c r="F507" s="117"/>
      <c r="G507" s="117"/>
      <c r="H507" s="117"/>
      <c r="I507" s="117"/>
      <c r="J507" s="117"/>
      <c r="K507" s="71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</row>
    <row r="508">
      <c r="A508" s="71"/>
      <c r="B508" s="117"/>
      <c r="C508" s="79"/>
      <c r="D508" s="117"/>
      <c r="E508" s="117"/>
      <c r="F508" s="117"/>
      <c r="G508" s="117"/>
      <c r="H508" s="117"/>
      <c r="I508" s="117"/>
      <c r="J508" s="117"/>
      <c r="K508" s="71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</row>
    <row r="509">
      <c r="A509" s="71"/>
      <c r="B509" s="117"/>
      <c r="C509" s="79"/>
      <c r="D509" s="117"/>
      <c r="E509" s="117"/>
      <c r="F509" s="117"/>
      <c r="G509" s="117"/>
      <c r="H509" s="117"/>
      <c r="I509" s="117"/>
      <c r="J509" s="117"/>
      <c r="K509" s="71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</row>
    <row r="510">
      <c r="A510" s="71"/>
      <c r="B510" s="117"/>
      <c r="C510" s="79"/>
      <c r="D510" s="117"/>
      <c r="E510" s="117"/>
      <c r="F510" s="117"/>
      <c r="G510" s="117"/>
      <c r="H510" s="117"/>
      <c r="I510" s="117"/>
      <c r="J510" s="117"/>
      <c r="K510" s="71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</row>
    <row r="511">
      <c r="A511" s="71"/>
      <c r="B511" s="117"/>
      <c r="C511" s="79"/>
      <c r="D511" s="117"/>
      <c r="E511" s="117"/>
      <c r="F511" s="117"/>
      <c r="G511" s="117"/>
      <c r="H511" s="117"/>
      <c r="I511" s="117"/>
      <c r="J511" s="117"/>
      <c r="K511" s="71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</row>
    <row r="512">
      <c r="A512" s="71"/>
      <c r="B512" s="117"/>
      <c r="C512" s="79"/>
      <c r="D512" s="117"/>
      <c r="E512" s="117"/>
      <c r="F512" s="117"/>
      <c r="G512" s="117"/>
      <c r="H512" s="117"/>
      <c r="I512" s="117"/>
      <c r="J512" s="117"/>
      <c r="K512" s="71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</row>
    <row r="513">
      <c r="A513" s="71"/>
      <c r="B513" s="117"/>
      <c r="C513" s="79"/>
      <c r="D513" s="117"/>
      <c r="E513" s="117"/>
      <c r="F513" s="117"/>
      <c r="G513" s="117"/>
      <c r="H513" s="117"/>
      <c r="I513" s="117"/>
      <c r="J513" s="117"/>
      <c r="K513" s="71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</row>
    <row r="514">
      <c r="A514" s="71"/>
      <c r="B514" s="117"/>
      <c r="C514" s="79"/>
      <c r="D514" s="117"/>
      <c r="E514" s="117"/>
      <c r="F514" s="117"/>
      <c r="G514" s="117"/>
      <c r="H514" s="117"/>
      <c r="I514" s="117"/>
      <c r="J514" s="117"/>
      <c r="K514" s="71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</row>
    <row r="515">
      <c r="A515" s="71"/>
      <c r="B515" s="117"/>
      <c r="C515" s="79"/>
      <c r="D515" s="117"/>
      <c r="E515" s="117"/>
      <c r="F515" s="117"/>
      <c r="G515" s="117"/>
      <c r="H515" s="117"/>
      <c r="I515" s="117"/>
      <c r="J515" s="117"/>
      <c r="K515" s="71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</row>
    <row r="516">
      <c r="A516" s="71"/>
      <c r="B516" s="117"/>
      <c r="C516" s="79"/>
      <c r="D516" s="117"/>
      <c r="E516" s="117"/>
      <c r="F516" s="117"/>
      <c r="G516" s="117"/>
      <c r="H516" s="117"/>
      <c r="I516" s="117"/>
      <c r="J516" s="117"/>
      <c r="K516" s="71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</row>
    <row r="517">
      <c r="A517" s="71"/>
      <c r="B517" s="117"/>
      <c r="C517" s="79"/>
      <c r="D517" s="117"/>
      <c r="E517" s="117"/>
      <c r="F517" s="117"/>
      <c r="G517" s="117"/>
      <c r="H517" s="117"/>
      <c r="I517" s="117"/>
      <c r="J517" s="117"/>
      <c r="K517" s="71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</row>
    <row r="518">
      <c r="A518" s="71"/>
      <c r="B518" s="117"/>
      <c r="C518" s="79"/>
      <c r="D518" s="117"/>
      <c r="E518" s="117"/>
      <c r="F518" s="117"/>
      <c r="G518" s="117"/>
      <c r="H518" s="117"/>
      <c r="I518" s="117"/>
      <c r="J518" s="117"/>
      <c r="K518" s="71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</row>
    <row r="519">
      <c r="A519" s="71"/>
      <c r="B519" s="117"/>
      <c r="C519" s="79"/>
      <c r="D519" s="117"/>
      <c r="E519" s="117"/>
      <c r="F519" s="117"/>
      <c r="G519" s="117"/>
      <c r="H519" s="117"/>
      <c r="I519" s="117"/>
      <c r="J519" s="117"/>
      <c r="K519" s="71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</row>
    <row r="520">
      <c r="A520" s="71"/>
      <c r="B520" s="117"/>
      <c r="C520" s="79"/>
      <c r="D520" s="117"/>
      <c r="E520" s="117"/>
      <c r="F520" s="117"/>
      <c r="G520" s="117"/>
      <c r="H520" s="117"/>
      <c r="I520" s="117"/>
      <c r="J520" s="117"/>
      <c r="K520" s="71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</row>
    <row r="521">
      <c r="A521" s="71"/>
      <c r="B521" s="117"/>
      <c r="C521" s="79"/>
      <c r="D521" s="117"/>
      <c r="E521" s="117"/>
      <c r="F521" s="117"/>
      <c r="G521" s="117"/>
      <c r="H521" s="117"/>
      <c r="I521" s="117"/>
      <c r="J521" s="117"/>
      <c r="K521" s="71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</row>
    <row r="522">
      <c r="A522" s="71"/>
      <c r="B522" s="117"/>
      <c r="C522" s="79"/>
      <c r="D522" s="117"/>
      <c r="E522" s="117"/>
      <c r="F522" s="117"/>
      <c r="G522" s="117"/>
      <c r="H522" s="117"/>
      <c r="I522" s="117"/>
      <c r="J522" s="117"/>
      <c r="K522" s="71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</row>
    <row r="523">
      <c r="A523" s="71"/>
      <c r="B523" s="117"/>
      <c r="C523" s="79"/>
      <c r="D523" s="117"/>
      <c r="E523" s="117"/>
      <c r="F523" s="117"/>
      <c r="G523" s="117"/>
      <c r="H523" s="117"/>
      <c r="I523" s="117"/>
      <c r="J523" s="117"/>
      <c r="K523" s="71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</row>
    <row r="524">
      <c r="A524" s="71"/>
      <c r="B524" s="117"/>
      <c r="C524" s="79"/>
      <c r="D524" s="117"/>
      <c r="E524" s="117"/>
      <c r="F524" s="117"/>
      <c r="G524" s="117"/>
      <c r="H524" s="117"/>
      <c r="I524" s="117"/>
      <c r="J524" s="117"/>
      <c r="K524" s="71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</row>
    <row r="525">
      <c r="A525" s="71"/>
      <c r="B525" s="117"/>
      <c r="C525" s="79"/>
      <c r="D525" s="117"/>
      <c r="E525" s="117"/>
      <c r="F525" s="117"/>
      <c r="G525" s="117"/>
      <c r="H525" s="117"/>
      <c r="I525" s="117"/>
      <c r="J525" s="117"/>
      <c r="K525" s="71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</row>
    <row r="526">
      <c r="A526" s="71"/>
      <c r="B526" s="117"/>
      <c r="C526" s="79"/>
      <c r="D526" s="117"/>
      <c r="E526" s="117"/>
      <c r="F526" s="117"/>
      <c r="G526" s="117"/>
      <c r="H526" s="117"/>
      <c r="I526" s="117"/>
      <c r="J526" s="117"/>
      <c r="K526" s="71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</row>
    <row r="527">
      <c r="A527" s="71"/>
      <c r="B527" s="117"/>
      <c r="C527" s="79"/>
      <c r="D527" s="117"/>
      <c r="E527" s="117"/>
      <c r="F527" s="117"/>
      <c r="G527" s="117"/>
      <c r="H527" s="117"/>
      <c r="I527" s="117"/>
      <c r="J527" s="117"/>
      <c r="K527" s="71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</row>
    <row r="528">
      <c r="A528" s="71"/>
      <c r="B528" s="117"/>
      <c r="C528" s="79"/>
      <c r="D528" s="117"/>
      <c r="E528" s="117"/>
      <c r="F528" s="117"/>
      <c r="G528" s="117"/>
      <c r="H528" s="117"/>
      <c r="I528" s="117"/>
      <c r="J528" s="117"/>
      <c r="K528" s="71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</row>
    <row r="529">
      <c r="A529" s="71"/>
      <c r="B529" s="117"/>
      <c r="C529" s="79"/>
      <c r="D529" s="117"/>
      <c r="E529" s="117"/>
      <c r="F529" s="117"/>
      <c r="G529" s="117"/>
      <c r="H529" s="117"/>
      <c r="I529" s="117"/>
      <c r="J529" s="117"/>
      <c r="K529" s="71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</row>
    <row r="530">
      <c r="A530" s="71"/>
      <c r="B530" s="117"/>
      <c r="C530" s="79"/>
      <c r="D530" s="117"/>
      <c r="E530" s="117"/>
      <c r="F530" s="117"/>
      <c r="G530" s="117"/>
      <c r="H530" s="117"/>
      <c r="I530" s="117"/>
      <c r="J530" s="117"/>
      <c r="K530" s="71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</row>
    <row r="531">
      <c r="A531" s="71"/>
      <c r="B531" s="117"/>
      <c r="C531" s="79"/>
      <c r="D531" s="117"/>
      <c r="E531" s="117"/>
      <c r="F531" s="117"/>
      <c r="G531" s="117"/>
      <c r="H531" s="117"/>
      <c r="I531" s="117"/>
      <c r="J531" s="117"/>
      <c r="K531" s="71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</row>
    <row r="532">
      <c r="A532" s="71"/>
      <c r="B532" s="117"/>
      <c r="C532" s="79"/>
      <c r="D532" s="117"/>
      <c r="E532" s="117"/>
      <c r="F532" s="117"/>
      <c r="G532" s="117"/>
      <c r="H532" s="117"/>
      <c r="I532" s="117"/>
      <c r="J532" s="117"/>
      <c r="K532" s="71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</row>
    <row r="533">
      <c r="A533" s="71"/>
      <c r="B533" s="117"/>
      <c r="C533" s="79"/>
      <c r="D533" s="117"/>
      <c r="E533" s="117"/>
      <c r="F533" s="117"/>
      <c r="G533" s="117"/>
      <c r="H533" s="117"/>
      <c r="I533" s="117"/>
      <c r="J533" s="117"/>
      <c r="K533" s="71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</row>
    <row r="534">
      <c r="A534" s="71"/>
      <c r="B534" s="117"/>
      <c r="C534" s="79"/>
      <c r="D534" s="117"/>
      <c r="E534" s="117"/>
      <c r="F534" s="117"/>
      <c r="G534" s="117"/>
      <c r="H534" s="117"/>
      <c r="I534" s="117"/>
      <c r="J534" s="117"/>
      <c r="K534" s="71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</row>
    <row r="535">
      <c r="A535" s="71"/>
      <c r="B535" s="117"/>
      <c r="C535" s="79"/>
      <c r="D535" s="117"/>
      <c r="E535" s="117"/>
      <c r="F535" s="117"/>
      <c r="G535" s="117"/>
      <c r="H535" s="117"/>
      <c r="I535" s="117"/>
      <c r="J535" s="117"/>
      <c r="K535" s="71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</row>
    <row r="536">
      <c r="A536" s="71"/>
      <c r="B536" s="117"/>
      <c r="C536" s="79"/>
      <c r="D536" s="117"/>
      <c r="E536" s="117"/>
      <c r="F536" s="117"/>
      <c r="G536" s="117"/>
      <c r="H536" s="117"/>
      <c r="I536" s="117"/>
      <c r="J536" s="117"/>
      <c r="K536" s="71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</row>
    <row r="537">
      <c r="A537" s="71"/>
      <c r="B537" s="117"/>
      <c r="C537" s="79"/>
      <c r="D537" s="117"/>
      <c r="E537" s="117"/>
      <c r="F537" s="117"/>
      <c r="G537" s="117"/>
      <c r="H537" s="117"/>
      <c r="I537" s="117"/>
      <c r="J537" s="117"/>
      <c r="K537" s="71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</row>
    <row r="538">
      <c r="A538" s="71"/>
      <c r="B538" s="117"/>
      <c r="C538" s="79"/>
      <c r="D538" s="117"/>
      <c r="E538" s="117"/>
      <c r="F538" s="117"/>
      <c r="G538" s="117"/>
      <c r="H538" s="117"/>
      <c r="I538" s="117"/>
      <c r="J538" s="117"/>
      <c r="K538" s="71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</row>
    <row r="539">
      <c r="A539" s="71"/>
      <c r="B539" s="117"/>
      <c r="C539" s="79"/>
      <c r="D539" s="117"/>
      <c r="E539" s="117"/>
      <c r="F539" s="117"/>
      <c r="G539" s="117"/>
      <c r="H539" s="117"/>
      <c r="I539" s="117"/>
      <c r="J539" s="117"/>
      <c r="K539" s="71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</row>
    <row r="540">
      <c r="A540" s="71"/>
      <c r="B540" s="117"/>
      <c r="C540" s="79"/>
      <c r="D540" s="117"/>
      <c r="E540" s="117"/>
      <c r="F540" s="117"/>
      <c r="G540" s="117"/>
      <c r="H540" s="117"/>
      <c r="I540" s="117"/>
      <c r="J540" s="117"/>
      <c r="K540" s="71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</row>
    <row r="541">
      <c r="A541" s="71"/>
      <c r="B541" s="117"/>
      <c r="C541" s="79"/>
      <c r="D541" s="117"/>
      <c r="E541" s="117"/>
      <c r="F541" s="117"/>
      <c r="G541" s="117"/>
      <c r="H541" s="117"/>
      <c r="I541" s="117"/>
      <c r="J541" s="117"/>
      <c r="K541" s="71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</row>
    <row r="542">
      <c r="A542" s="71"/>
      <c r="B542" s="117"/>
      <c r="C542" s="79"/>
      <c r="D542" s="117"/>
      <c r="E542" s="117"/>
      <c r="F542" s="117"/>
      <c r="G542" s="117"/>
      <c r="H542" s="117"/>
      <c r="I542" s="117"/>
      <c r="J542" s="117"/>
      <c r="K542" s="71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</row>
    <row r="543">
      <c r="A543" s="71"/>
      <c r="B543" s="117"/>
      <c r="C543" s="79"/>
      <c r="D543" s="117"/>
      <c r="E543" s="117"/>
      <c r="F543" s="117"/>
      <c r="G543" s="117"/>
      <c r="H543" s="117"/>
      <c r="I543" s="117"/>
      <c r="J543" s="117"/>
      <c r="K543" s="71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</row>
    <row r="544">
      <c r="A544" s="71"/>
      <c r="B544" s="117"/>
      <c r="C544" s="79"/>
      <c r="D544" s="117"/>
      <c r="E544" s="117"/>
      <c r="F544" s="117"/>
      <c r="G544" s="117"/>
      <c r="H544" s="117"/>
      <c r="I544" s="117"/>
      <c r="J544" s="117"/>
      <c r="K544" s="71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</row>
    <row r="545">
      <c r="A545" s="71"/>
      <c r="B545" s="117"/>
      <c r="C545" s="79"/>
      <c r="D545" s="117"/>
      <c r="E545" s="117"/>
      <c r="F545" s="117"/>
      <c r="G545" s="117"/>
      <c r="H545" s="117"/>
      <c r="I545" s="117"/>
      <c r="J545" s="117"/>
      <c r="K545" s="71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</row>
    <row r="546">
      <c r="A546" s="71"/>
      <c r="B546" s="117"/>
      <c r="C546" s="79"/>
      <c r="D546" s="117"/>
      <c r="E546" s="117"/>
      <c r="F546" s="117"/>
      <c r="G546" s="117"/>
      <c r="H546" s="117"/>
      <c r="I546" s="117"/>
      <c r="J546" s="117"/>
      <c r="K546" s="71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</row>
    <row r="547">
      <c r="A547" s="71"/>
      <c r="B547" s="117"/>
      <c r="C547" s="79"/>
      <c r="D547" s="117"/>
      <c r="E547" s="117"/>
      <c r="F547" s="117"/>
      <c r="G547" s="117"/>
      <c r="H547" s="117"/>
      <c r="I547" s="117"/>
      <c r="J547" s="117"/>
      <c r="K547" s="71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</row>
    <row r="548">
      <c r="A548" s="71"/>
      <c r="B548" s="117"/>
      <c r="C548" s="79"/>
      <c r="D548" s="117"/>
      <c r="E548" s="117"/>
      <c r="F548" s="117"/>
      <c r="G548" s="117"/>
      <c r="H548" s="117"/>
      <c r="I548" s="117"/>
      <c r="J548" s="117"/>
      <c r="K548" s="71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</row>
    <row r="549">
      <c r="A549" s="71"/>
      <c r="B549" s="117"/>
      <c r="C549" s="79"/>
      <c r="D549" s="117"/>
      <c r="E549" s="117"/>
      <c r="F549" s="117"/>
      <c r="G549" s="117"/>
      <c r="H549" s="117"/>
      <c r="I549" s="117"/>
      <c r="J549" s="117"/>
      <c r="K549" s="71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</row>
    <row r="550">
      <c r="A550" s="71"/>
      <c r="B550" s="117"/>
      <c r="C550" s="79"/>
      <c r="D550" s="117"/>
      <c r="E550" s="117"/>
      <c r="F550" s="117"/>
      <c r="G550" s="117"/>
      <c r="H550" s="117"/>
      <c r="I550" s="117"/>
      <c r="J550" s="117"/>
      <c r="K550" s="71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</row>
    <row r="551">
      <c r="A551" s="71"/>
      <c r="B551" s="117"/>
      <c r="C551" s="79"/>
      <c r="D551" s="117"/>
      <c r="E551" s="117"/>
      <c r="F551" s="117"/>
      <c r="G551" s="117"/>
      <c r="H551" s="117"/>
      <c r="I551" s="117"/>
      <c r="J551" s="117"/>
      <c r="K551" s="71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</row>
    <row r="552">
      <c r="A552" s="71"/>
      <c r="B552" s="117"/>
      <c r="C552" s="79"/>
      <c r="D552" s="117"/>
      <c r="E552" s="117"/>
      <c r="F552" s="117"/>
      <c r="G552" s="117"/>
      <c r="H552" s="117"/>
      <c r="I552" s="117"/>
      <c r="J552" s="117"/>
      <c r="K552" s="71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</row>
    <row r="553">
      <c r="A553" s="71"/>
      <c r="B553" s="117"/>
      <c r="C553" s="79"/>
      <c r="D553" s="117"/>
      <c r="E553" s="117"/>
      <c r="F553" s="117"/>
      <c r="G553" s="117"/>
      <c r="H553" s="117"/>
      <c r="I553" s="117"/>
      <c r="J553" s="117"/>
      <c r="K553" s="71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</row>
    <row r="554">
      <c r="A554" s="71"/>
      <c r="B554" s="117"/>
      <c r="C554" s="79"/>
      <c r="D554" s="117"/>
      <c r="E554" s="117"/>
      <c r="F554" s="117"/>
      <c r="G554" s="117"/>
      <c r="H554" s="117"/>
      <c r="I554" s="117"/>
      <c r="J554" s="117"/>
      <c r="K554" s="71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</row>
    <row r="555">
      <c r="A555" s="71"/>
      <c r="B555" s="117"/>
      <c r="C555" s="79"/>
      <c r="D555" s="117"/>
      <c r="E555" s="117"/>
      <c r="F555" s="117"/>
      <c r="G555" s="117"/>
      <c r="H555" s="117"/>
      <c r="I555" s="117"/>
      <c r="J555" s="117"/>
      <c r="K555" s="71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</row>
    <row r="556">
      <c r="A556" s="71"/>
      <c r="B556" s="117"/>
      <c r="C556" s="79"/>
      <c r="D556" s="117"/>
      <c r="E556" s="117"/>
      <c r="F556" s="117"/>
      <c r="G556" s="117"/>
      <c r="H556" s="117"/>
      <c r="I556" s="117"/>
      <c r="J556" s="117"/>
      <c r="K556" s="71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</row>
    <row r="557">
      <c r="A557" s="71"/>
      <c r="B557" s="117"/>
      <c r="C557" s="79"/>
      <c r="D557" s="117"/>
      <c r="E557" s="117"/>
      <c r="F557" s="117"/>
      <c r="G557" s="117"/>
      <c r="H557" s="117"/>
      <c r="I557" s="117"/>
      <c r="J557" s="117"/>
      <c r="K557" s="71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</row>
    <row r="558">
      <c r="A558" s="71"/>
      <c r="B558" s="117"/>
      <c r="C558" s="79"/>
      <c r="D558" s="117"/>
      <c r="E558" s="117"/>
      <c r="F558" s="117"/>
      <c r="G558" s="117"/>
      <c r="H558" s="117"/>
      <c r="I558" s="117"/>
      <c r="J558" s="117"/>
      <c r="K558" s="71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</row>
    <row r="559">
      <c r="A559" s="71"/>
      <c r="B559" s="117"/>
      <c r="C559" s="79"/>
      <c r="D559" s="117"/>
      <c r="E559" s="117"/>
      <c r="F559" s="117"/>
      <c r="G559" s="117"/>
      <c r="H559" s="117"/>
      <c r="I559" s="117"/>
      <c r="J559" s="117"/>
      <c r="K559" s="71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</row>
    <row r="560">
      <c r="A560" s="71"/>
      <c r="B560" s="117"/>
      <c r="C560" s="79"/>
      <c r="D560" s="117"/>
      <c r="E560" s="117"/>
      <c r="F560" s="117"/>
      <c r="G560" s="117"/>
      <c r="H560" s="117"/>
      <c r="I560" s="117"/>
      <c r="J560" s="117"/>
      <c r="K560" s="71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</row>
    <row r="561">
      <c r="A561" s="71"/>
      <c r="B561" s="117"/>
      <c r="C561" s="79"/>
      <c r="D561" s="117"/>
      <c r="E561" s="117"/>
      <c r="F561" s="117"/>
      <c r="G561" s="117"/>
      <c r="H561" s="117"/>
      <c r="I561" s="117"/>
      <c r="J561" s="117"/>
      <c r="K561" s="71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</row>
    <row r="562">
      <c r="A562" s="71"/>
      <c r="B562" s="117"/>
      <c r="C562" s="79"/>
      <c r="D562" s="117"/>
      <c r="E562" s="117"/>
      <c r="F562" s="117"/>
      <c r="G562" s="117"/>
      <c r="H562" s="117"/>
      <c r="I562" s="117"/>
      <c r="J562" s="117"/>
      <c r="K562" s="71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</row>
    <row r="563">
      <c r="A563" s="71"/>
      <c r="B563" s="117"/>
      <c r="C563" s="79"/>
      <c r="D563" s="117"/>
      <c r="E563" s="117"/>
      <c r="F563" s="117"/>
      <c r="G563" s="117"/>
      <c r="H563" s="117"/>
      <c r="I563" s="117"/>
      <c r="J563" s="117"/>
      <c r="K563" s="71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</row>
    <row r="564">
      <c r="A564" s="71"/>
      <c r="B564" s="117"/>
      <c r="C564" s="79"/>
      <c r="D564" s="117"/>
      <c r="E564" s="117"/>
      <c r="F564" s="117"/>
      <c r="G564" s="117"/>
      <c r="H564" s="117"/>
      <c r="I564" s="117"/>
      <c r="J564" s="117"/>
      <c r="K564" s="71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</row>
    <row r="565">
      <c r="A565" s="71"/>
      <c r="B565" s="117"/>
      <c r="C565" s="79"/>
      <c r="D565" s="117"/>
      <c r="E565" s="117"/>
      <c r="F565" s="117"/>
      <c r="G565" s="117"/>
      <c r="H565" s="117"/>
      <c r="I565" s="117"/>
      <c r="J565" s="117"/>
      <c r="K565" s="71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</row>
    <row r="566">
      <c r="A566" s="71"/>
      <c r="B566" s="117"/>
      <c r="C566" s="79"/>
      <c r="D566" s="117"/>
      <c r="E566" s="117"/>
      <c r="F566" s="117"/>
      <c r="G566" s="117"/>
      <c r="H566" s="117"/>
      <c r="I566" s="117"/>
      <c r="J566" s="117"/>
      <c r="K566" s="71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</row>
    <row r="567">
      <c r="A567" s="71"/>
      <c r="B567" s="117"/>
      <c r="C567" s="79"/>
      <c r="D567" s="117"/>
      <c r="E567" s="117"/>
      <c r="F567" s="117"/>
      <c r="G567" s="117"/>
      <c r="H567" s="117"/>
      <c r="I567" s="117"/>
      <c r="J567" s="117"/>
      <c r="K567" s="71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</row>
    <row r="568">
      <c r="A568" s="71"/>
      <c r="B568" s="117"/>
      <c r="C568" s="79"/>
      <c r="D568" s="117"/>
      <c r="E568" s="117"/>
      <c r="F568" s="117"/>
      <c r="G568" s="117"/>
      <c r="H568" s="117"/>
      <c r="I568" s="117"/>
      <c r="J568" s="117"/>
      <c r="K568" s="71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</row>
    <row r="569">
      <c r="A569" s="71"/>
      <c r="B569" s="117"/>
      <c r="C569" s="79"/>
      <c r="D569" s="117"/>
      <c r="E569" s="117"/>
      <c r="F569" s="117"/>
      <c r="G569" s="117"/>
      <c r="H569" s="117"/>
      <c r="I569" s="117"/>
      <c r="J569" s="117"/>
      <c r="K569" s="71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</row>
    <row r="570">
      <c r="A570" s="71"/>
      <c r="B570" s="117"/>
      <c r="C570" s="79"/>
      <c r="D570" s="117"/>
      <c r="E570" s="117"/>
      <c r="F570" s="117"/>
      <c r="G570" s="117"/>
      <c r="H570" s="117"/>
      <c r="I570" s="117"/>
      <c r="J570" s="117"/>
      <c r="K570" s="71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</row>
    <row r="571">
      <c r="A571" s="71"/>
      <c r="B571" s="117"/>
      <c r="C571" s="79"/>
      <c r="D571" s="117"/>
      <c r="E571" s="117"/>
      <c r="F571" s="117"/>
      <c r="G571" s="117"/>
      <c r="H571" s="117"/>
      <c r="I571" s="117"/>
      <c r="J571" s="117"/>
      <c r="K571" s="71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</row>
    <row r="572">
      <c r="A572" s="71"/>
      <c r="B572" s="117"/>
      <c r="C572" s="79"/>
      <c r="D572" s="117"/>
      <c r="E572" s="117"/>
      <c r="F572" s="117"/>
      <c r="G572" s="117"/>
      <c r="H572" s="117"/>
      <c r="I572" s="117"/>
      <c r="J572" s="117"/>
      <c r="K572" s="71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</row>
    <row r="573">
      <c r="A573" s="71"/>
      <c r="B573" s="117"/>
      <c r="C573" s="79"/>
      <c r="D573" s="117"/>
      <c r="E573" s="117"/>
      <c r="F573" s="117"/>
      <c r="G573" s="117"/>
      <c r="H573" s="117"/>
      <c r="I573" s="117"/>
      <c r="J573" s="117"/>
      <c r="K573" s="71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</row>
    <row r="574">
      <c r="A574" s="71"/>
      <c r="B574" s="117"/>
      <c r="C574" s="79"/>
      <c r="D574" s="117"/>
      <c r="E574" s="117"/>
      <c r="F574" s="117"/>
      <c r="G574" s="117"/>
      <c r="H574" s="117"/>
      <c r="I574" s="117"/>
      <c r="J574" s="117"/>
      <c r="K574" s="71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</row>
    <row r="575">
      <c r="A575" s="71"/>
      <c r="B575" s="117"/>
      <c r="C575" s="79"/>
      <c r="D575" s="117"/>
      <c r="E575" s="117"/>
      <c r="F575" s="117"/>
      <c r="G575" s="117"/>
      <c r="H575" s="117"/>
      <c r="I575" s="117"/>
      <c r="J575" s="117"/>
      <c r="K575" s="71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</row>
    <row r="576">
      <c r="A576" s="71"/>
      <c r="B576" s="117"/>
      <c r="C576" s="79"/>
      <c r="D576" s="117"/>
      <c r="E576" s="117"/>
      <c r="F576" s="117"/>
      <c r="G576" s="117"/>
      <c r="H576" s="117"/>
      <c r="I576" s="117"/>
      <c r="J576" s="117"/>
      <c r="K576" s="71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</row>
    <row r="577">
      <c r="A577" s="71"/>
      <c r="B577" s="117"/>
      <c r="C577" s="79"/>
      <c r="D577" s="117"/>
      <c r="E577" s="117"/>
      <c r="F577" s="117"/>
      <c r="G577" s="117"/>
      <c r="H577" s="117"/>
      <c r="I577" s="117"/>
      <c r="J577" s="117"/>
      <c r="K577" s="71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  <c r="AB577" s="117"/>
    </row>
    <row r="578">
      <c r="A578" s="71"/>
      <c r="B578" s="117"/>
      <c r="C578" s="79"/>
      <c r="D578" s="117"/>
      <c r="E578" s="117"/>
      <c r="F578" s="117"/>
      <c r="G578" s="117"/>
      <c r="H578" s="117"/>
      <c r="I578" s="117"/>
      <c r="J578" s="117"/>
      <c r="K578" s="71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</row>
    <row r="579">
      <c r="A579" s="71"/>
      <c r="B579" s="117"/>
      <c r="C579" s="79"/>
      <c r="D579" s="117"/>
      <c r="E579" s="117"/>
      <c r="F579" s="117"/>
      <c r="G579" s="117"/>
      <c r="H579" s="117"/>
      <c r="I579" s="117"/>
      <c r="J579" s="117"/>
      <c r="K579" s="71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</row>
    <row r="580">
      <c r="A580" s="71"/>
      <c r="B580" s="117"/>
      <c r="C580" s="79"/>
      <c r="D580" s="117"/>
      <c r="E580" s="117"/>
      <c r="F580" s="117"/>
      <c r="G580" s="117"/>
      <c r="H580" s="117"/>
      <c r="I580" s="117"/>
      <c r="J580" s="117"/>
      <c r="K580" s="71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  <c r="AB580" s="117"/>
    </row>
    <row r="581">
      <c r="A581" s="71"/>
      <c r="B581" s="117"/>
      <c r="C581" s="79"/>
      <c r="D581" s="117"/>
      <c r="E581" s="117"/>
      <c r="F581" s="117"/>
      <c r="G581" s="117"/>
      <c r="H581" s="117"/>
      <c r="I581" s="117"/>
      <c r="J581" s="117"/>
      <c r="K581" s="71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</row>
    <row r="582">
      <c r="A582" s="71"/>
      <c r="B582" s="117"/>
      <c r="C582" s="79"/>
      <c r="D582" s="117"/>
      <c r="E582" s="117"/>
      <c r="F582" s="117"/>
      <c r="G582" s="117"/>
      <c r="H582" s="117"/>
      <c r="I582" s="117"/>
      <c r="J582" s="117"/>
      <c r="K582" s="71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</row>
    <row r="583">
      <c r="A583" s="71"/>
      <c r="B583" s="117"/>
      <c r="C583" s="79"/>
      <c r="D583" s="117"/>
      <c r="E583" s="117"/>
      <c r="F583" s="117"/>
      <c r="G583" s="117"/>
      <c r="H583" s="117"/>
      <c r="I583" s="117"/>
      <c r="J583" s="117"/>
      <c r="K583" s="71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</row>
    <row r="584">
      <c r="A584" s="71"/>
      <c r="B584" s="117"/>
      <c r="C584" s="79"/>
      <c r="D584" s="117"/>
      <c r="E584" s="117"/>
      <c r="F584" s="117"/>
      <c r="G584" s="117"/>
      <c r="H584" s="117"/>
      <c r="I584" s="117"/>
      <c r="J584" s="117"/>
      <c r="K584" s="71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</row>
    <row r="585">
      <c r="A585" s="71"/>
      <c r="B585" s="117"/>
      <c r="C585" s="79"/>
      <c r="D585" s="117"/>
      <c r="E585" s="117"/>
      <c r="F585" s="117"/>
      <c r="G585" s="117"/>
      <c r="H585" s="117"/>
      <c r="I585" s="117"/>
      <c r="J585" s="117"/>
      <c r="K585" s="71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</row>
    <row r="586">
      <c r="A586" s="71"/>
      <c r="B586" s="117"/>
      <c r="C586" s="79"/>
      <c r="D586" s="117"/>
      <c r="E586" s="117"/>
      <c r="F586" s="117"/>
      <c r="G586" s="117"/>
      <c r="H586" s="117"/>
      <c r="I586" s="117"/>
      <c r="J586" s="117"/>
      <c r="K586" s="71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</row>
    <row r="587">
      <c r="A587" s="71"/>
      <c r="B587" s="117"/>
      <c r="C587" s="79"/>
      <c r="D587" s="117"/>
      <c r="E587" s="117"/>
      <c r="F587" s="117"/>
      <c r="G587" s="117"/>
      <c r="H587" s="117"/>
      <c r="I587" s="117"/>
      <c r="J587" s="117"/>
      <c r="K587" s="71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</row>
    <row r="588">
      <c r="A588" s="71"/>
      <c r="B588" s="117"/>
      <c r="C588" s="79"/>
      <c r="D588" s="117"/>
      <c r="E588" s="117"/>
      <c r="F588" s="117"/>
      <c r="G588" s="117"/>
      <c r="H588" s="117"/>
      <c r="I588" s="117"/>
      <c r="J588" s="117"/>
      <c r="K588" s="71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</row>
    <row r="589">
      <c r="A589" s="71"/>
      <c r="B589" s="117"/>
      <c r="C589" s="79"/>
      <c r="D589" s="117"/>
      <c r="E589" s="117"/>
      <c r="F589" s="117"/>
      <c r="G589" s="117"/>
      <c r="H589" s="117"/>
      <c r="I589" s="117"/>
      <c r="J589" s="117"/>
      <c r="K589" s="71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  <c r="AB589" s="117"/>
    </row>
    <row r="590">
      <c r="A590" s="71"/>
      <c r="B590" s="117"/>
      <c r="C590" s="79"/>
      <c r="D590" s="117"/>
      <c r="E590" s="117"/>
      <c r="F590" s="117"/>
      <c r="G590" s="117"/>
      <c r="H590" s="117"/>
      <c r="I590" s="117"/>
      <c r="J590" s="117"/>
      <c r="K590" s="71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</row>
    <row r="591">
      <c r="A591" s="71"/>
      <c r="B591" s="117"/>
      <c r="C591" s="79"/>
      <c r="D591" s="117"/>
      <c r="E591" s="117"/>
      <c r="F591" s="117"/>
      <c r="G591" s="117"/>
      <c r="H591" s="117"/>
      <c r="I591" s="117"/>
      <c r="J591" s="117"/>
      <c r="K591" s="71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</row>
    <row r="592">
      <c r="A592" s="71"/>
      <c r="B592" s="117"/>
      <c r="C592" s="79"/>
      <c r="D592" s="117"/>
      <c r="E592" s="117"/>
      <c r="F592" s="117"/>
      <c r="G592" s="117"/>
      <c r="H592" s="117"/>
      <c r="I592" s="117"/>
      <c r="J592" s="117"/>
      <c r="K592" s="71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</row>
    <row r="593">
      <c r="A593" s="71"/>
      <c r="B593" s="117"/>
      <c r="C593" s="79"/>
      <c r="D593" s="117"/>
      <c r="E593" s="117"/>
      <c r="F593" s="117"/>
      <c r="G593" s="117"/>
      <c r="H593" s="117"/>
      <c r="I593" s="117"/>
      <c r="J593" s="117"/>
      <c r="K593" s="71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</row>
    <row r="594">
      <c r="A594" s="71"/>
      <c r="B594" s="117"/>
      <c r="C594" s="79"/>
      <c r="D594" s="117"/>
      <c r="E594" s="117"/>
      <c r="F594" s="117"/>
      <c r="G594" s="117"/>
      <c r="H594" s="117"/>
      <c r="I594" s="117"/>
      <c r="J594" s="117"/>
      <c r="K594" s="71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</row>
    <row r="595">
      <c r="A595" s="71"/>
      <c r="B595" s="117"/>
      <c r="C595" s="79"/>
      <c r="D595" s="117"/>
      <c r="E595" s="117"/>
      <c r="F595" s="117"/>
      <c r="G595" s="117"/>
      <c r="H595" s="117"/>
      <c r="I595" s="117"/>
      <c r="J595" s="117"/>
      <c r="K595" s="71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  <c r="AB595" s="117"/>
    </row>
    <row r="596">
      <c r="A596" s="71"/>
      <c r="B596" s="117"/>
      <c r="C596" s="79"/>
      <c r="D596" s="117"/>
      <c r="E596" s="117"/>
      <c r="F596" s="117"/>
      <c r="G596" s="117"/>
      <c r="H596" s="117"/>
      <c r="I596" s="117"/>
      <c r="J596" s="117"/>
      <c r="K596" s="71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</row>
    <row r="597">
      <c r="A597" s="71"/>
      <c r="B597" s="117"/>
      <c r="C597" s="79"/>
      <c r="D597" s="117"/>
      <c r="E597" s="117"/>
      <c r="F597" s="117"/>
      <c r="G597" s="117"/>
      <c r="H597" s="117"/>
      <c r="I597" s="117"/>
      <c r="J597" s="117"/>
      <c r="K597" s="71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</row>
    <row r="598">
      <c r="A598" s="71"/>
      <c r="B598" s="117"/>
      <c r="C598" s="79"/>
      <c r="D598" s="117"/>
      <c r="E598" s="117"/>
      <c r="F598" s="117"/>
      <c r="G598" s="117"/>
      <c r="H598" s="117"/>
      <c r="I598" s="117"/>
      <c r="J598" s="117"/>
      <c r="K598" s="71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</row>
    <row r="599">
      <c r="A599" s="71"/>
      <c r="B599" s="117"/>
      <c r="C599" s="79"/>
      <c r="D599" s="117"/>
      <c r="E599" s="117"/>
      <c r="F599" s="117"/>
      <c r="G599" s="117"/>
      <c r="H599" s="117"/>
      <c r="I599" s="117"/>
      <c r="J599" s="117"/>
      <c r="K599" s="71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</row>
    <row r="600">
      <c r="A600" s="71"/>
      <c r="B600" s="117"/>
      <c r="C600" s="79"/>
      <c r="D600" s="117"/>
      <c r="E600" s="117"/>
      <c r="F600" s="117"/>
      <c r="G600" s="117"/>
      <c r="H600" s="117"/>
      <c r="I600" s="117"/>
      <c r="J600" s="117"/>
      <c r="K600" s="71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</row>
    <row r="601">
      <c r="A601" s="71"/>
      <c r="B601" s="117"/>
      <c r="C601" s="79"/>
      <c r="D601" s="117"/>
      <c r="E601" s="117"/>
      <c r="F601" s="117"/>
      <c r="G601" s="117"/>
      <c r="H601" s="117"/>
      <c r="I601" s="117"/>
      <c r="J601" s="117"/>
      <c r="K601" s="71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</row>
    <row r="602">
      <c r="A602" s="71"/>
      <c r="B602" s="117"/>
      <c r="C602" s="79"/>
      <c r="D602" s="117"/>
      <c r="E602" s="117"/>
      <c r="F602" s="117"/>
      <c r="G602" s="117"/>
      <c r="H602" s="117"/>
      <c r="I602" s="117"/>
      <c r="J602" s="117"/>
      <c r="K602" s="71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  <c r="AB602" s="117"/>
    </row>
    <row r="603">
      <c r="A603" s="71"/>
      <c r="B603" s="117"/>
      <c r="C603" s="79"/>
      <c r="D603" s="117"/>
      <c r="E603" s="117"/>
      <c r="F603" s="117"/>
      <c r="G603" s="117"/>
      <c r="H603" s="117"/>
      <c r="I603" s="117"/>
      <c r="J603" s="117"/>
      <c r="K603" s="71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</row>
    <row r="604">
      <c r="A604" s="71"/>
      <c r="B604" s="117"/>
      <c r="C604" s="79"/>
      <c r="D604" s="117"/>
      <c r="E604" s="117"/>
      <c r="F604" s="117"/>
      <c r="G604" s="117"/>
      <c r="H604" s="117"/>
      <c r="I604" s="117"/>
      <c r="J604" s="117"/>
      <c r="K604" s="71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</row>
    <row r="605">
      <c r="A605" s="71"/>
      <c r="B605" s="117"/>
      <c r="C605" s="79"/>
      <c r="D605" s="117"/>
      <c r="E605" s="117"/>
      <c r="F605" s="117"/>
      <c r="G605" s="117"/>
      <c r="H605" s="117"/>
      <c r="I605" s="117"/>
      <c r="J605" s="117"/>
      <c r="K605" s="71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</row>
    <row r="606">
      <c r="A606" s="71"/>
      <c r="B606" s="117"/>
      <c r="C606" s="79"/>
      <c r="D606" s="117"/>
      <c r="E606" s="117"/>
      <c r="F606" s="117"/>
      <c r="G606" s="117"/>
      <c r="H606" s="117"/>
      <c r="I606" s="117"/>
      <c r="J606" s="117"/>
      <c r="K606" s="71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</row>
    <row r="607">
      <c r="A607" s="71"/>
      <c r="B607" s="117"/>
      <c r="C607" s="79"/>
      <c r="D607" s="117"/>
      <c r="E607" s="117"/>
      <c r="F607" s="117"/>
      <c r="G607" s="117"/>
      <c r="H607" s="117"/>
      <c r="I607" s="117"/>
      <c r="J607" s="117"/>
      <c r="K607" s="71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</row>
    <row r="608">
      <c r="A608" s="71"/>
      <c r="B608" s="117"/>
      <c r="C608" s="79"/>
      <c r="D608" s="117"/>
      <c r="E608" s="117"/>
      <c r="F608" s="117"/>
      <c r="G608" s="117"/>
      <c r="H608" s="117"/>
      <c r="I608" s="117"/>
      <c r="J608" s="117"/>
      <c r="K608" s="71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</row>
    <row r="609">
      <c r="A609" s="71"/>
      <c r="B609" s="117"/>
      <c r="C609" s="79"/>
      <c r="D609" s="117"/>
      <c r="E609" s="117"/>
      <c r="F609" s="117"/>
      <c r="G609" s="117"/>
      <c r="H609" s="117"/>
      <c r="I609" s="117"/>
      <c r="J609" s="117"/>
      <c r="K609" s="71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</row>
    <row r="610">
      <c r="A610" s="71"/>
      <c r="B610" s="117"/>
      <c r="C610" s="79"/>
      <c r="D610" s="117"/>
      <c r="E610" s="117"/>
      <c r="F610" s="117"/>
      <c r="G610" s="117"/>
      <c r="H610" s="117"/>
      <c r="I610" s="117"/>
      <c r="J610" s="117"/>
      <c r="K610" s="71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</row>
    <row r="611">
      <c r="A611" s="71"/>
      <c r="B611" s="117"/>
      <c r="C611" s="79"/>
      <c r="D611" s="117"/>
      <c r="E611" s="117"/>
      <c r="F611" s="117"/>
      <c r="G611" s="117"/>
      <c r="H611" s="117"/>
      <c r="I611" s="117"/>
      <c r="J611" s="117"/>
      <c r="K611" s="71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</row>
    <row r="612">
      <c r="A612" s="71"/>
      <c r="B612" s="117"/>
      <c r="C612" s="79"/>
      <c r="D612" s="117"/>
      <c r="E612" s="117"/>
      <c r="F612" s="117"/>
      <c r="G612" s="117"/>
      <c r="H612" s="117"/>
      <c r="I612" s="117"/>
      <c r="J612" s="117"/>
      <c r="K612" s="71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</row>
    <row r="613">
      <c r="A613" s="71"/>
      <c r="B613" s="117"/>
      <c r="C613" s="79"/>
      <c r="D613" s="117"/>
      <c r="E613" s="117"/>
      <c r="F613" s="117"/>
      <c r="G613" s="117"/>
      <c r="H613" s="117"/>
      <c r="I613" s="117"/>
      <c r="J613" s="117"/>
      <c r="K613" s="71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  <c r="AB613" s="117"/>
    </row>
    <row r="614">
      <c r="A614" s="71"/>
      <c r="B614" s="117"/>
      <c r="C614" s="79"/>
      <c r="D614" s="117"/>
      <c r="E614" s="117"/>
      <c r="F614" s="117"/>
      <c r="G614" s="117"/>
      <c r="H614" s="117"/>
      <c r="I614" s="117"/>
      <c r="J614" s="117"/>
      <c r="K614" s="71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  <c r="AB614" s="117"/>
    </row>
    <row r="615">
      <c r="A615" s="71"/>
      <c r="B615" s="117"/>
      <c r="C615" s="79"/>
      <c r="D615" s="117"/>
      <c r="E615" s="117"/>
      <c r="F615" s="117"/>
      <c r="G615" s="117"/>
      <c r="H615" s="117"/>
      <c r="I615" s="117"/>
      <c r="J615" s="117"/>
      <c r="K615" s="71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</row>
    <row r="616">
      <c r="A616" s="71"/>
      <c r="B616" s="117"/>
      <c r="C616" s="79"/>
      <c r="D616" s="117"/>
      <c r="E616" s="117"/>
      <c r="F616" s="117"/>
      <c r="G616" s="117"/>
      <c r="H616" s="117"/>
      <c r="I616" s="117"/>
      <c r="J616" s="117"/>
      <c r="K616" s="71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</row>
    <row r="617">
      <c r="A617" s="71"/>
      <c r="B617" s="117"/>
      <c r="C617" s="79"/>
      <c r="D617" s="117"/>
      <c r="E617" s="117"/>
      <c r="F617" s="117"/>
      <c r="G617" s="117"/>
      <c r="H617" s="117"/>
      <c r="I617" s="117"/>
      <c r="J617" s="117"/>
      <c r="K617" s="71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</row>
    <row r="618">
      <c r="A618" s="71"/>
      <c r="B618" s="117"/>
      <c r="C618" s="79"/>
      <c r="D618" s="117"/>
      <c r="E618" s="117"/>
      <c r="F618" s="117"/>
      <c r="G618" s="117"/>
      <c r="H618" s="117"/>
      <c r="I618" s="117"/>
      <c r="J618" s="117"/>
      <c r="K618" s="71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</row>
    <row r="619">
      <c r="A619" s="71"/>
      <c r="B619" s="117"/>
      <c r="C619" s="79"/>
      <c r="D619" s="117"/>
      <c r="E619" s="117"/>
      <c r="F619" s="117"/>
      <c r="G619" s="117"/>
      <c r="H619" s="117"/>
      <c r="I619" s="117"/>
      <c r="J619" s="117"/>
      <c r="K619" s="71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</row>
    <row r="620">
      <c r="A620" s="71"/>
      <c r="B620" s="117"/>
      <c r="C620" s="79"/>
      <c r="D620" s="117"/>
      <c r="E620" s="117"/>
      <c r="F620" s="117"/>
      <c r="G620" s="117"/>
      <c r="H620" s="117"/>
      <c r="I620" s="117"/>
      <c r="J620" s="117"/>
      <c r="K620" s="71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  <c r="AB620" s="117"/>
    </row>
    <row r="621">
      <c r="A621" s="71"/>
      <c r="B621" s="117"/>
      <c r="C621" s="79"/>
      <c r="D621" s="117"/>
      <c r="E621" s="117"/>
      <c r="F621" s="117"/>
      <c r="G621" s="117"/>
      <c r="H621" s="117"/>
      <c r="I621" s="117"/>
      <c r="J621" s="117"/>
      <c r="K621" s="71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</row>
    <row r="622">
      <c r="A622" s="71"/>
      <c r="B622" s="117"/>
      <c r="C622" s="79"/>
      <c r="D622" s="117"/>
      <c r="E622" s="117"/>
      <c r="F622" s="117"/>
      <c r="G622" s="117"/>
      <c r="H622" s="117"/>
      <c r="I622" s="117"/>
      <c r="J622" s="117"/>
      <c r="K622" s="71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  <c r="AB622" s="117"/>
    </row>
    <row r="623">
      <c r="A623" s="71"/>
      <c r="B623" s="117"/>
      <c r="C623" s="79"/>
      <c r="D623" s="117"/>
      <c r="E623" s="117"/>
      <c r="F623" s="117"/>
      <c r="G623" s="117"/>
      <c r="H623" s="117"/>
      <c r="I623" s="117"/>
      <c r="J623" s="117"/>
      <c r="K623" s="71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</row>
    <row r="624">
      <c r="A624" s="71"/>
      <c r="B624" s="117"/>
      <c r="C624" s="79"/>
      <c r="D624" s="117"/>
      <c r="E624" s="117"/>
      <c r="F624" s="117"/>
      <c r="G624" s="117"/>
      <c r="H624" s="117"/>
      <c r="I624" s="117"/>
      <c r="J624" s="117"/>
      <c r="K624" s="71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</row>
    <row r="625">
      <c r="A625" s="71"/>
      <c r="B625" s="117"/>
      <c r="C625" s="79"/>
      <c r="D625" s="117"/>
      <c r="E625" s="117"/>
      <c r="F625" s="117"/>
      <c r="G625" s="117"/>
      <c r="H625" s="117"/>
      <c r="I625" s="117"/>
      <c r="J625" s="117"/>
      <c r="K625" s="71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</row>
    <row r="626">
      <c r="A626" s="71"/>
      <c r="B626" s="117"/>
      <c r="C626" s="79"/>
      <c r="D626" s="117"/>
      <c r="E626" s="117"/>
      <c r="F626" s="117"/>
      <c r="G626" s="117"/>
      <c r="H626" s="117"/>
      <c r="I626" s="117"/>
      <c r="J626" s="117"/>
      <c r="K626" s="71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</row>
    <row r="627">
      <c r="A627" s="71"/>
      <c r="B627" s="117"/>
      <c r="C627" s="79"/>
      <c r="D627" s="117"/>
      <c r="E627" s="117"/>
      <c r="F627" s="117"/>
      <c r="G627" s="117"/>
      <c r="H627" s="117"/>
      <c r="I627" s="117"/>
      <c r="J627" s="117"/>
      <c r="K627" s="71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</row>
    <row r="628">
      <c r="A628" s="71"/>
      <c r="B628" s="117"/>
      <c r="C628" s="79"/>
      <c r="D628" s="117"/>
      <c r="E628" s="117"/>
      <c r="F628" s="117"/>
      <c r="G628" s="117"/>
      <c r="H628" s="117"/>
      <c r="I628" s="117"/>
      <c r="J628" s="117"/>
      <c r="K628" s="71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  <c r="AB628" s="117"/>
    </row>
    <row r="629">
      <c r="A629" s="71"/>
      <c r="B629" s="117"/>
      <c r="C629" s="79"/>
      <c r="D629" s="117"/>
      <c r="E629" s="117"/>
      <c r="F629" s="117"/>
      <c r="G629" s="117"/>
      <c r="H629" s="117"/>
      <c r="I629" s="117"/>
      <c r="J629" s="117"/>
      <c r="K629" s="71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</row>
    <row r="630">
      <c r="A630" s="71"/>
      <c r="B630" s="117"/>
      <c r="C630" s="79"/>
      <c r="D630" s="117"/>
      <c r="E630" s="117"/>
      <c r="F630" s="117"/>
      <c r="G630" s="117"/>
      <c r="H630" s="117"/>
      <c r="I630" s="117"/>
      <c r="J630" s="117"/>
      <c r="K630" s="71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</row>
    <row r="631">
      <c r="A631" s="71"/>
      <c r="B631" s="117"/>
      <c r="C631" s="79"/>
      <c r="D631" s="117"/>
      <c r="E631" s="117"/>
      <c r="F631" s="117"/>
      <c r="G631" s="117"/>
      <c r="H631" s="117"/>
      <c r="I631" s="117"/>
      <c r="J631" s="117"/>
      <c r="K631" s="71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</row>
    <row r="632">
      <c r="A632" s="71"/>
      <c r="B632" s="117"/>
      <c r="C632" s="79"/>
      <c r="D632" s="117"/>
      <c r="E632" s="117"/>
      <c r="F632" s="117"/>
      <c r="G632" s="117"/>
      <c r="H632" s="117"/>
      <c r="I632" s="117"/>
      <c r="J632" s="117"/>
      <c r="K632" s="71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</row>
    <row r="633">
      <c r="A633" s="71"/>
      <c r="B633" s="117"/>
      <c r="C633" s="79"/>
      <c r="D633" s="117"/>
      <c r="E633" s="117"/>
      <c r="F633" s="117"/>
      <c r="G633" s="117"/>
      <c r="H633" s="117"/>
      <c r="I633" s="117"/>
      <c r="J633" s="117"/>
      <c r="K633" s="71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</row>
    <row r="634">
      <c r="A634" s="71"/>
      <c r="B634" s="117"/>
      <c r="C634" s="79"/>
      <c r="D634" s="117"/>
      <c r="E634" s="117"/>
      <c r="F634" s="117"/>
      <c r="G634" s="117"/>
      <c r="H634" s="117"/>
      <c r="I634" s="117"/>
      <c r="J634" s="117"/>
      <c r="K634" s="71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</row>
    <row r="635">
      <c r="A635" s="71"/>
      <c r="B635" s="117"/>
      <c r="C635" s="79"/>
      <c r="D635" s="117"/>
      <c r="E635" s="117"/>
      <c r="F635" s="117"/>
      <c r="G635" s="117"/>
      <c r="H635" s="117"/>
      <c r="I635" s="117"/>
      <c r="J635" s="117"/>
      <c r="K635" s="71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  <c r="AB635" s="117"/>
    </row>
    <row r="636">
      <c r="A636" s="71"/>
      <c r="B636" s="117"/>
      <c r="C636" s="79"/>
      <c r="D636" s="117"/>
      <c r="E636" s="117"/>
      <c r="F636" s="117"/>
      <c r="G636" s="117"/>
      <c r="H636" s="117"/>
      <c r="I636" s="117"/>
      <c r="J636" s="117"/>
      <c r="K636" s="71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</row>
    <row r="637">
      <c r="A637" s="71"/>
      <c r="B637" s="117"/>
      <c r="C637" s="79"/>
      <c r="D637" s="117"/>
      <c r="E637" s="117"/>
      <c r="F637" s="117"/>
      <c r="G637" s="117"/>
      <c r="H637" s="117"/>
      <c r="I637" s="117"/>
      <c r="J637" s="117"/>
      <c r="K637" s="71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  <c r="AB637" s="117"/>
    </row>
    <row r="638">
      <c r="A638" s="71"/>
      <c r="B638" s="117"/>
      <c r="C638" s="79"/>
      <c r="D638" s="117"/>
      <c r="E638" s="117"/>
      <c r="F638" s="117"/>
      <c r="G638" s="117"/>
      <c r="H638" s="117"/>
      <c r="I638" s="117"/>
      <c r="J638" s="117"/>
      <c r="K638" s="71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</row>
    <row r="639">
      <c r="A639" s="71"/>
      <c r="B639" s="117"/>
      <c r="C639" s="79"/>
      <c r="D639" s="117"/>
      <c r="E639" s="117"/>
      <c r="F639" s="117"/>
      <c r="G639" s="117"/>
      <c r="H639" s="117"/>
      <c r="I639" s="117"/>
      <c r="J639" s="117"/>
      <c r="K639" s="71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</row>
    <row r="640">
      <c r="A640" s="71"/>
      <c r="B640" s="117"/>
      <c r="C640" s="79"/>
      <c r="D640" s="117"/>
      <c r="E640" s="117"/>
      <c r="F640" s="117"/>
      <c r="G640" s="117"/>
      <c r="H640" s="117"/>
      <c r="I640" s="117"/>
      <c r="J640" s="117"/>
      <c r="K640" s="71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</row>
    <row r="641">
      <c r="A641" s="71"/>
      <c r="B641" s="117"/>
      <c r="C641" s="79"/>
      <c r="D641" s="117"/>
      <c r="E641" s="117"/>
      <c r="F641" s="117"/>
      <c r="G641" s="117"/>
      <c r="H641" s="117"/>
      <c r="I641" s="117"/>
      <c r="J641" s="117"/>
      <c r="K641" s="71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</row>
    <row r="642">
      <c r="A642" s="71"/>
      <c r="B642" s="117"/>
      <c r="C642" s="79"/>
      <c r="D642" s="117"/>
      <c r="E642" s="117"/>
      <c r="F642" s="117"/>
      <c r="G642" s="117"/>
      <c r="H642" s="117"/>
      <c r="I642" s="117"/>
      <c r="J642" s="117"/>
      <c r="K642" s="71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</row>
    <row r="643">
      <c r="A643" s="71"/>
      <c r="B643" s="117"/>
      <c r="C643" s="79"/>
      <c r="D643" s="117"/>
      <c r="E643" s="117"/>
      <c r="F643" s="117"/>
      <c r="G643" s="117"/>
      <c r="H643" s="117"/>
      <c r="I643" s="117"/>
      <c r="J643" s="117"/>
      <c r="K643" s="71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</row>
    <row r="644">
      <c r="A644" s="71"/>
      <c r="B644" s="117"/>
      <c r="C644" s="79"/>
      <c r="D644" s="117"/>
      <c r="E644" s="117"/>
      <c r="F644" s="117"/>
      <c r="G644" s="117"/>
      <c r="H644" s="117"/>
      <c r="I644" s="117"/>
      <c r="J644" s="117"/>
      <c r="K644" s="71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</row>
    <row r="645">
      <c r="A645" s="71"/>
      <c r="B645" s="117"/>
      <c r="C645" s="79"/>
      <c r="D645" s="117"/>
      <c r="E645" s="117"/>
      <c r="F645" s="117"/>
      <c r="G645" s="117"/>
      <c r="H645" s="117"/>
      <c r="I645" s="117"/>
      <c r="J645" s="117"/>
      <c r="K645" s="71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</row>
    <row r="646">
      <c r="A646" s="71"/>
      <c r="B646" s="117"/>
      <c r="C646" s="79"/>
      <c r="D646" s="117"/>
      <c r="E646" s="117"/>
      <c r="F646" s="117"/>
      <c r="G646" s="117"/>
      <c r="H646" s="117"/>
      <c r="I646" s="117"/>
      <c r="J646" s="117"/>
      <c r="K646" s="71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</row>
    <row r="647">
      <c r="A647" s="71"/>
      <c r="B647" s="117"/>
      <c r="C647" s="79"/>
      <c r="D647" s="117"/>
      <c r="E647" s="117"/>
      <c r="F647" s="117"/>
      <c r="G647" s="117"/>
      <c r="H647" s="117"/>
      <c r="I647" s="117"/>
      <c r="J647" s="117"/>
      <c r="K647" s="71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</row>
    <row r="648">
      <c r="A648" s="71"/>
      <c r="B648" s="117"/>
      <c r="C648" s="79"/>
      <c r="D648" s="117"/>
      <c r="E648" s="117"/>
      <c r="F648" s="117"/>
      <c r="G648" s="117"/>
      <c r="H648" s="117"/>
      <c r="I648" s="117"/>
      <c r="J648" s="117"/>
      <c r="K648" s="71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</row>
    <row r="649">
      <c r="A649" s="71"/>
      <c r="B649" s="117"/>
      <c r="C649" s="79"/>
      <c r="D649" s="117"/>
      <c r="E649" s="117"/>
      <c r="F649" s="117"/>
      <c r="G649" s="117"/>
      <c r="H649" s="117"/>
      <c r="I649" s="117"/>
      <c r="J649" s="117"/>
      <c r="K649" s="71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  <c r="AB649" s="117"/>
    </row>
    <row r="650">
      <c r="A650" s="71"/>
      <c r="B650" s="117"/>
      <c r="C650" s="79"/>
      <c r="D650" s="117"/>
      <c r="E650" s="117"/>
      <c r="F650" s="117"/>
      <c r="G650" s="117"/>
      <c r="H650" s="117"/>
      <c r="I650" s="117"/>
      <c r="J650" s="117"/>
      <c r="K650" s="71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</row>
    <row r="651">
      <c r="A651" s="71"/>
      <c r="B651" s="117"/>
      <c r="C651" s="79"/>
      <c r="D651" s="117"/>
      <c r="E651" s="117"/>
      <c r="F651" s="117"/>
      <c r="G651" s="117"/>
      <c r="H651" s="117"/>
      <c r="I651" s="117"/>
      <c r="J651" s="117"/>
      <c r="K651" s="71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</row>
    <row r="652">
      <c r="A652" s="71"/>
      <c r="B652" s="117"/>
      <c r="C652" s="79"/>
      <c r="D652" s="117"/>
      <c r="E652" s="117"/>
      <c r="F652" s="117"/>
      <c r="G652" s="117"/>
      <c r="H652" s="117"/>
      <c r="I652" s="117"/>
      <c r="J652" s="117"/>
      <c r="K652" s="71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</row>
    <row r="653">
      <c r="A653" s="71"/>
      <c r="B653" s="117"/>
      <c r="C653" s="79"/>
      <c r="D653" s="117"/>
      <c r="E653" s="117"/>
      <c r="F653" s="117"/>
      <c r="G653" s="117"/>
      <c r="H653" s="117"/>
      <c r="I653" s="117"/>
      <c r="J653" s="117"/>
      <c r="K653" s="71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</row>
    <row r="654">
      <c r="A654" s="71"/>
      <c r="B654" s="117"/>
      <c r="C654" s="79"/>
      <c r="D654" s="117"/>
      <c r="E654" s="117"/>
      <c r="F654" s="117"/>
      <c r="G654" s="117"/>
      <c r="H654" s="117"/>
      <c r="I654" s="117"/>
      <c r="J654" s="117"/>
      <c r="K654" s="71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</row>
    <row r="655">
      <c r="A655" s="71"/>
      <c r="B655" s="117"/>
      <c r="C655" s="79"/>
      <c r="D655" s="117"/>
      <c r="E655" s="117"/>
      <c r="F655" s="117"/>
      <c r="G655" s="117"/>
      <c r="H655" s="117"/>
      <c r="I655" s="117"/>
      <c r="J655" s="117"/>
      <c r="K655" s="71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  <c r="AB655" s="117"/>
    </row>
    <row r="656">
      <c r="A656" s="71"/>
      <c r="B656" s="117"/>
      <c r="C656" s="79"/>
      <c r="D656" s="117"/>
      <c r="E656" s="117"/>
      <c r="F656" s="117"/>
      <c r="G656" s="117"/>
      <c r="H656" s="117"/>
      <c r="I656" s="117"/>
      <c r="J656" s="117"/>
      <c r="K656" s="71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  <c r="AB656" s="117"/>
    </row>
    <row r="657">
      <c r="A657" s="71"/>
      <c r="B657" s="117"/>
      <c r="C657" s="79"/>
      <c r="D657" s="117"/>
      <c r="E657" s="117"/>
      <c r="F657" s="117"/>
      <c r="G657" s="117"/>
      <c r="H657" s="117"/>
      <c r="I657" s="117"/>
      <c r="J657" s="117"/>
      <c r="K657" s="71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  <c r="AB657" s="117"/>
    </row>
    <row r="658">
      <c r="A658" s="71"/>
      <c r="B658" s="117"/>
      <c r="C658" s="79"/>
      <c r="D658" s="117"/>
      <c r="E658" s="117"/>
      <c r="F658" s="117"/>
      <c r="G658" s="117"/>
      <c r="H658" s="117"/>
      <c r="I658" s="117"/>
      <c r="J658" s="117"/>
      <c r="K658" s="71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  <c r="AB658" s="117"/>
    </row>
    <row r="659">
      <c r="A659" s="71"/>
      <c r="B659" s="117"/>
      <c r="C659" s="79"/>
      <c r="D659" s="117"/>
      <c r="E659" s="117"/>
      <c r="F659" s="117"/>
      <c r="G659" s="117"/>
      <c r="H659" s="117"/>
      <c r="I659" s="117"/>
      <c r="J659" s="117"/>
      <c r="K659" s="71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  <c r="AB659" s="117"/>
    </row>
    <row r="660">
      <c r="A660" s="71"/>
      <c r="B660" s="117"/>
      <c r="C660" s="79"/>
      <c r="D660" s="117"/>
      <c r="E660" s="117"/>
      <c r="F660" s="117"/>
      <c r="G660" s="117"/>
      <c r="H660" s="117"/>
      <c r="I660" s="117"/>
      <c r="J660" s="117"/>
      <c r="K660" s="71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  <c r="AB660" s="117"/>
    </row>
    <row r="661">
      <c r="A661" s="71"/>
      <c r="B661" s="117"/>
      <c r="C661" s="79"/>
      <c r="D661" s="117"/>
      <c r="E661" s="117"/>
      <c r="F661" s="117"/>
      <c r="G661" s="117"/>
      <c r="H661" s="117"/>
      <c r="I661" s="117"/>
      <c r="J661" s="117"/>
      <c r="K661" s="71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  <c r="AB661" s="117"/>
    </row>
    <row r="662">
      <c r="A662" s="71"/>
      <c r="B662" s="117"/>
      <c r="C662" s="79"/>
      <c r="D662" s="117"/>
      <c r="E662" s="117"/>
      <c r="F662" s="117"/>
      <c r="G662" s="117"/>
      <c r="H662" s="117"/>
      <c r="I662" s="117"/>
      <c r="J662" s="117"/>
      <c r="K662" s="71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  <c r="AB662" s="117"/>
    </row>
    <row r="663">
      <c r="A663" s="71"/>
      <c r="B663" s="117"/>
      <c r="C663" s="79"/>
      <c r="D663" s="117"/>
      <c r="E663" s="117"/>
      <c r="F663" s="117"/>
      <c r="G663" s="117"/>
      <c r="H663" s="117"/>
      <c r="I663" s="117"/>
      <c r="J663" s="117"/>
      <c r="K663" s="71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  <c r="AB663" s="117"/>
    </row>
    <row r="664">
      <c r="A664" s="71"/>
      <c r="B664" s="117"/>
      <c r="C664" s="79"/>
      <c r="D664" s="117"/>
      <c r="E664" s="117"/>
      <c r="F664" s="117"/>
      <c r="G664" s="117"/>
      <c r="H664" s="117"/>
      <c r="I664" s="117"/>
      <c r="J664" s="117"/>
      <c r="K664" s="71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  <c r="AB664" s="117"/>
    </row>
    <row r="665">
      <c r="A665" s="71"/>
      <c r="B665" s="117"/>
      <c r="C665" s="79"/>
      <c r="D665" s="117"/>
      <c r="E665" s="117"/>
      <c r="F665" s="117"/>
      <c r="G665" s="117"/>
      <c r="H665" s="117"/>
      <c r="I665" s="117"/>
      <c r="J665" s="117"/>
      <c r="K665" s="71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  <c r="AB665" s="117"/>
    </row>
    <row r="666">
      <c r="A666" s="71"/>
      <c r="B666" s="117"/>
      <c r="C666" s="79"/>
      <c r="D666" s="117"/>
      <c r="E666" s="117"/>
      <c r="F666" s="117"/>
      <c r="G666" s="117"/>
      <c r="H666" s="117"/>
      <c r="I666" s="117"/>
      <c r="J666" s="117"/>
      <c r="K666" s="71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  <c r="AB666" s="117"/>
    </row>
    <row r="667">
      <c r="A667" s="71"/>
      <c r="B667" s="117"/>
      <c r="C667" s="79"/>
      <c r="D667" s="117"/>
      <c r="E667" s="117"/>
      <c r="F667" s="117"/>
      <c r="G667" s="117"/>
      <c r="H667" s="117"/>
      <c r="I667" s="117"/>
      <c r="J667" s="117"/>
      <c r="K667" s="71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  <c r="AB667" s="117"/>
    </row>
    <row r="668">
      <c r="A668" s="71"/>
      <c r="B668" s="117"/>
      <c r="C668" s="79"/>
      <c r="D668" s="117"/>
      <c r="E668" s="117"/>
      <c r="F668" s="117"/>
      <c r="G668" s="117"/>
      <c r="H668" s="117"/>
      <c r="I668" s="117"/>
      <c r="J668" s="117"/>
      <c r="K668" s="71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  <c r="AB668" s="117"/>
    </row>
    <row r="669">
      <c r="A669" s="71"/>
      <c r="B669" s="117"/>
      <c r="C669" s="79"/>
      <c r="D669" s="117"/>
      <c r="E669" s="117"/>
      <c r="F669" s="117"/>
      <c r="G669" s="117"/>
      <c r="H669" s="117"/>
      <c r="I669" s="117"/>
      <c r="J669" s="117"/>
      <c r="K669" s="71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  <c r="AB669" s="117"/>
    </row>
    <row r="670">
      <c r="A670" s="71"/>
      <c r="B670" s="117"/>
      <c r="C670" s="79"/>
      <c r="D670" s="117"/>
      <c r="E670" s="117"/>
      <c r="F670" s="117"/>
      <c r="G670" s="117"/>
      <c r="H670" s="117"/>
      <c r="I670" s="117"/>
      <c r="J670" s="117"/>
      <c r="K670" s="71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  <c r="AB670" s="117"/>
    </row>
    <row r="671">
      <c r="A671" s="71"/>
      <c r="B671" s="117"/>
      <c r="C671" s="79"/>
      <c r="D671" s="117"/>
      <c r="E671" s="117"/>
      <c r="F671" s="117"/>
      <c r="G671" s="117"/>
      <c r="H671" s="117"/>
      <c r="I671" s="117"/>
      <c r="J671" s="117"/>
      <c r="K671" s="71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</row>
    <row r="672">
      <c r="A672" s="71"/>
      <c r="B672" s="117"/>
      <c r="C672" s="79"/>
      <c r="D672" s="117"/>
      <c r="E672" s="117"/>
      <c r="F672" s="117"/>
      <c r="G672" s="117"/>
      <c r="H672" s="117"/>
      <c r="I672" s="117"/>
      <c r="J672" s="117"/>
      <c r="K672" s="71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  <c r="AB672" s="117"/>
    </row>
    <row r="673">
      <c r="A673" s="71"/>
      <c r="B673" s="117"/>
      <c r="C673" s="79"/>
      <c r="D673" s="117"/>
      <c r="E673" s="117"/>
      <c r="F673" s="117"/>
      <c r="G673" s="117"/>
      <c r="H673" s="117"/>
      <c r="I673" s="117"/>
      <c r="J673" s="117"/>
      <c r="K673" s="71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  <c r="AB673" s="117"/>
    </row>
    <row r="674">
      <c r="A674" s="71"/>
      <c r="B674" s="117"/>
      <c r="C674" s="79"/>
      <c r="D674" s="117"/>
      <c r="E674" s="117"/>
      <c r="F674" s="117"/>
      <c r="G674" s="117"/>
      <c r="H674" s="117"/>
      <c r="I674" s="117"/>
      <c r="J674" s="117"/>
      <c r="K674" s="71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</row>
    <row r="675">
      <c r="A675" s="71"/>
      <c r="B675" s="117"/>
      <c r="C675" s="79"/>
      <c r="D675" s="117"/>
      <c r="E675" s="117"/>
      <c r="F675" s="117"/>
      <c r="G675" s="117"/>
      <c r="H675" s="117"/>
      <c r="I675" s="117"/>
      <c r="J675" s="117"/>
      <c r="K675" s="71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</row>
    <row r="676">
      <c r="A676" s="71"/>
      <c r="B676" s="117"/>
      <c r="C676" s="79"/>
      <c r="D676" s="117"/>
      <c r="E676" s="117"/>
      <c r="F676" s="117"/>
      <c r="G676" s="117"/>
      <c r="H676" s="117"/>
      <c r="I676" s="117"/>
      <c r="J676" s="117"/>
      <c r="K676" s="71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</row>
    <row r="677">
      <c r="A677" s="71"/>
      <c r="B677" s="117"/>
      <c r="C677" s="79"/>
      <c r="D677" s="117"/>
      <c r="E677" s="117"/>
      <c r="F677" s="117"/>
      <c r="G677" s="117"/>
      <c r="H677" s="117"/>
      <c r="I677" s="117"/>
      <c r="J677" s="117"/>
      <c r="K677" s="71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  <c r="AB677" s="117"/>
    </row>
    <row r="678">
      <c r="A678" s="71"/>
      <c r="B678" s="117"/>
      <c r="C678" s="79"/>
      <c r="D678" s="117"/>
      <c r="E678" s="117"/>
      <c r="F678" s="117"/>
      <c r="G678" s="117"/>
      <c r="H678" s="117"/>
      <c r="I678" s="117"/>
      <c r="J678" s="117"/>
      <c r="K678" s="71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  <c r="AB678" s="117"/>
    </row>
    <row r="679">
      <c r="A679" s="71"/>
      <c r="B679" s="117"/>
      <c r="C679" s="79"/>
      <c r="D679" s="117"/>
      <c r="E679" s="117"/>
      <c r="F679" s="117"/>
      <c r="G679" s="117"/>
      <c r="H679" s="117"/>
      <c r="I679" s="117"/>
      <c r="J679" s="117"/>
      <c r="K679" s="71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  <c r="AB679" s="117"/>
    </row>
    <row r="680">
      <c r="A680" s="71"/>
      <c r="B680" s="117"/>
      <c r="C680" s="79"/>
      <c r="D680" s="117"/>
      <c r="E680" s="117"/>
      <c r="F680" s="117"/>
      <c r="G680" s="117"/>
      <c r="H680" s="117"/>
      <c r="I680" s="117"/>
      <c r="J680" s="117"/>
      <c r="K680" s="71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  <c r="AB680" s="117"/>
    </row>
    <row r="681">
      <c r="A681" s="71"/>
      <c r="B681" s="117"/>
      <c r="C681" s="79"/>
      <c r="D681" s="117"/>
      <c r="E681" s="117"/>
      <c r="F681" s="117"/>
      <c r="G681" s="117"/>
      <c r="H681" s="117"/>
      <c r="I681" s="117"/>
      <c r="J681" s="117"/>
      <c r="K681" s="71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  <c r="AB681" s="117"/>
    </row>
    <row r="682">
      <c r="A682" s="71"/>
      <c r="B682" s="117"/>
      <c r="C682" s="79"/>
      <c r="D682" s="117"/>
      <c r="E682" s="117"/>
      <c r="F682" s="117"/>
      <c r="G682" s="117"/>
      <c r="H682" s="117"/>
      <c r="I682" s="117"/>
      <c r="J682" s="117"/>
      <c r="K682" s="71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  <c r="AB682" s="117"/>
    </row>
    <row r="683">
      <c r="A683" s="71"/>
      <c r="B683" s="117"/>
      <c r="C683" s="79"/>
      <c r="D683" s="117"/>
      <c r="E683" s="117"/>
      <c r="F683" s="117"/>
      <c r="G683" s="117"/>
      <c r="H683" s="117"/>
      <c r="I683" s="117"/>
      <c r="J683" s="117"/>
      <c r="K683" s="71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  <c r="AB683" s="117"/>
    </row>
    <row r="684">
      <c r="A684" s="71"/>
      <c r="B684" s="117"/>
      <c r="C684" s="79"/>
      <c r="D684" s="117"/>
      <c r="E684" s="117"/>
      <c r="F684" s="117"/>
      <c r="G684" s="117"/>
      <c r="H684" s="117"/>
      <c r="I684" s="117"/>
      <c r="J684" s="117"/>
      <c r="K684" s="71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</row>
    <row r="685">
      <c r="A685" s="71"/>
      <c r="B685" s="117"/>
      <c r="C685" s="79"/>
      <c r="D685" s="117"/>
      <c r="E685" s="117"/>
      <c r="F685" s="117"/>
      <c r="G685" s="117"/>
      <c r="H685" s="117"/>
      <c r="I685" s="117"/>
      <c r="J685" s="117"/>
      <c r="K685" s="71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  <c r="AB685" s="117"/>
    </row>
    <row r="686">
      <c r="A686" s="71"/>
      <c r="B686" s="117"/>
      <c r="C686" s="79"/>
      <c r="D686" s="117"/>
      <c r="E686" s="117"/>
      <c r="F686" s="117"/>
      <c r="G686" s="117"/>
      <c r="H686" s="117"/>
      <c r="I686" s="117"/>
      <c r="J686" s="117"/>
      <c r="K686" s="71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  <c r="AB686" s="117"/>
    </row>
    <row r="687">
      <c r="A687" s="71"/>
      <c r="B687" s="117"/>
      <c r="C687" s="79"/>
      <c r="D687" s="117"/>
      <c r="E687" s="117"/>
      <c r="F687" s="117"/>
      <c r="G687" s="117"/>
      <c r="H687" s="117"/>
      <c r="I687" s="117"/>
      <c r="J687" s="117"/>
      <c r="K687" s="71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  <c r="AB687" s="117"/>
    </row>
    <row r="688">
      <c r="A688" s="71"/>
      <c r="B688" s="117"/>
      <c r="C688" s="79"/>
      <c r="D688" s="117"/>
      <c r="E688" s="117"/>
      <c r="F688" s="117"/>
      <c r="G688" s="117"/>
      <c r="H688" s="117"/>
      <c r="I688" s="117"/>
      <c r="J688" s="117"/>
      <c r="K688" s="71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  <c r="AB688" s="117"/>
    </row>
    <row r="689">
      <c r="A689" s="71"/>
      <c r="B689" s="117"/>
      <c r="C689" s="79"/>
      <c r="D689" s="117"/>
      <c r="E689" s="117"/>
      <c r="F689" s="117"/>
      <c r="G689" s="117"/>
      <c r="H689" s="117"/>
      <c r="I689" s="117"/>
      <c r="J689" s="117"/>
      <c r="K689" s="71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  <c r="AB689" s="117"/>
    </row>
    <row r="690">
      <c r="A690" s="71"/>
      <c r="B690" s="117"/>
      <c r="C690" s="79"/>
      <c r="D690" s="117"/>
      <c r="E690" s="117"/>
      <c r="F690" s="117"/>
      <c r="G690" s="117"/>
      <c r="H690" s="117"/>
      <c r="I690" s="117"/>
      <c r="J690" s="117"/>
      <c r="K690" s="71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7"/>
    </row>
    <row r="691">
      <c r="A691" s="71"/>
      <c r="B691" s="117"/>
      <c r="C691" s="79"/>
      <c r="D691" s="117"/>
      <c r="E691" s="117"/>
      <c r="F691" s="117"/>
      <c r="G691" s="117"/>
      <c r="H691" s="117"/>
      <c r="I691" s="117"/>
      <c r="J691" s="117"/>
      <c r="K691" s="71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</row>
    <row r="692">
      <c r="A692" s="71"/>
      <c r="B692" s="117"/>
      <c r="C692" s="79"/>
      <c r="D692" s="117"/>
      <c r="E692" s="117"/>
      <c r="F692" s="117"/>
      <c r="G692" s="117"/>
      <c r="H692" s="117"/>
      <c r="I692" s="117"/>
      <c r="J692" s="117"/>
      <c r="K692" s="71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  <c r="AB692" s="117"/>
    </row>
    <row r="693">
      <c r="A693" s="71"/>
      <c r="B693" s="117"/>
      <c r="C693" s="79"/>
      <c r="D693" s="117"/>
      <c r="E693" s="117"/>
      <c r="F693" s="117"/>
      <c r="G693" s="117"/>
      <c r="H693" s="117"/>
      <c r="I693" s="117"/>
      <c r="J693" s="117"/>
      <c r="K693" s="71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</row>
    <row r="694">
      <c r="A694" s="71"/>
      <c r="B694" s="117"/>
      <c r="C694" s="79"/>
      <c r="D694" s="117"/>
      <c r="E694" s="117"/>
      <c r="F694" s="117"/>
      <c r="G694" s="117"/>
      <c r="H694" s="117"/>
      <c r="I694" s="117"/>
      <c r="J694" s="117"/>
      <c r="K694" s="71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</row>
    <row r="695">
      <c r="A695" s="71"/>
      <c r="B695" s="117"/>
      <c r="C695" s="79"/>
      <c r="D695" s="117"/>
      <c r="E695" s="117"/>
      <c r="F695" s="117"/>
      <c r="G695" s="117"/>
      <c r="H695" s="117"/>
      <c r="I695" s="117"/>
      <c r="J695" s="117"/>
      <c r="K695" s="71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</row>
    <row r="696">
      <c r="A696" s="71"/>
      <c r="B696" s="117"/>
      <c r="C696" s="79"/>
      <c r="D696" s="117"/>
      <c r="E696" s="117"/>
      <c r="F696" s="117"/>
      <c r="G696" s="117"/>
      <c r="H696" s="117"/>
      <c r="I696" s="117"/>
      <c r="J696" s="117"/>
      <c r="K696" s="71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</row>
    <row r="697">
      <c r="A697" s="71"/>
      <c r="B697" s="117"/>
      <c r="C697" s="79"/>
      <c r="D697" s="117"/>
      <c r="E697" s="117"/>
      <c r="F697" s="117"/>
      <c r="G697" s="117"/>
      <c r="H697" s="117"/>
      <c r="I697" s="117"/>
      <c r="J697" s="117"/>
      <c r="K697" s="71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  <c r="AB697" s="117"/>
    </row>
    <row r="698">
      <c r="A698" s="71"/>
      <c r="B698" s="117"/>
      <c r="C698" s="79"/>
      <c r="D698" s="117"/>
      <c r="E698" s="117"/>
      <c r="F698" s="117"/>
      <c r="G698" s="117"/>
      <c r="H698" s="117"/>
      <c r="I698" s="117"/>
      <c r="J698" s="117"/>
      <c r="K698" s="71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</row>
    <row r="699">
      <c r="A699" s="71"/>
      <c r="B699" s="117"/>
      <c r="C699" s="79"/>
      <c r="D699" s="117"/>
      <c r="E699" s="117"/>
      <c r="F699" s="117"/>
      <c r="G699" s="117"/>
      <c r="H699" s="117"/>
      <c r="I699" s="117"/>
      <c r="J699" s="117"/>
      <c r="K699" s="71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</row>
    <row r="700">
      <c r="A700" s="71"/>
      <c r="B700" s="117"/>
      <c r="C700" s="79"/>
      <c r="D700" s="117"/>
      <c r="E700" s="117"/>
      <c r="F700" s="117"/>
      <c r="G700" s="117"/>
      <c r="H700" s="117"/>
      <c r="I700" s="117"/>
      <c r="J700" s="117"/>
      <c r="K700" s="71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</row>
    <row r="701">
      <c r="A701" s="71"/>
      <c r="B701" s="117"/>
      <c r="C701" s="79"/>
      <c r="D701" s="117"/>
      <c r="E701" s="117"/>
      <c r="F701" s="117"/>
      <c r="G701" s="117"/>
      <c r="H701" s="117"/>
      <c r="I701" s="117"/>
      <c r="J701" s="117"/>
      <c r="K701" s="71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  <c r="AB701" s="117"/>
    </row>
    <row r="702">
      <c r="A702" s="71"/>
      <c r="B702" s="117"/>
      <c r="C702" s="79"/>
      <c r="D702" s="117"/>
      <c r="E702" s="117"/>
      <c r="F702" s="117"/>
      <c r="G702" s="117"/>
      <c r="H702" s="117"/>
      <c r="I702" s="117"/>
      <c r="J702" s="117"/>
      <c r="K702" s="71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</row>
    <row r="703">
      <c r="A703" s="71"/>
      <c r="B703" s="117"/>
      <c r="C703" s="79"/>
      <c r="D703" s="117"/>
      <c r="E703" s="117"/>
      <c r="F703" s="117"/>
      <c r="G703" s="117"/>
      <c r="H703" s="117"/>
      <c r="I703" s="117"/>
      <c r="J703" s="117"/>
      <c r="K703" s="71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</row>
    <row r="704">
      <c r="A704" s="71"/>
      <c r="B704" s="117"/>
      <c r="C704" s="79"/>
      <c r="D704" s="117"/>
      <c r="E704" s="117"/>
      <c r="F704" s="117"/>
      <c r="G704" s="117"/>
      <c r="H704" s="117"/>
      <c r="I704" s="117"/>
      <c r="J704" s="117"/>
      <c r="K704" s="71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</row>
    <row r="705">
      <c r="A705" s="71"/>
      <c r="B705" s="117"/>
      <c r="C705" s="79"/>
      <c r="D705" s="117"/>
      <c r="E705" s="117"/>
      <c r="F705" s="117"/>
      <c r="G705" s="117"/>
      <c r="H705" s="117"/>
      <c r="I705" s="117"/>
      <c r="J705" s="117"/>
      <c r="K705" s="71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</row>
    <row r="706">
      <c r="A706" s="71"/>
      <c r="B706" s="117"/>
      <c r="C706" s="79"/>
      <c r="D706" s="117"/>
      <c r="E706" s="117"/>
      <c r="F706" s="117"/>
      <c r="G706" s="117"/>
      <c r="H706" s="117"/>
      <c r="I706" s="117"/>
      <c r="J706" s="117"/>
      <c r="K706" s="71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</row>
    <row r="707">
      <c r="A707" s="71"/>
      <c r="B707" s="117"/>
      <c r="C707" s="79"/>
      <c r="D707" s="117"/>
      <c r="E707" s="117"/>
      <c r="F707" s="117"/>
      <c r="G707" s="117"/>
      <c r="H707" s="117"/>
      <c r="I707" s="117"/>
      <c r="J707" s="117"/>
      <c r="K707" s="71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</row>
    <row r="708">
      <c r="A708" s="71"/>
      <c r="B708" s="117"/>
      <c r="C708" s="79"/>
      <c r="D708" s="117"/>
      <c r="E708" s="117"/>
      <c r="F708" s="117"/>
      <c r="G708" s="117"/>
      <c r="H708" s="117"/>
      <c r="I708" s="117"/>
      <c r="J708" s="117"/>
      <c r="K708" s="71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</row>
    <row r="709">
      <c r="A709" s="71"/>
      <c r="B709" s="117"/>
      <c r="C709" s="79"/>
      <c r="D709" s="117"/>
      <c r="E709" s="117"/>
      <c r="F709" s="117"/>
      <c r="G709" s="117"/>
      <c r="H709" s="117"/>
      <c r="I709" s="117"/>
      <c r="J709" s="117"/>
      <c r="K709" s="71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  <c r="AB709" s="117"/>
    </row>
    <row r="710">
      <c r="A710" s="71"/>
      <c r="B710" s="117"/>
      <c r="C710" s="79"/>
      <c r="D710" s="117"/>
      <c r="E710" s="117"/>
      <c r="F710" s="117"/>
      <c r="G710" s="117"/>
      <c r="H710" s="117"/>
      <c r="I710" s="117"/>
      <c r="J710" s="117"/>
      <c r="K710" s="71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  <c r="AB710" s="117"/>
    </row>
    <row r="711">
      <c r="A711" s="71"/>
      <c r="B711" s="117"/>
      <c r="C711" s="79"/>
      <c r="D711" s="117"/>
      <c r="E711" s="117"/>
      <c r="F711" s="117"/>
      <c r="G711" s="117"/>
      <c r="H711" s="117"/>
      <c r="I711" s="117"/>
      <c r="J711" s="117"/>
      <c r="K711" s="71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</row>
    <row r="712">
      <c r="A712" s="71"/>
      <c r="B712" s="117"/>
      <c r="C712" s="79"/>
      <c r="D712" s="117"/>
      <c r="E712" s="117"/>
      <c r="F712" s="117"/>
      <c r="G712" s="117"/>
      <c r="H712" s="117"/>
      <c r="I712" s="117"/>
      <c r="J712" s="117"/>
      <c r="K712" s="71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</row>
    <row r="713">
      <c r="A713" s="71"/>
      <c r="B713" s="117"/>
      <c r="C713" s="79"/>
      <c r="D713" s="117"/>
      <c r="E713" s="117"/>
      <c r="F713" s="117"/>
      <c r="G713" s="117"/>
      <c r="H713" s="117"/>
      <c r="I713" s="117"/>
      <c r="J713" s="117"/>
      <c r="K713" s="71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</row>
    <row r="714">
      <c r="A714" s="71"/>
      <c r="B714" s="117"/>
      <c r="C714" s="79"/>
      <c r="D714" s="117"/>
      <c r="E714" s="117"/>
      <c r="F714" s="117"/>
      <c r="G714" s="117"/>
      <c r="H714" s="117"/>
      <c r="I714" s="117"/>
      <c r="J714" s="117"/>
      <c r="K714" s="71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</row>
    <row r="715">
      <c r="A715" s="71"/>
      <c r="B715" s="117"/>
      <c r="C715" s="79"/>
      <c r="D715" s="117"/>
      <c r="E715" s="117"/>
      <c r="F715" s="117"/>
      <c r="G715" s="117"/>
      <c r="H715" s="117"/>
      <c r="I715" s="117"/>
      <c r="J715" s="117"/>
      <c r="K715" s="71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</row>
    <row r="716">
      <c r="A716" s="71"/>
      <c r="B716" s="117"/>
      <c r="C716" s="79"/>
      <c r="D716" s="117"/>
      <c r="E716" s="117"/>
      <c r="F716" s="117"/>
      <c r="G716" s="117"/>
      <c r="H716" s="117"/>
      <c r="I716" s="117"/>
      <c r="J716" s="117"/>
      <c r="K716" s="71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  <c r="AB716" s="117"/>
    </row>
    <row r="717">
      <c r="A717" s="71"/>
      <c r="B717" s="117"/>
      <c r="C717" s="79"/>
      <c r="D717" s="117"/>
      <c r="E717" s="117"/>
      <c r="F717" s="117"/>
      <c r="G717" s="117"/>
      <c r="H717" s="117"/>
      <c r="I717" s="117"/>
      <c r="J717" s="117"/>
      <c r="K717" s="71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</row>
    <row r="718">
      <c r="A718" s="71"/>
      <c r="B718" s="117"/>
      <c r="C718" s="79"/>
      <c r="D718" s="117"/>
      <c r="E718" s="117"/>
      <c r="F718" s="117"/>
      <c r="G718" s="117"/>
      <c r="H718" s="117"/>
      <c r="I718" s="117"/>
      <c r="J718" s="117"/>
      <c r="K718" s="71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</row>
    <row r="719">
      <c r="A719" s="71"/>
      <c r="B719" s="117"/>
      <c r="C719" s="79"/>
      <c r="D719" s="117"/>
      <c r="E719" s="117"/>
      <c r="F719" s="117"/>
      <c r="G719" s="117"/>
      <c r="H719" s="117"/>
      <c r="I719" s="117"/>
      <c r="J719" s="117"/>
      <c r="K719" s="71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  <c r="AB719" s="117"/>
    </row>
    <row r="720">
      <c r="A720" s="71"/>
      <c r="B720" s="117"/>
      <c r="C720" s="79"/>
      <c r="D720" s="117"/>
      <c r="E720" s="117"/>
      <c r="F720" s="117"/>
      <c r="G720" s="117"/>
      <c r="H720" s="117"/>
      <c r="I720" s="117"/>
      <c r="J720" s="117"/>
      <c r="K720" s="71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</row>
    <row r="721">
      <c r="A721" s="71"/>
      <c r="B721" s="117"/>
      <c r="C721" s="79"/>
      <c r="D721" s="117"/>
      <c r="E721" s="117"/>
      <c r="F721" s="117"/>
      <c r="G721" s="117"/>
      <c r="H721" s="117"/>
      <c r="I721" s="117"/>
      <c r="J721" s="117"/>
      <c r="K721" s="71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  <c r="AB721" s="117"/>
    </row>
    <row r="722">
      <c r="A722" s="71"/>
      <c r="B722" s="117"/>
      <c r="C722" s="79"/>
      <c r="D722" s="117"/>
      <c r="E722" s="117"/>
      <c r="F722" s="117"/>
      <c r="G722" s="117"/>
      <c r="H722" s="117"/>
      <c r="I722" s="117"/>
      <c r="J722" s="117"/>
      <c r="K722" s="71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</row>
    <row r="723">
      <c r="A723" s="71"/>
      <c r="B723" s="117"/>
      <c r="C723" s="79"/>
      <c r="D723" s="117"/>
      <c r="E723" s="117"/>
      <c r="F723" s="117"/>
      <c r="G723" s="117"/>
      <c r="H723" s="117"/>
      <c r="I723" s="117"/>
      <c r="J723" s="117"/>
      <c r="K723" s="71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</row>
    <row r="724">
      <c r="A724" s="71"/>
      <c r="B724" s="117"/>
      <c r="C724" s="79"/>
      <c r="D724" s="117"/>
      <c r="E724" s="117"/>
      <c r="F724" s="117"/>
      <c r="G724" s="117"/>
      <c r="H724" s="117"/>
      <c r="I724" s="117"/>
      <c r="J724" s="117"/>
      <c r="K724" s="71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  <c r="AB724" s="117"/>
    </row>
    <row r="725">
      <c r="A725" s="71"/>
      <c r="B725" s="117"/>
      <c r="C725" s="79"/>
      <c r="D725" s="117"/>
      <c r="E725" s="117"/>
      <c r="F725" s="117"/>
      <c r="G725" s="117"/>
      <c r="H725" s="117"/>
      <c r="I725" s="117"/>
      <c r="J725" s="117"/>
      <c r="K725" s="71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</row>
    <row r="726">
      <c r="A726" s="71"/>
      <c r="B726" s="117"/>
      <c r="C726" s="79"/>
      <c r="D726" s="117"/>
      <c r="E726" s="117"/>
      <c r="F726" s="117"/>
      <c r="G726" s="117"/>
      <c r="H726" s="117"/>
      <c r="I726" s="117"/>
      <c r="J726" s="117"/>
      <c r="K726" s="71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</row>
    <row r="727">
      <c r="A727" s="71"/>
      <c r="B727" s="117"/>
      <c r="C727" s="79"/>
      <c r="D727" s="117"/>
      <c r="E727" s="117"/>
      <c r="F727" s="117"/>
      <c r="G727" s="117"/>
      <c r="H727" s="117"/>
      <c r="I727" s="117"/>
      <c r="J727" s="117"/>
      <c r="K727" s="71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</row>
    <row r="728">
      <c r="A728" s="71"/>
      <c r="B728" s="117"/>
      <c r="C728" s="79"/>
      <c r="D728" s="117"/>
      <c r="E728" s="117"/>
      <c r="F728" s="117"/>
      <c r="G728" s="117"/>
      <c r="H728" s="117"/>
      <c r="I728" s="117"/>
      <c r="J728" s="117"/>
      <c r="K728" s="71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</row>
    <row r="729">
      <c r="A729" s="71"/>
      <c r="B729" s="117"/>
      <c r="C729" s="79"/>
      <c r="D729" s="117"/>
      <c r="E729" s="117"/>
      <c r="F729" s="117"/>
      <c r="G729" s="117"/>
      <c r="H729" s="117"/>
      <c r="I729" s="117"/>
      <c r="J729" s="117"/>
      <c r="K729" s="71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</row>
    <row r="730">
      <c r="A730" s="71"/>
      <c r="B730" s="117"/>
      <c r="C730" s="79"/>
      <c r="D730" s="117"/>
      <c r="E730" s="117"/>
      <c r="F730" s="117"/>
      <c r="G730" s="117"/>
      <c r="H730" s="117"/>
      <c r="I730" s="117"/>
      <c r="J730" s="117"/>
      <c r="K730" s="71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</row>
    <row r="731">
      <c r="A731" s="71"/>
      <c r="B731" s="117"/>
      <c r="C731" s="79"/>
      <c r="D731" s="117"/>
      <c r="E731" s="117"/>
      <c r="F731" s="117"/>
      <c r="G731" s="117"/>
      <c r="H731" s="117"/>
      <c r="I731" s="117"/>
      <c r="J731" s="117"/>
      <c r="K731" s="71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</row>
    <row r="732">
      <c r="A732" s="71"/>
      <c r="B732" s="117"/>
      <c r="C732" s="79"/>
      <c r="D732" s="117"/>
      <c r="E732" s="117"/>
      <c r="F732" s="117"/>
      <c r="G732" s="117"/>
      <c r="H732" s="117"/>
      <c r="I732" s="117"/>
      <c r="J732" s="117"/>
      <c r="K732" s="71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</row>
    <row r="733">
      <c r="A733" s="71"/>
      <c r="B733" s="117"/>
      <c r="C733" s="79"/>
      <c r="D733" s="117"/>
      <c r="E733" s="117"/>
      <c r="F733" s="117"/>
      <c r="G733" s="117"/>
      <c r="H733" s="117"/>
      <c r="I733" s="117"/>
      <c r="J733" s="117"/>
      <c r="K733" s="71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  <c r="AB733" s="117"/>
    </row>
    <row r="734">
      <c r="A734" s="71"/>
      <c r="B734" s="117"/>
      <c r="C734" s="79"/>
      <c r="D734" s="117"/>
      <c r="E734" s="117"/>
      <c r="F734" s="117"/>
      <c r="G734" s="117"/>
      <c r="H734" s="117"/>
      <c r="I734" s="117"/>
      <c r="J734" s="117"/>
      <c r="K734" s="71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</row>
    <row r="735">
      <c r="A735" s="71"/>
      <c r="B735" s="117"/>
      <c r="C735" s="79"/>
      <c r="D735" s="117"/>
      <c r="E735" s="117"/>
      <c r="F735" s="117"/>
      <c r="G735" s="117"/>
      <c r="H735" s="117"/>
      <c r="I735" s="117"/>
      <c r="J735" s="117"/>
      <c r="K735" s="71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</row>
    <row r="736">
      <c r="A736" s="71"/>
      <c r="B736" s="117"/>
      <c r="C736" s="79"/>
      <c r="D736" s="117"/>
      <c r="E736" s="117"/>
      <c r="F736" s="117"/>
      <c r="G736" s="117"/>
      <c r="H736" s="117"/>
      <c r="I736" s="117"/>
      <c r="J736" s="117"/>
      <c r="K736" s="71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</row>
    <row r="737">
      <c r="A737" s="71"/>
      <c r="B737" s="117"/>
      <c r="C737" s="79"/>
      <c r="D737" s="117"/>
      <c r="E737" s="117"/>
      <c r="F737" s="117"/>
      <c r="G737" s="117"/>
      <c r="H737" s="117"/>
      <c r="I737" s="117"/>
      <c r="J737" s="117"/>
      <c r="K737" s="71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</row>
    <row r="738">
      <c r="A738" s="71"/>
      <c r="B738" s="117"/>
      <c r="C738" s="79"/>
      <c r="D738" s="117"/>
      <c r="E738" s="117"/>
      <c r="F738" s="117"/>
      <c r="G738" s="117"/>
      <c r="H738" s="117"/>
      <c r="I738" s="117"/>
      <c r="J738" s="117"/>
      <c r="K738" s="71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</row>
    <row r="739">
      <c r="A739" s="71"/>
      <c r="B739" s="117"/>
      <c r="C739" s="79"/>
      <c r="D739" s="117"/>
      <c r="E739" s="117"/>
      <c r="F739" s="117"/>
      <c r="G739" s="117"/>
      <c r="H739" s="117"/>
      <c r="I739" s="117"/>
      <c r="J739" s="117"/>
      <c r="K739" s="71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</row>
    <row r="740">
      <c r="A740" s="71"/>
      <c r="B740" s="117"/>
      <c r="C740" s="79"/>
      <c r="D740" s="117"/>
      <c r="E740" s="117"/>
      <c r="F740" s="117"/>
      <c r="G740" s="117"/>
      <c r="H740" s="117"/>
      <c r="I740" s="117"/>
      <c r="J740" s="117"/>
      <c r="K740" s="71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  <c r="AB740" s="117"/>
    </row>
    <row r="741">
      <c r="A741" s="71"/>
      <c r="B741" s="117"/>
      <c r="C741" s="79"/>
      <c r="D741" s="117"/>
      <c r="E741" s="117"/>
      <c r="F741" s="117"/>
      <c r="G741" s="117"/>
      <c r="H741" s="117"/>
      <c r="I741" s="117"/>
      <c r="J741" s="117"/>
      <c r="K741" s="71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</row>
    <row r="742">
      <c r="A742" s="71"/>
      <c r="B742" s="117"/>
      <c r="C742" s="79"/>
      <c r="D742" s="117"/>
      <c r="E742" s="117"/>
      <c r="F742" s="117"/>
      <c r="G742" s="117"/>
      <c r="H742" s="117"/>
      <c r="I742" s="117"/>
      <c r="J742" s="117"/>
      <c r="K742" s="71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  <c r="AB742" s="117"/>
    </row>
    <row r="743">
      <c r="A743" s="71"/>
      <c r="B743" s="117"/>
      <c r="C743" s="79"/>
      <c r="D743" s="117"/>
      <c r="E743" s="117"/>
      <c r="F743" s="117"/>
      <c r="G743" s="117"/>
      <c r="H743" s="117"/>
      <c r="I743" s="117"/>
      <c r="J743" s="117"/>
      <c r="K743" s="71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</row>
    <row r="744">
      <c r="A744" s="71"/>
      <c r="B744" s="117"/>
      <c r="C744" s="79"/>
      <c r="D744" s="117"/>
      <c r="E744" s="117"/>
      <c r="F744" s="117"/>
      <c r="G744" s="117"/>
      <c r="H744" s="117"/>
      <c r="I744" s="117"/>
      <c r="J744" s="117"/>
      <c r="K744" s="71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</row>
    <row r="745">
      <c r="A745" s="71"/>
      <c r="B745" s="117"/>
      <c r="C745" s="79"/>
      <c r="D745" s="117"/>
      <c r="E745" s="117"/>
      <c r="F745" s="117"/>
      <c r="G745" s="117"/>
      <c r="H745" s="117"/>
      <c r="I745" s="117"/>
      <c r="J745" s="117"/>
      <c r="K745" s="71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  <c r="AB745" s="117"/>
    </row>
    <row r="746">
      <c r="A746" s="71"/>
      <c r="B746" s="117"/>
      <c r="C746" s="79"/>
      <c r="D746" s="117"/>
      <c r="E746" s="117"/>
      <c r="F746" s="117"/>
      <c r="G746" s="117"/>
      <c r="H746" s="117"/>
      <c r="I746" s="117"/>
      <c r="J746" s="117"/>
      <c r="K746" s="71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</row>
    <row r="747">
      <c r="A747" s="71"/>
      <c r="B747" s="117"/>
      <c r="C747" s="79"/>
      <c r="D747" s="117"/>
      <c r="E747" s="117"/>
      <c r="F747" s="117"/>
      <c r="G747" s="117"/>
      <c r="H747" s="117"/>
      <c r="I747" s="117"/>
      <c r="J747" s="117"/>
      <c r="K747" s="71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</row>
    <row r="748">
      <c r="A748" s="71"/>
      <c r="B748" s="117"/>
      <c r="C748" s="79"/>
      <c r="D748" s="117"/>
      <c r="E748" s="117"/>
      <c r="F748" s="117"/>
      <c r="G748" s="117"/>
      <c r="H748" s="117"/>
      <c r="I748" s="117"/>
      <c r="J748" s="117"/>
      <c r="K748" s="71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</row>
    <row r="749">
      <c r="A749" s="71"/>
      <c r="B749" s="117"/>
      <c r="C749" s="79"/>
      <c r="D749" s="117"/>
      <c r="E749" s="117"/>
      <c r="F749" s="117"/>
      <c r="G749" s="117"/>
      <c r="H749" s="117"/>
      <c r="I749" s="117"/>
      <c r="J749" s="117"/>
      <c r="K749" s="71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</row>
    <row r="750">
      <c r="A750" s="71"/>
      <c r="B750" s="117"/>
      <c r="C750" s="79"/>
      <c r="D750" s="117"/>
      <c r="E750" s="117"/>
      <c r="F750" s="117"/>
      <c r="G750" s="117"/>
      <c r="H750" s="117"/>
      <c r="I750" s="117"/>
      <c r="J750" s="117"/>
      <c r="K750" s="71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</row>
    <row r="751">
      <c r="A751" s="71"/>
      <c r="B751" s="117"/>
      <c r="C751" s="79"/>
      <c r="D751" s="117"/>
      <c r="E751" s="117"/>
      <c r="F751" s="117"/>
      <c r="G751" s="117"/>
      <c r="H751" s="117"/>
      <c r="I751" s="117"/>
      <c r="J751" s="117"/>
      <c r="K751" s="71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</row>
    <row r="752">
      <c r="A752" s="71"/>
      <c r="B752" s="117"/>
      <c r="C752" s="79"/>
      <c r="D752" s="117"/>
      <c r="E752" s="117"/>
      <c r="F752" s="117"/>
      <c r="G752" s="117"/>
      <c r="H752" s="117"/>
      <c r="I752" s="117"/>
      <c r="J752" s="117"/>
      <c r="K752" s="71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</row>
    <row r="753">
      <c r="A753" s="71"/>
      <c r="B753" s="117"/>
      <c r="C753" s="79"/>
      <c r="D753" s="117"/>
      <c r="E753" s="117"/>
      <c r="F753" s="117"/>
      <c r="G753" s="117"/>
      <c r="H753" s="117"/>
      <c r="I753" s="117"/>
      <c r="J753" s="117"/>
      <c r="K753" s="71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</row>
    <row r="754">
      <c r="A754" s="71"/>
      <c r="B754" s="117"/>
      <c r="C754" s="79"/>
      <c r="D754" s="117"/>
      <c r="E754" s="117"/>
      <c r="F754" s="117"/>
      <c r="G754" s="117"/>
      <c r="H754" s="117"/>
      <c r="I754" s="117"/>
      <c r="J754" s="117"/>
      <c r="K754" s="71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</row>
    <row r="755">
      <c r="A755" s="71"/>
      <c r="B755" s="117"/>
      <c r="C755" s="79"/>
      <c r="D755" s="117"/>
      <c r="E755" s="117"/>
      <c r="F755" s="117"/>
      <c r="G755" s="117"/>
      <c r="H755" s="117"/>
      <c r="I755" s="117"/>
      <c r="J755" s="117"/>
      <c r="K755" s="71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</row>
    <row r="756">
      <c r="A756" s="71"/>
      <c r="B756" s="117"/>
      <c r="C756" s="79"/>
      <c r="D756" s="117"/>
      <c r="E756" s="117"/>
      <c r="F756" s="117"/>
      <c r="G756" s="117"/>
      <c r="H756" s="117"/>
      <c r="I756" s="117"/>
      <c r="J756" s="117"/>
      <c r="K756" s="71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  <c r="AB756" s="117"/>
    </row>
    <row r="757">
      <c r="A757" s="71"/>
      <c r="B757" s="117"/>
      <c r="C757" s="79"/>
      <c r="D757" s="117"/>
      <c r="E757" s="117"/>
      <c r="F757" s="117"/>
      <c r="G757" s="117"/>
      <c r="H757" s="117"/>
      <c r="I757" s="117"/>
      <c r="J757" s="117"/>
      <c r="K757" s="71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  <c r="AB757" s="117"/>
    </row>
    <row r="758">
      <c r="A758" s="71"/>
      <c r="B758" s="117"/>
      <c r="C758" s="79"/>
      <c r="D758" s="117"/>
      <c r="E758" s="117"/>
      <c r="F758" s="117"/>
      <c r="G758" s="117"/>
      <c r="H758" s="117"/>
      <c r="I758" s="117"/>
      <c r="J758" s="117"/>
      <c r="K758" s="71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  <c r="AB758" s="117"/>
    </row>
    <row r="759">
      <c r="A759" s="71"/>
      <c r="B759" s="117"/>
      <c r="C759" s="79"/>
      <c r="D759" s="117"/>
      <c r="E759" s="117"/>
      <c r="F759" s="117"/>
      <c r="G759" s="117"/>
      <c r="H759" s="117"/>
      <c r="I759" s="117"/>
      <c r="J759" s="117"/>
      <c r="K759" s="71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  <c r="AB759" s="117"/>
    </row>
    <row r="760">
      <c r="A760" s="71"/>
      <c r="B760" s="117"/>
      <c r="C760" s="79"/>
      <c r="D760" s="117"/>
      <c r="E760" s="117"/>
      <c r="F760" s="117"/>
      <c r="G760" s="117"/>
      <c r="H760" s="117"/>
      <c r="I760" s="117"/>
      <c r="J760" s="117"/>
      <c r="K760" s="71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  <c r="AB760" s="117"/>
    </row>
    <row r="761">
      <c r="A761" s="71"/>
      <c r="B761" s="117"/>
      <c r="C761" s="79"/>
      <c r="D761" s="117"/>
      <c r="E761" s="117"/>
      <c r="F761" s="117"/>
      <c r="G761" s="117"/>
      <c r="H761" s="117"/>
      <c r="I761" s="117"/>
      <c r="J761" s="117"/>
      <c r="K761" s="71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  <c r="AB761" s="117"/>
    </row>
    <row r="762">
      <c r="A762" s="71"/>
      <c r="B762" s="117"/>
      <c r="C762" s="79"/>
      <c r="D762" s="117"/>
      <c r="E762" s="117"/>
      <c r="F762" s="117"/>
      <c r="G762" s="117"/>
      <c r="H762" s="117"/>
      <c r="I762" s="117"/>
      <c r="J762" s="117"/>
      <c r="K762" s="71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  <c r="AB762" s="117"/>
    </row>
    <row r="763">
      <c r="A763" s="71"/>
      <c r="B763" s="117"/>
      <c r="C763" s="79"/>
      <c r="D763" s="117"/>
      <c r="E763" s="117"/>
      <c r="F763" s="117"/>
      <c r="G763" s="117"/>
      <c r="H763" s="117"/>
      <c r="I763" s="117"/>
      <c r="J763" s="117"/>
      <c r="K763" s="71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  <c r="AB763" s="117"/>
    </row>
    <row r="764">
      <c r="A764" s="71"/>
      <c r="B764" s="117"/>
      <c r="C764" s="79"/>
      <c r="D764" s="117"/>
      <c r="E764" s="117"/>
      <c r="F764" s="117"/>
      <c r="G764" s="117"/>
      <c r="H764" s="117"/>
      <c r="I764" s="117"/>
      <c r="J764" s="117"/>
      <c r="K764" s="71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  <c r="AB764" s="117"/>
    </row>
    <row r="765">
      <c r="A765" s="71"/>
      <c r="B765" s="117"/>
      <c r="C765" s="79"/>
      <c r="D765" s="117"/>
      <c r="E765" s="117"/>
      <c r="F765" s="117"/>
      <c r="G765" s="117"/>
      <c r="H765" s="117"/>
      <c r="I765" s="117"/>
      <c r="J765" s="117"/>
      <c r="K765" s="71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  <c r="AB765" s="117"/>
    </row>
    <row r="766">
      <c r="A766" s="71"/>
      <c r="B766" s="117"/>
      <c r="C766" s="79"/>
      <c r="D766" s="117"/>
      <c r="E766" s="117"/>
      <c r="F766" s="117"/>
      <c r="G766" s="117"/>
      <c r="H766" s="117"/>
      <c r="I766" s="117"/>
      <c r="J766" s="117"/>
      <c r="K766" s="71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  <c r="AB766" s="117"/>
    </row>
    <row r="767">
      <c r="A767" s="71"/>
      <c r="B767" s="117"/>
      <c r="C767" s="79"/>
      <c r="D767" s="117"/>
      <c r="E767" s="117"/>
      <c r="F767" s="117"/>
      <c r="G767" s="117"/>
      <c r="H767" s="117"/>
      <c r="I767" s="117"/>
      <c r="J767" s="117"/>
      <c r="K767" s="71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  <c r="AB767" s="117"/>
    </row>
    <row r="768">
      <c r="A768" s="71"/>
      <c r="B768" s="117"/>
      <c r="C768" s="79"/>
      <c r="D768" s="117"/>
      <c r="E768" s="117"/>
      <c r="F768" s="117"/>
      <c r="G768" s="117"/>
      <c r="H768" s="117"/>
      <c r="I768" s="117"/>
      <c r="J768" s="117"/>
      <c r="K768" s="71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  <c r="AB768" s="117"/>
    </row>
    <row r="769">
      <c r="A769" s="71"/>
      <c r="B769" s="117"/>
      <c r="C769" s="79"/>
      <c r="D769" s="117"/>
      <c r="E769" s="117"/>
      <c r="F769" s="117"/>
      <c r="G769" s="117"/>
      <c r="H769" s="117"/>
      <c r="I769" s="117"/>
      <c r="J769" s="117"/>
      <c r="K769" s="71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  <c r="AB769" s="117"/>
    </row>
    <row r="770">
      <c r="A770" s="71"/>
      <c r="B770" s="117"/>
      <c r="C770" s="79"/>
      <c r="D770" s="117"/>
      <c r="E770" s="117"/>
      <c r="F770" s="117"/>
      <c r="G770" s="117"/>
      <c r="H770" s="117"/>
      <c r="I770" s="117"/>
      <c r="J770" s="117"/>
      <c r="K770" s="71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  <c r="AB770" s="117"/>
    </row>
    <row r="771">
      <c r="A771" s="71"/>
      <c r="B771" s="117"/>
      <c r="C771" s="79"/>
      <c r="D771" s="117"/>
      <c r="E771" s="117"/>
      <c r="F771" s="117"/>
      <c r="G771" s="117"/>
      <c r="H771" s="117"/>
      <c r="I771" s="117"/>
      <c r="J771" s="117"/>
      <c r="K771" s="71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  <c r="AB771" s="117"/>
    </row>
    <row r="772">
      <c r="A772" s="71"/>
      <c r="B772" s="117"/>
      <c r="C772" s="79"/>
      <c r="D772" s="117"/>
      <c r="E772" s="117"/>
      <c r="F772" s="117"/>
      <c r="G772" s="117"/>
      <c r="H772" s="117"/>
      <c r="I772" s="117"/>
      <c r="J772" s="117"/>
      <c r="K772" s="71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  <c r="AB772" s="117"/>
    </row>
    <row r="773">
      <c r="A773" s="71"/>
      <c r="B773" s="117"/>
      <c r="C773" s="79"/>
      <c r="D773" s="117"/>
      <c r="E773" s="117"/>
      <c r="F773" s="117"/>
      <c r="G773" s="117"/>
      <c r="H773" s="117"/>
      <c r="I773" s="117"/>
      <c r="J773" s="117"/>
      <c r="K773" s="71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  <c r="AB773" s="117"/>
    </row>
    <row r="774">
      <c r="A774" s="71"/>
      <c r="B774" s="117"/>
      <c r="C774" s="79"/>
      <c r="D774" s="117"/>
      <c r="E774" s="117"/>
      <c r="F774" s="117"/>
      <c r="G774" s="117"/>
      <c r="H774" s="117"/>
      <c r="I774" s="117"/>
      <c r="J774" s="117"/>
      <c r="K774" s="71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  <c r="AB774" s="117"/>
    </row>
    <row r="775">
      <c r="A775" s="71"/>
      <c r="B775" s="117"/>
      <c r="C775" s="79"/>
      <c r="D775" s="117"/>
      <c r="E775" s="117"/>
      <c r="F775" s="117"/>
      <c r="G775" s="117"/>
      <c r="H775" s="117"/>
      <c r="I775" s="117"/>
      <c r="J775" s="117"/>
      <c r="K775" s="71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  <c r="AB775" s="117"/>
    </row>
    <row r="776">
      <c r="A776" s="71"/>
      <c r="B776" s="117"/>
      <c r="C776" s="79"/>
      <c r="D776" s="117"/>
      <c r="E776" s="117"/>
      <c r="F776" s="117"/>
      <c r="G776" s="117"/>
      <c r="H776" s="117"/>
      <c r="I776" s="117"/>
      <c r="J776" s="117"/>
      <c r="K776" s="71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  <c r="AB776" s="117"/>
    </row>
    <row r="777">
      <c r="A777" s="71"/>
      <c r="B777" s="117"/>
      <c r="C777" s="79"/>
      <c r="D777" s="117"/>
      <c r="E777" s="117"/>
      <c r="F777" s="117"/>
      <c r="G777" s="117"/>
      <c r="H777" s="117"/>
      <c r="I777" s="117"/>
      <c r="J777" s="117"/>
      <c r="K777" s="71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</row>
    <row r="778">
      <c r="A778" s="71"/>
      <c r="B778" s="117"/>
      <c r="C778" s="79"/>
      <c r="D778" s="117"/>
      <c r="E778" s="117"/>
      <c r="F778" s="117"/>
      <c r="G778" s="117"/>
      <c r="H778" s="117"/>
      <c r="I778" s="117"/>
      <c r="J778" s="117"/>
      <c r="K778" s="71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  <c r="AB778" s="117"/>
    </row>
    <row r="779">
      <c r="A779" s="71"/>
      <c r="B779" s="117"/>
      <c r="C779" s="79"/>
      <c r="D779" s="117"/>
      <c r="E779" s="117"/>
      <c r="F779" s="117"/>
      <c r="G779" s="117"/>
      <c r="H779" s="117"/>
      <c r="I779" s="117"/>
      <c r="J779" s="117"/>
      <c r="K779" s="71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  <c r="AB779" s="117"/>
    </row>
    <row r="780">
      <c r="A780" s="71"/>
      <c r="B780" s="117"/>
      <c r="C780" s="79"/>
      <c r="D780" s="117"/>
      <c r="E780" s="117"/>
      <c r="F780" s="117"/>
      <c r="G780" s="117"/>
      <c r="H780" s="117"/>
      <c r="I780" s="117"/>
      <c r="J780" s="117"/>
      <c r="K780" s="71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  <c r="AB780" s="117"/>
    </row>
    <row r="781">
      <c r="A781" s="71"/>
      <c r="B781" s="117"/>
      <c r="C781" s="79"/>
      <c r="D781" s="117"/>
      <c r="E781" s="117"/>
      <c r="F781" s="117"/>
      <c r="G781" s="117"/>
      <c r="H781" s="117"/>
      <c r="I781" s="117"/>
      <c r="J781" s="117"/>
      <c r="K781" s="71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  <c r="AB781" s="117"/>
    </row>
    <row r="782">
      <c r="A782" s="71"/>
      <c r="B782" s="117"/>
      <c r="C782" s="79"/>
      <c r="D782" s="117"/>
      <c r="E782" s="117"/>
      <c r="F782" s="117"/>
      <c r="G782" s="117"/>
      <c r="H782" s="117"/>
      <c r="I782" s="117"/>
      <c r="J782" s="117"/>
      <c r="K782" s="71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  <c r="AB782" s="117"/>
    </row>
    <row r="783">
      <c r="A783" s="71"/>
      <c r="B783" s="117"/>
      <c r="C783" s="79"/>
      <c r="D783" s="117"/>
      <c r="E783" s="117"/>
      <c r="F783" s="117"/>
      <c r="G783" s="117"/>
      <c r="H783" s="117"/>
      <c r="I783" s="117"/>
      <c r="J783" s="117"/>
      <c r="K783" s="71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  <c r="AB783" s="117"/>
    </row>
    <row r="784">
      <c r="A784" s="71"/>
      <c r="B784" s="117"/>
      <c r="C784" s="79"/>
      <c r="D784" s="117"/>
      <c r="E784" s="117"/>
      <c r="F784" s="117"/>
      <c r="G784" s="117"/>
      <c r="H784" s="117"/>
      <c r="I784" s="117"/>
      <c r="J784" s="117"/>
      <c r="K784" s="71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  <c r="AB784" s="117"/>
    </row>
    <row r="785">
      <c r="A785" s="71"/>
      <c r="B785" s="117"/>
      <c r="C785" s="79"/>
      <c r="D785" s="117"/>
      <c r="E785" s="117"/>
      <c r="F785" s="117"/>
      <c r="G785" s="117"/>
      <c r="H785" s="117"/>
      <c r="I785" s="117"/>
      <c r="J785" s="117"/>
      <c r="K785" s="71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  <c r="AB785" s="117"/>
    </row>
    <row r="786">
      <c r="A786" s="71"/>
      <c r="B786" s="117"/>
      <c r="C786" s="79"/>
      <c r="D786" s="117"/>
      <c r="E786" s="117"/>
      <c r="F786" s="117"/>
      <c r="G786" s="117"/>
      <c r="H786" s="117"/>
      <c r="I786" s="117"/>
      <c r="J786" s="117"/>
      <c r="K786" s="71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  <c r="AB786" s="117"/>
    </row>
    <row r="787">
      <c r="A787" s="71"/>
      <c r="B787" s="117"/>
      <c r="C787" s="79"/>
      <c r="D787" s="117"/>
      <c r="E787" s="117"/>
      <c r="F787" s="117"/>
      <c r="G787" s="117"/>
      <c r="H787" s="117"/>
      <c r="I787" s="117"/>
      <c r="J787" s="117"/>
      <c r="K787" s="71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  <c r="AB787" s="117"/>
    </row>
    <row r="788">
      <c r="A788" s="71"/>
      <c r="B788" s="117"/>
      <c r="C788" s="79"/>
      <c r="D788" s="117"/>
      <c r="E788" s="117"/>
      <c r="F788" s="117"/>
      <c r="G788" s="117"/>
      <c r="H788" s="117"/>
      <c r="I788" s="117"/>
      <c r="J788" s="117"/>
      <c r="K788" s="71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  <c r="AB788" s="117"/>
    </row>
    <row r="789">
      <c r="A789" s="71"/>
      <c r="B789" s="117"/>
      <c r="C789" s="79"/>
      <c r="D789" s="117"/>
      <c r="E789" s="117"/>
      <c r="F789" s="117"/>
      <c r="G789" s="117"/>
      <c r="H789" s="117"/>
      <c r="I789" s="117"/>
      <c r="J789" s="117"/>
      <c r="K789" s="71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7"/>
    </row>
    <row r="790">
      <c r="A790" s="71"/>
      <c r="B790" s="117"/>
      <c r="C790" s="79"/>
      <c r="D790" s="117"/>
      <c r="E790" s="117"/>
      <c r="F790" s="117"/>
      <c r="G790" s="117"/>
      <c r="H790" s="117"/>
      <c r="I790" s="117"/>
      <c r="J790" s="117"/>
      <c r="K790" s="71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  <c r="AB790" s="117"/>
    </row>
    <row r="791">
      <c r="A791" s="71"/>
      <c r="B791" s="117"/>
      <c r="C791" s="79"/>
      <c r="D791" s="117"/>
      <c r="E791" s="117"/>
      <c r="F791" s="117"/>
      <c r="G791" s="117"/>
      <c r="H791" s="117"/>
      <c r="I791" s="117"/>
      <c r="J791" s="117"/>
      <c r="K791" s="71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  <c r="AB791" s="117"/>
    </row>
    <row r="792">
      <c r="A792" s="71"/>
      <c r="B792" s="117"/>
      <c r="C792" s="79"/>
      <c r="D792" s="117"/>
      <c r="E792" s="117"/>
      <c r="F792" s="117"/>
      <c r="G792" s="117"/>
      <c r="H792" s="117"/>
      <c r="I792" s="117"/>
      <c r="J792" s="117"/>
      <c r="K792" s="71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  <c r="AB792" s="117"/>
    </row>
    <row r="793">
      <c r="A793" s="71"/>
      <c r="B793" s="117"/>
      <c r="C793" s="79"/>
      <c r="D793" s="117"/>
      <c r="E793" s="117"/>
      <c r="F793" s="117"/>
      <c r="G793" s="117"/>
      <c r="H793" s="117"/>
      <c r="I793" s="117"/>
      <c r="J793" s="117"/>
      <c r="K793" s="71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  <c r="AB793" s="117"/>
    </row>
    <row r="794">
      <c r="A794" s="71"/>
      <c r="B794" s="117"/>
      <c r="C794" s="79"/>
      <c r="D794" s="117"/>
      <c r="E794" s="117"/>
      <c r="F794" s="117"/>
      <c r="G794" s="117"/>
      <c r="H794" s="117"/>
      <c r="I794" s="117"/>
      <c r="J794" s="117"/>
      <c r="K794" s="71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</row>
    <row r="795">
      <c r="A795" s="71"/>
      <c r="B795" s="117"/>
      <c r="C795" s="79"/>
      <c r="D795" s="117"/>
      <c r="E795" s="117"/>
      <c r="F795" s="117"/>
      <c r="G795" s="117"/>
      <c r="H795" s="117"/>
      <c r="I795" s="117"/>
      <c r="J795" s="117"/>
      <c r="K795" s="71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</row>
    <row r="796">
      <c r="A796" s="71"/>
      <c r="B796" s="117"/>
      <c r="C796" s="79"/>
      <c r="D796" s="117"/>
      <c r="E796" s="117"/>
      <c r="F796" s="117"/>
      <c r="G796" s="117"/>
      <c r="H796" s="117"/>
      <c r="I796" s="117"/>
      <c r="J796" s="117"/>
      <c r="K796" s="71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/>
    </row>
    <row r="797">
      <c r="A797" s="71"/>
      <c r="B797" s="117"/>
      <c r="C797" s="79"/>
      <c r="D797" s="117"/>
      <c r="E797" s="117"/>
      <c r="F797" s="117"/>
      <c r="G797" s="117"/>
      <c r="H797" s="117"/>
      <c r="I797" s="117"/>
      <c r="J797" s="117"/>
      <c r="K797" s="71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</row>
    <row r="798">
      <c r="A798" s="71"/>
      <c r="B798" s="117"/>
      <c r="C798" s="79"/>
      <c r="D798" s="117"/>
      <c r="E798" s="117"/>
      <c r="F798" s="117"/>
      <c r="G798" s="117"/>
      <c r="H798" s="117"/>
      <c r="I798" s="117"/>
      <c r="J798" s="117"/>
      <c r="K798" s="71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</row>
    <row r="799">
      <c r="A799" s="71"/>
      <c r="B799" s="117"/>
      <c r="C799" s="79"/>
      <c r="D799" s="117"/>
      <c r="E799" s="117"/>
      <c r="F799" s="117"/>
      <c r="G799" s="117"/>
      <c r="H799" s="117"/>
      <c r="I799" s="117"/>
      <c r="J799" s="117"/>
      <c r="K799" s="71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</row>
    <row r="800">
      <c r="A800" s="71"/>
      <c r="B800" s="117"/>
      <c r="C800" s="79"/>
      <c r="D800" s="117"/>
      <c r="E800" s="117"/>
      <c r="F800" s="117"/>
      <c r="G800" s="117"/>
      <c r="H800" s="117"/>
      <c r="I800" s="117"/>
      <c r="J800" s="117"/>
      <c r="K800" s="71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</row>
    <row r="801">
      <c r="A801" s="71"/>
      <c r="B801" s="117"/>
      <c r="C801" s="79"/>
      <c r="D801" s="117"/>
      <c r="E801" s="117"/>
      <c r="F801" s="117"/>
      <c r="G801" s="117"/>
      <c r="H801" s="117"/>
      <c r="I801" s="117"/>
      <c r="J801" s="117"/>
      <c r="K801" s="71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</row>
    <row r="802">
      <c r="A802" s="71"/>
      <c r="B802" s="117"/>
      <c r="C802" s="79"/>
      <c r="D802" s="117"/>
      <c r="E802" s="117"/>
      <c r="F802" s="117"/>
      <c r="G802" s="117"/>
      <c r="H802" s="117"/>
      <c r="I802" s="117"/>
      <c r="J802" s="117"/>
      <c r="K802" s="71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</row>
    <row r="803">
      <c r="A803" s="71"/>
      <c r="B803" s="117"/>
      <c r="C803" s="79"/>
      <c r="D803" s="117"/>
      <c r="E803" s="117"/>
      <c r="F803" s="117"/>
      <c r="G803" s="117"/>
      <c r="H803" s="117"/>
      <c r="I803" s="117"/>
      <c r="J803" s="117"/>
      <c r="K803" s="71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</row>
    <row r="804">
      <c r="A804" s="71"/>
      <c r="B804" s="117"/>
      <c r="C804" s="79"/>
      <c r="D804" s="117"/>
      <c r="E804" s="117"/>
      <c r="F804" s="117"/>
      <c r="G804" s="117"/>
      <c r="H804" s="117"/>
      <c r="I804" s="117"/>
      <c r="J804" s="117"/>
      <c r="K804" s="71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</row>
    <row r="805">
      <c r="A805" s="71"/>
      <c r="B805" s="117"/>
      <c r="C805" s="79"/>
      <c r="D805" s="117"/>
      <c r="E805" s="117"/>
      <c r="F805" s="117"/>
      <c r="G805" s="117"/>
      <c r="H805" s="117"/>
      <c r="I805" s="117"/>
      <c r="J805" s="117"/>
      <c r="K805" s="71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  <c r="AB805" s="117"/>
    </row>
    <row r="806">
      <c r="A806" s="71"/>
      <c r="B806" s="117"/>
      <c r="C806" s="79"/>
      <c r="D806" s="117"/>
      <c r="E806" s="117"/>
      <c r="F806" s="117"/>
      <c r="G806" s="117"/>
      <c r="H806" s="117"/>
      <c r="I806" s="117"/>
      <c r="J806" s="117"/>
      <c r="K806" s="71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  <c r="AB806" s="117"/>
    </row>
    <row r="807">
      <c r="A807" s="71"/>
      <c r="B807" s="117"/>
      <c r="C807" s="79"/>
      <c r="D807" s="117"/>
      <c r="E807" s="117"/>
      <c r="F807" s="117"/>
      <c r="G807" s="117"/>
      <c r="H807" s="117"/>
      <c r="I807" s="117"/>
      <c r="J807" s="117"/>
      <c r="K807" s="71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  <c r="AB807" s="117"/>
    </row>
    <row r="808">
      <c r="A808" s="71"/>
      <c r="B808" s="117"/>
      <c r="C808" s="79"/>
      <c r="D808" s="117"/>
      <c r="E808" s="117"/>
      <c r="F808" s="117"/>
      <c r="G808" s="117"/>
      <c r="H808" s="117"/>
      <c r="I808" s="117"/>
      <c r="J808" s="117"/>
      <c r="K808" s="71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  <c r="AB808" s="117"/>
    </row>
    <row r="809">
      <c r="A809" s="71"/>
      <c r="B809" s="117"/>
      <c r="C809" s="79"/>
      <c r="D809" s="117"/>
      <c r="E809" s="117"/>
      <c r="F809" s="117"/>
      <c r="G809" s="117"/>
      <c r="H809" s="117"/>
      <c r="I809" s="117"/>
      <c r="J809" s="117"/>
      <c r="K809" s="71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  <c r="AB809" s="117"/>
    </row>
    <row r="810">
      <c r="A810" s="71"/>
      <c r="B810" s="117"/>
      <c r="C810" s="79"/>
      <c r="D810" s="117"/>
      <c r="E810" s="117"/>
      <c r="F810" s="117"/>
      <c r="G810" s="117"/>
      <c r="H810" s="117"/>
      <c r="I810" s="117"/>
      <c r="J810" s="117"/>
      <c r="K810" s="71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  <c r="AB810" s="117"/>
    </row>
    <row r="811">
      <c r="A811" s="71"/>
      <c r="B811" s="117"/>
      <c r="C811" s="79"/>
      <c r="D811" s="117"/>
      <c r="E811" s="117"/>
      <c r="F811" s="117"/>
      <c r="G811" s="117"/>
      <c r="H811" s="117"/>
      <c r="I811" s="117"/>
      <c r="J811" s="117"/>
      <c r="K811" s="71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  <c r="AB811" s="117"/>
    </row>
    <row r="812">
      <c r="A812" s="71"/>
      <c r="B812" s="117"/>
      <c r="C812" s="79"/>
      <c r="D812" s="117"/>
      <c r="E812" s="117"/>
      <c r="F812" s="117"/>
      <c r="G812" s="117"/>
      <c r="H812" s="117"/>
      <c r="I812" s="117"/>
      <c r="J812" s="117"/>
      <c r="K812" s="71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  <c r="AB812" s="117"/>
    </row>
    <row r="813">
      <c r="A813" s="71"/>
      <c r="B813" s="117"/>
      <c r="C813" s="79"/>
      <c r="D813" s="117"/>
      <c r="E813" s="117"/>
      <c r="F813" s="117"/>
      <c r="G813" s="117"/>
      <c r="H813" s="117"/>
      <c r="I813" s="117"/>
      <c r="J813" s="117"/>
      <c r="K813" s="71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  <c r="AB813" s="117"/>
    </row>
    <row r="814">
      <c r="A814" s="71"/>
      <c r="B814" s="117"/>
      <c r="C814" s="79"/>
      <c r="D814" s="117"/>
      <c r="E814" s="117"/>
      <c r="F814" s="117"/>
      <c r="G814" s="117"/>
      <c r="H814" s="117"/>
      <c r="I814" s="117"/>
      <c r="J814" s="117"/>
      <c r="K814" s="71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  <c r="AB814" s="117"/>
    </row>
    <row r="815">
      <c r="A815" s="71"/>
      <c r="B815" s="117"/>
      <c r="C815" s="79"/>
      <c r="D815" s="117"/>
      <c r="E815" s="117"/>
      <c r="F815" s="117"/>
      <c r="G815" s="117"/>
      <c r="H815" s="117"/>
      <c r="I815" s="117"/>
      <c r="J815" s="117"/>
      <c r="K815" s="71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  <c r="AB815" s="117"/>
    </row>
    <row r="816">
      <c r="A816" s="71"/>
      <c r="B816" s="117"/>
      <c r="C816" s="79"/>
      <c r="D816" s="117"/>
      <c r="E816" s="117"/>
      <c r="F816" s="117"/>
      <c r="G816" s="117"/>
      <c r="H816" s="117"/>
      <c r="I816" s="117"/>
      <c r="J816" s="117"/>
      <c r="K816" s="71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  <c r="AB816" s="117"/>
    </row>
    <row r="817">
      <c r="A817" s="71"/>
      <c r="B817" s="117"/>
      <c r="C817" s="79"/>
      <c r="D817" s="117"/>
      <c r="E817" s="117"/>
      <c r="F817" s="117"/>
      <c r="G817" s="117"/>
      <c r="H817" s="117"/>
      <c r="I817" s="117"/>
      <c r="J817" s="117"/>
      <c r="K817" s="71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  <c r="AB817" s="117"/>
    </row>
    <row r="818">
      <c r="A818" s="71"/>
      <c r="B818" s="117"/>
      <c r="C818" s="79"/>
      <c r="D818" s="117"/>
      <c r="E818" s="117"/>
      <c r="F818" s="117"/>
      <c r="G818" s="117"/>
      <c r="H818" s="117"/>
      <c r="I818" s="117"/>
      <c r="J818" s="117"/>
      <c r="K818" s="71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  <c r="AB818" s="117"/>
    </row>
    <row r="819">
      <c r="A819" s="71"/>
      <c r="B819" s="117"/>
      <c r="C819" s="79"/>
      <c r="D819" s="117"/>
      <c r="E819" s="117"/>
      <c r="F819" s="117"/>
      <c r="G819" s="117"/>
      <c r="H819" s="117"/>
      <c r="I819" s="117"/>
      <c r="J819" s="117"/>
      <c r="K819" s="71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  <c r="AB819" s="117"/>
    </row>
    <row r="820">
      <c r="A820" s="71"/>
      <c r="B820" s="117"/>
      <c r="C820" s="79"/>
      <c r="D820" s="117"/>
      <c r="E820" s="117"/>
      <c r="F820" s="117"/>
      <c r="G820" s="117"/>
      <c r="H820" s="117"/>
      <c r="I820" s="117"/>
      <c r="J820" s="117"/>
      <c r="K820" s="71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  <c r="AB820" s="117"/>
    </row>
    <row r="821">
      <c r="A821" s="71"/>
      <c r="B821" s="117"/>
      <c r="C821" s="79"/>
      <c r="D821" s="117"/>
      <c r="E821" s="117"/>
      <c r="F821" s="117"/>
      <c r="G821" s="117"/>
      <c r="H821" s="117"/>
      <c r="I821" s="117"/>
      <c r="J821" s="117"/>
      <c r="K821" s="71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  <c r="AB821" s="117"/>
    </row>
    <row r="822">
      <c r="A822" s="71"/>
      <c r="B822" s="117"/>
      <c r="C822" s="79"/>
      <c r="D822" s="117"/>
      <c r="E822" s="117"/>
      <c r="F822" s="117"/>
      <c r="G822" s="117"/>
      <c r="H822" s="117"/>
      <c r="I822" s="117"/>
      <c r="J822" s="117"/>
      <c r="K822" s="71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  <c r="AB822" s="117"/>
    </row>
    <row r="823">
      <c r="A823" s="71"/>
      <c r="B823" s="117"/>
      <c r="C823" s="79"/>
      <c r="D823" s="117"/>
      <c r="E823" s="117"/>
      <c r="F823" s="117"/>
      <c r="G823" s="117"/>
      <c r="H823" s="117"/>
      <c r="I823" s="117"/>
      <c r="J823" s="117"/>
      <c r="K823" s="71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  <c r="AB823" s="117"/>
    </row>
    <row r="824">
      <c r="A824" s="71"/>
      <c r="B824" s="117"/>
      <c r="C824" s="79"/>
      <c r="D824" s="117"/>
      <c r="E824" s="117"/>
      <c r="F824" s="117"/>
      <c r="G824" s="117"/>
      <c r="H824" s="117"/>
      <c r="I824" s="117"/>
      <c r="J824" s="117"/>
      <c r="K824" s="71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  <c r="AB824" s="117"/>
    </row>
    <row r="825">
      <c r="A825" s="71"/>
      <c r="B825" s="117"/>
      <c r="C825" s="79"/>
      <c r="D825" s="117"/>
      <c r="E825" s="117"/>
      <c r="F825" s="117"/>
      <c r="G825" s="117"/>
      <c r="H825" s="117"/>
      <c r="I825" s="117"/>
      <c r="J825" s="117"/>
      <c r="K825" s="71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</row>
    <row r="826">
      <c r="A826" s="71"/>
      <c r="B826" s="117"/>
      <c r="C826" s="79"/>
      <c r="D826" s="117"/>
      <c r="E826" s="117"/>
      <c r="F826" s="117"/>
      <c r="G826" s="117"/>
      <c r="H826" s="117"/>
      <c r="I826" s="117"/>
      <c r="J826" s="117"/>
      <c r="K826" s="71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</row>
    <row r="827">
      <c r="A827" s="71"/>
      <c r="B827" s="117"/>
      <c r="C827" s="79"/>
      <c r="D827" s="117"/>
      <c r="E827" s="117"/>
      <c r="F827" s="117"/>
      <c r="G827" s="117"/>
      <c r="H827" s="117"/>
      <c r="I827" s="117"/>
      <c r="J827" s="117"/>
      <c r="K827" s="71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  <c r="AB827" s="117"/>
    </row>
    <row r="828">
      <c r="A828" s="71"/>
      <c r="B828" s="117"/>
      <c r="C828" s="79"/>
      <c r="D828" s="117"/>
      <c r="E828" s="117"/>
      <c r="F828" s="117"/>
      <c r="G828" s="117"/>
      <c r="H828" s="117"/>
      <c r="I828" s="117"/>
      <c r="J828" s="117"/>
      <c r="K828" s="71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  <c r="AB828" s="117"/>
    </row>
    <row r="829">
      <c r="A829" s="71"/>
      <c r="B829" s="117"/>
      <c r="C829" s="79"/>
      <c r="D829" s="117"/>
      <c r="E829" s="117"/>
      <c r="F829" s="117"/>
      <c r="G829" s="117"/>
      <c r="H829" s="117"/>
      <c r="I829" s="117"/>
      <c r="J829" s="117"/>
      <c r="K829" s="71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  <c r="AB829" s="117"/>
    </row>
    <row r="830">
      <c r="A830" s="71"/>
      <c r="B830" s="117"/>
      <c r="C830" s="79"/>
      <c r="D830" s="117"/>
      <c r="E830" s="117"/>
      <c r="F830" s="117"/>
      <c r="G830" s="117"/>
      <c r="H830" s="117"/>
      <c r="I830" s="117"/>
      <c r="J830" s="117"/>
      <c r="K830" s="71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  <c r="AB830" s="117"/>
    </row>
    <row r="831">
      <c r="A831" s="71"/>
      <c r="B831" s="117"/>
      <c r="C831" s="79"/>
      <c r="D831" s="117"/>
      <c r="E831" s="117"/>
      <c r="F831" s="117"/>
      <c r="G831" s="117"/>
      <c r="H831" s="117"/>
      <c r="I831" s="117"/>
      <c r="J831" s="117"/>
      <c r="K831" s="71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  <c r="AB831" s="117"/>
    </row>
    <row r="832">
      <c r="A832" s="71"/>
      <c r="B832" s="117"/>
      <c r="C832" s="79"/>
      <c r="D832" s="117"/>
      <c r="E832" s="117"/>
      <c r="F832" s="117"/>
      <c r="G832" s="117"/>
      <c r="H832" s="117"/>
      <c r="I832" s="117"/>
      <c r="J832" s="117"/>
      <c r="K832" s="71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  <c r="AB832" s="117"/>
    </row>
    <row r="833">
      <c r="A833" s="71"/>
      <c r="B833" s="117"/>
      <c r="C833" s="79"/>
      <c r="D833" s="117"/>
      <c r="E833" s="117"/>
      <c r="F833" s="117"/>
      <c r="G833" s="117"/>
      <c r="H833" s="117"/>
      <c r="I833" s="117"/>
      <c r="J833" s="117"/>
      <c r="K833" s="71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  <c r="AB833" s="117"/>
    </row>
    <row r="834">
      <c r="A834" s="71"/>
      <c r="B834" s="117"/>
      <c r="C834" s="79"/>
      <c r="D834" s="117"/>
      <c r="E834" s="117"/>
      <c r="F834" s="117"/>
      <c r="G834" s="117"/>
      <c r="H834" s="117"/>
      <c r="I834" s="117"/>
      <c r="J834" s="117"/>
      <c r="K834" s="71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  <c r="AB834" s="117"/>
    </row>
    <row r="835">
      <c r="A835" s="71"/>
      <c r="B835" s="117"/>
      <c r="C835" s="79"/>
      <c r="D835" s="117"/>
      <c r="E835" s="117"/>
      <c r="F835" s="117"/>
      <c r="G835" s="117"/>
      <c r="H835" s="117"/>
      <c r="I835" s="117"/>
      <c r="J835" s="117"/>
      <c r="K835" s="71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  <c r="AB835" s="117"/>
    </row>
    <row r="836">
      <c r="A836" s="71"/>
      <c r="B836" s="117"/>
      <c r="C836" s="79"/>
      <c r="D836" s="117"/>
      <c r="E836" s="117"/>
      <c r="F836" s="117"/>
      <c r="G836" s="117"/>
      <c r="H836" s="117"/>
      <c r="I836" s="117"/>
      <c r="J836" s="117"/>
      <c r="K836" s="71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  <c r="AB836" s="117"/>
    </row>
    <row r="837">
      <c r="A837" s="71"/>
      <c r="B837" s="117"/>
      <c r="C837" s="79"/>
      <c r="D837" s="117"/>
      <c r="E837" s="117"/>
      <c r="F837" s="117"/>
      <c r="G837" s="117"/>
      <c r="H837" s="117"/>
      <c r="I837" s="117"/>
      <c r="J837" s="117"/>
      <c r="K837" s="71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7"/>
    </row>
    <row r="838">
      <c r="A838" s="71"/>
      <c r="B838" s="117"/>
      <c r="C838" s="79"/>
      <c r="D838" s="117"/>
      <c r="E838" s="117"/>
      <c r="F838" s="117"/>
      <c r="G838" s="117"/>
      <c r="H838" s="117"/>
      <c r="I838" s="117"/>
      <c r="J838" s="117"/>
      <c r="K838" s="71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  <c r="AB838" s="117"/>
    </row>
    <row r="839">
      <c r="A839" s="71"/>
      <c r="B839" s="117"/>
      <c r="C839" s="79"/>
      <c r="D839" s="117"/>
      <c r="E839" s="117"/>
      <c r="F839" s="117"/>
      <c r="G839" s="117"/>
      <c r="H839" s="117"/>
      <c r="I839" s="117"/>
      <c r="J839" s="117"/>
      <c r="K839" s="71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  <c r="AB839" s="117"/>
    </row>
    <row r="840">
      <c r="A840" s="71"/>
      <c r="B840" s="117"/>
      <c r="C840" s="79"/>
      <c r="D840" s="117"/>
      <c r="E840" s="117"/>
      <c r="F840" s="117"/>
      <c r="G840" s="117"/>
      <c r="H840" s="117"/>
      <c r="I840" s="117"/>
      <c r="J840" s="117"/>
      <c r="K840" s="71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  <c r="AB840" s="117"/>
    </row>
    <row r="841">
      <c r="A841" s="71"/>
      <c r="B841" s="117"/>
      <c r="C841" s="79"/>
      <c r="D841" s="117"/>
      <c r="E841" s="117"/>
      <c r="F841" s="117"/>
      <c r="G841" s="117"/>
      <c r="H841" s="117"/>
      <c r="I841" s="117"/>
      <c r="J841" s="117"/>
      <c r="K841" s="71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  <c r="AB841" s="117"/>
    </row>
    <row r="842">
      <c r="A842" s="71"/>
      <c r="B842" s="117"/>
      <c r="C842" s="79"/>
      <c r="D842" s="117"/>
      <c r="E842" s="117"/>
      <c r="F842" s="117"/>
      <c r="G842" s="117"/>
      <c r="H842" s="117"/>
      <c r="I842" s="117"/>
      <c r="J842" s="117"/>
      <c r="K842" s="71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  <c r="AB842" s="117"/>
    </row>
    <row r="843">
      <c r="A843" s="71"/>
      <c r="B843" s="117"/>
      <c r="C843" s="79"/>
      <c r="D843" s="117"/>
      <c r="E843" s="117"/>
      <c r="F843" s="117"/>
      <c r="G843" s="117"/>
      <c r="H843" s="117"/>
      <c r="I843" s="117"/>
      <c r="J843" s="117"/>
      <c r="K843" s="71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  <c r="AB843" s="117"/>
    </row>
    <row r="844">
      <c r="A844" s="71"/>
      <c r="B844" s="117"/>
      <c r="C844" s="79"/>
      <c r="D844" s="117"/>
      <c r="E844" s="117"/>
      <c r="F844" s="117"/>
      <c r="G844" s="117"/>
      <c r="H844" s="117"/>
      <c r="I844" s="117"/>
      <c r="J844" s="117"/>
      <c r="K844" s="71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  <c r="AB844" s="117"/>
    </row>
    <row r="845">
      <c r="A845" s="71"/>
      <c r="B845" s="117"/>
      <c r="C845" s="79"/>
      <c r="D845" s="117"/>
      <c r="E845" s="117"/>
      <c r="F845" s="117"/>
      <c r="G845" s="117"/>
      <c r="H845" s="117"/>
      <c r="I845" s="117"/>
      <c r="J845" s="117"/>
      <c r="K845" s="71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  <c r="AB845" s="117"/>
    </row>
    <row r="846">
      <c r="A846" s="71"/>
      <c r="B846" s="117"/>
      <c r="C846" s="79"/>
      <c r="D846" s="117"/>
      <c r="E846" s="117"/>
      <c r="F846" s="117"/>
      <c r="G846" s="117"/>
      <c r="H846" s="117"/>
      <c r="I846" s="117"/>
      <c r="J846" s="117"/>
      <c r="K846" s="71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  <c r="AB846" s="117"/>
    </row>
    <row r="847">
      <c r="A847" s="71"/>
      <c r="B847" s="117"/>
      <c r="C847" s="79"/>
      <c r="D847" s="117"/>
      <c r="E847" s="117"/>
      <c r="F847" s="117"/>
      <c r="G847" s="117"/>
      <c r="H847" s="117"/>
      <c r="I847" s="117"/>
      <c r="J847" s="117"/>
      <c r="K847" s="71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  <c r="AB847" s="117"/>
    </row>
    <row r="848">
      <c r="A848" s="71"/>
      <c r="B848" s="117"/>
      <c r="C848" s="79"/>
      <c r="D848" s="117"/>
      <c r="E848" s="117"/>
      <c r="F848" s="117"/>
      <c r="G848" s="117"/>
      <c r="H848" s="117"/>
      <c r="I848" s="117"/>
      <c r="J848" s="117"/>
      <c r="K848" s="71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</row>
    <row r="849">
      <c r="A849" s="71"/>
      <c r="B849" s="117"/>
      <c r="C849" s="79"/>
      <c r="D849" s="117"/>
      <c r="E849" s="117"/>
      <c r="F849" s="117"/>
      <c r="G849" s="117"/>
      <c r="H849" s="117"/>
      <c r="I849" s="117"/>
      <c r="J849" s="117"/>
      <c r="K849" s="71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  <c r="AB849" s="117"/>
    </row>
    <row r="850">
      <c r="A850" s="71"/>
      <c r="B850" s="117"/>
      <c r="C850" s="79"/>
      <c r="D850" s="117"/>
      <c r="E850" s="117"/>
      <c r="F850" s="117"/>
      <c r="G850" s="117"/>
      <c r="H850" s="117"/>
      <c r="I850" s="117"/>
      <c r="J850" s="117"/>
      <c r="K850" s="71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  <c r="AB850" s="117"/>
    </row>
    <row r="851">
      <c r="A851" s="71"/>
      <c r="B851" s="117"/>
      <c r="C851" s="79"/>
      <c r="D851" s="117"/>
      <c r="E851" s="117"/>
      <c r="F851" s="117"/>
      <c r="G851" s="117"/>
      <c r="H851" s="117"/>
      <c r="I851" s="117"/>
      <c r="J851" s="117"/>
      <c r="K851" s="71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  <c r="AB851" s="117"/>
    </row>
    <row r="852">
      <c r="A852" s="71"/>
      <c r="B852" s="117"/>
      <c r="C852" s="79"/>
      <c r="D852" s="117"/>
      <c r="E852" s="117"/>
      <c r="F852" s="117"/>
      <c r="G852" s="117"/>
      <c r="H852" s="117"/>
      <c r="I852" s="117"/>
      <c r="J852" s="117"/>
      <c r="K852" s="71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  <c r="AB852" s="117"/>
    </row>
    <row r="853">
      <c r="A853" s="71"/>
      <c r="B853" s="117"/>
      <c r="C853" s="79"/>
      <c r="D853" s="117"/>
      <c r="E853" s="117"/>
      <c r="F853" s="117"/>
      <c r="G853" s="117"/>
      <c r="H853" s="117"/>
      <c r="I853" s="117"/>
      <c r="J853" s="117"/>
      <c r="K853" s="71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  <c r="AB853" s="117"/>
    </row>
    <row r="854">
      <c r="A854" s="71"/>
      <c r="B854" s="117"/>
      <c r="C854" s="79"/>
      <c r="D854" s="117"/>
      <c r="E854" s="117"/>
      <c r="F854" s="117"/>
      <c r="G854" s="117"/>
      <c r="H854" s="117"/>
      <c r="I854" s="117"/>
      <c r="J854" s="117"/>
      <c r="K854" s="71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  <c r="AB854" s="117"/>
    </row>
    <row r="855">
      <c r="A855" s="71"/>
      <c r="B855" s="117"/>
      <c r="C855" s="79"/>
      <c r="D855" s="117"/>
      <c r="E855" s="117"/>
      <c r="F855" s="117"/>
      <c r="G855" s="117"/>
      <c r="H855" s="117"/>
      <c r="I855" s="117"/>
      <c r="J855" s="117"/>
      <c r="K855" s="71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  <c r="AB855" s="117"/>
    </row>
    <row r="856">
      <c r="A856" s="71"/>
      <c r="B856" s="117"/>
      <c r="C856" s="79"/>
      <c r="D856" s="117"/>
      <c r="E856" s="117"/>
      <c r="F856" s="117"/>
      <c r="G856" s="117"/>
      <c r="H856" s="117"/>
      <c r="I856" s="117"/>
      <c r="J856" s="117"/>
      <c r="K856" s="71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  <c r="AB856" s="117"/>
    </row>
    <row r="857">
      <c r="A857" s="71"/>
      <c r="B857" s="117"/>
      <c r="C857" s="79"/>
      <c r="D857" s="117"/>
      <c r="E857" s="117"/>
      <c r="F857" s="117"/>
      <c r="G857" s="117"/>
      <c r="H857" s="117"/>
      <c r="I857" s="117"/>
      <c r="J857" s="117"/>
      <c r="K857" s="71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</row>
    <row r="858">
      <c r="A858" s="71"/>
      <c r="B858" s="117"/>
      <c r="C858" s="79"/>
      <c r="D858" s="117"/>
      <c r="E858" s="117"/>
      <c r="F858" s="117"/>
      <c r="G858" s="117"/>
      <c r="H858" s="117"/>
      <c r="I858" s="117"/>
      <c r="J858" s="117"/>
      <c r="K858" s="71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</row>
    <row r="859">
      <c r="A859" s="71"/>
      <c r="B859" s="117"/>
      <c r="C859" s="79"/>
      <c r="D859" s="117"/>
      <c r="E859" s="117"/>
      <c r="F859" s="117"/>
      <c r="G859" s="117"/>
      <c r="H859" s="117"/>
      <c r="I859" s="117"/>
      <c r="J859" s="117"/>
      <c r="K859" s="71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</row>
    <row r="860">
      <c r="A860" s="71"/>
      <c r="B860" s="117"/>
      <c r="C860" s="79"/>
      <c r="D860" s="117"/>
      <c r="E860" s="117"/>
      <c r="F860" s="117"/>
      <c r="G860" s="117"/>
      <c r="H860" s="117"/>
      <c r="I860" s="117"/>
      <c r="J860" s="117"/>
      <c r="K860" s="71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  <c r="AB860" s="117"/>
    </row>
    <row r="861">
      <c r="A861" s="71"/>
      <c r="B861" s="117"/>
      <c r="C861" s="79"/>
      <c r="D861" s="117"/>
      <c r="E861" s="117"/>
      <c r="F861" s="117"/>
      <c r="G861" s="117"/>
      <c r="H861" s="117"/>
      <c r="I861" s="117"/>
      <c r="J861" s="117"/>
      <c r="K861" s="71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  <c r="AB861" s="117"/>
    </row>
    <row r="862">
      <c r="A862" s="71"/>
      <c r="B862" s="117"/>
      <c r="C862" s="79"/>
      <c r="D862" s="117"/>
      <c r="E862" s="117"/>
      <c r="F862" s="117"/>
      <c r="G862" s="117"/>
      <c r="H862" s="117"/>
      <c r="I862" s="117"/>
      <c r="J862" s="117"/>
      <c r="K862" s="71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  <c r="AB862" s="117"/>
    </row>
    <row r="863">
      <c r="A863" s="71"/>
      <c r="B863" s="117"/>
      <c r="C863" s="79"/>
      <c r="D863" s="117"/>
      <c r="E863" s="117"/>
      <c r="F863" s="117"/>
      <c r="G863" s="117"/>
      <c r="H863" s="117"/>
      <c r="I863" s="117"/>
      <c r="J863" s="117"/>
      <c r="K863" s="71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  <c r="AB863" s="117"/>
    </row>
    <row r="864">
      <c r="A864" s="71"/>
      <c r="B864" s="117"/>
      <c r="C864" s="79"/>
      <c r="D864" s="117"/>
      <c r="E864" s="117"/>
      <c r="F864" s="117"/>
      <c r="G864" s="117"/>
      <c r="H864" s="117"/>
      <c r="I864" s="117"/>
      <c r="J864" s="117"/>
      <c r="K864" s="71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  <c r="AB864" s="117"/>
    </row>
    <row r="865">
      <c r="A865" s="71"/>
      <c r="B865" s="117"/>
      <c r="C865" s="79"/>
      <c r="D865" s="117"/>
      <c r="E865" s="117"/>
      <c r="F865" s="117"/>
      <c r="G865" s="117"/>
      <c r="H865" s="117"/>
      <c r="I865" s="117"/>
      <c r="J865" s="117"/>
      <c r="K865" s="71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  <c r="AB865" s="117"/>
    </row>
    <row r="866">
      <c r="A866" s="71"/>
      <c r="B866" s="117"/>
      <c r="C866" s="79"/>
      <c r="D866" s="117"/>
      <c r="E866" s="117"/>
      <c r="F866" s="117"/>
      <c r="G866" s="117"/>
      <c r="H866" s="117"/>
      <c r="I866" s="117"/>
      <c r="J866" s="117"/>
      <c r="K866" s="71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  <c r="AB866" s="117"/>
    </row>
    <row r="867">
      <c r="A867" s="71"/>
      <c r="B867" s="117"/>
      <c r="C867" s="79"/>
      <c r="D867" s="117"/>
      <c r="E867" s="117"/>
      <c r="F867" s="117"/>
      <c r="G867" s="117"/>
      <c r="H867" s="117"/>
      <c r="I867" s="117"/>
      <c r="J867" s="117"/>
      <c r="K867" s="71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  <c r="AB867" s="117"/>
    </row>
    <row r="868">
      <c r="A868" s="71"/>
      <c r="B868" s="117"/>
      <c r="C868" s="79"/>
      <c r="D868" s="117"/>
      <c r="E868" s="117"/>
      <c r="F868" s="117"/>
      <c r="G868" s="117"/>
      <c r="H868" s="117"/>
      <c r="I868" s="117"/>
      <c r="J868" s="117"/>
      <c r="K868" s="71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  <c r="AB868" s="117"/>
    </row>
    <row r="869">
      <c r="A869" s="71"/>
      <c r="B869" s="117"/>
      <c r="C869" s="79"/>
      <c r="D869" s="117"/>
      <c r="E869" s="117"/>
      <c r="F869" s="117"/>
      <c r="G869" s="117"/>
      <c r="H869" s="117"/>
      <c r="I869" s="117"/>
      <c r="J869" s="117"/>
      <c r="K869" s="71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  <c r="AB869" s="117"/>
    </row>
    <row r="870">
      <c r="A870" s="71"/>
      <c r="B870" s="117"/>
      <c r="C870" s="79"/>
      <c r="D870" s="117"/>
      <c r="E870" s="117"/>
      <c r="F870" s="117"/>
      <c r="G870" s="117"/>
      <c r="H870" s="117"/>
      <c r="I870" s="117"/>
      <c r="J870" s="117"/>
      <c r="K870" s="71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  <c r="AB870" s="117"/>
    </row>
    <row r="871">
      <c r="A871" s="71"/>
      <c r="B871" s="117"/>
      <c r="C871" s="79"/>
      <c r="D871" s="117"/>
      <c r="E871" s="117"/>
      <c r="F871" s="117"/>
      <c r="G871" s="117"/>
      <c r="H871" s="117"/>
      <c r="I871" s="117"/>
      <c r="J871" s="117"/>
      <c r="K871" s="71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  <c r="AB871" s="117"/>
    </row>
    <row r="872">
      <c r="A872" s="71"/>
      <c r="B872" s="117"/>
      <c r="C872" s="79"/>
      <c r="D872" s="117"/>
      <c r="E872" s="117"/>
      <c r="F872" s="117"/>
      <c r="G872" s="117"/>
      <c r="H872" s="117"/>
      <c r="I872" s="117"/>
      <c r="J872" s="117"/>
      <c r="K872" s="71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  <c r="AB872" s="117"/>
    </row>
    <row r="873">
      <c r="A873" s="71"/>
      <c r="B873" s="117"/>
      <c r="C873" s="79"/>
      <c r="D873" s="117"/>
      <c r="E873" s="117"/>
      <c r="F873" s="117"/>
      <c r="G873" s="117"/>
      <c r="H873" s="117"/>
      <c r="I873" s="117"/>
      <c r="J873" s="117"/>
      <c r="K873" s="71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  <c r="AB873" s="117"/>
    </row>
    <row r="874">
      <c r="A874" s="71"/>
      <c r="B874" s="117"/>
      <c r="C874" s="79"/>
      <c r="D874" s="117"/>
      <c r="E874" s="117"/>
      <c r="F874" s="117"/>
      <c r="G874" s="117"/>
      <c r="H874" s="117"/>
      <c r="I874" s="117"/>
      <c r="J874" s="117"/>
      <c r="K874" s="71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  <c r="AB874" s="117"/>
    </row>
    <row r="875">
      <c r="A875" s="71"/>
      <c r="B875" s="117"/>
      <c r="C875" s="79"/>
      <c r="D875" s="117"/>
      <c r="E875" s="117"/>
      <c r="F875" s="117"/>
      <c r="G875" s="117"/>
      <c r="H875" s="117"/>
      <c r="I875" s="117"/>
      <c r="J875" s="117"/>
      <c r="K875" s="71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  <c r="AB875" s="117"/>
    </row>
    <row r="876">
      <c r="A876" s="71"/>
      <c r="B876" s="117"/>
      <c r="C876" s="79"/>
      <c r="D876" s="117"/>
      <c r="E876" s="117"/>
      <c r="F876" s="117"/>
      <c r="G876" s="117"/>
      <c r="H876" s="117"/>
      <c r="I876" s="117"/>
      <c r="J876" s="117"/>
      <c r="K876" s="71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  <c r="AB876" s="117"/>
    </row>
    <row r="877">
      <c r="A877" s="71"/>
      <c r="B877" s="117"/>
      <c r="C877" s="79"/>
      <c r="D877" s="117"/>
      <c r="E877" s="117"/>
      <c r="F877" s="117"/>
      <c r="G877" s="117"/>
      <c r="H877" s="117"/>
      <c r="I877" s="117"/>
      <c r="J877" s="117"/>
      <c r="K877" s="71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  <c r="AB877" s="117"/>
    </row>
    <row r="878">
      <c r="A878" s="71"/>
      <c r="B878" s="117"/>
      <c r="C878" s="79"/>
      <c r="D878" s="117"/>
      <c r="E878" s="117"/>
      <c r="F878" s="117"/>
      <c r="G878" s="117"/>
      <c r="H878" s="117"/>
      <c r="I878" s="117"/>
      <c r="J878" s="117"/>
      <c r="K878" s="71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  <c r="AB878" s="117"/>
    </row>
    <row r="879">
      <c r="A879" s="71"/>
      <c r="B879" s="117"/>
      <c r="C879" s="79"/>
      <c r="D879" s="117"/>
      <c r="E879" s="117"/>
      <c r="F879" s="117"/>
      <c r="G879" s="117"/>
      <c r="H879" s="117"/>
      <c r="I879" s="117"/>
      <c r="J879" s="117"/>
      <c r="K879" s="71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  <c r="AB879" s="117"/>
    </row>
    <row r="880">
      <c r="A880" s="71"/>
      <c r="B880" s="117"/>
      <c r="C880" s="79"/>
      <c r="D880" s="117"/>
      <c r="E880" s="117"/>
      <c r="F880" s="117"/>
      <c r="G880" s="117"/>
      <c r="H880" s="117"/>
      <c r="I880" s="117"/>
      <c r="J880" s="117"/>
      <c r="K880" s="71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  <c r="AB880" s="117"/>
    </row>
    <row r="881">
      <c r="A881" s="71"/>
      <c r="B881" s="117"/>
      <c r="C881" s="79"/>
      <c r="D881" s="117"/>
      <c r="E881" s="117"/>
      <c r="F881" s="117"/>
      <c r="G881" s="117"/>
      <c r="H881" s="117"/>
      <c r="I881" s="117"/>
      <c r="J881" s="117"/>
      <c r="K881" s="71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  <c r="AB881" s="117"/>
    </row>
    <row r="882">
      <c r="A882" s="71"/>
      <c r="B882" s="117"/>
      <c r="C882" s="79"/>
      <c r="D882" s="117"/>
      <c r="E882" s="117"/>
      <c r="F882" s="117"/>
      <c r="G882" s="117"/>
      <c r="H882" s="117"/>
      <c r="I882" s="117"/>
      <c r="J882" s="117"/>
      <c r="K882" s="71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  <c r="AB882" s="117"/>
    </row>
    <row r="883">
      <c r="A883" s="71"/>
      <c r="B883" s="117"/>
      <c r="C883" s="79"/>
      <c r="D883" s="117"/>
      <c r="E883" s="117"/>
      <c r="F883" s="117"/>
      <c r="G883" s="117"/>
      <c r="H883" s="117"/>
      <c r="I883" s="117"/>
      <c r="J883" s="117"/>
      <c r="K883" s="71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</row>
    <row r="884">
      <c r="A884" s="71"/>
      <c r="B884" s="117"/>
      <c r="C884" s="79"/>
      <c r="D884" s="117"/>
      <c r="E884" s="117"/>
      <c r="F884" s="117"/>
      <c r="G884" s="117"/>
      <c r="H884" s="117"/>
      <c r="I884" s="117"/>
      <c r="J884" s="117"/>
      <c r="K884" s="71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  <c r="AB884" s="117"/>
    </row>
    <row r="885">
      <c r="A885" s="71"/>
      <c r="B885" s="117"/>
      <c r="C885" s="79"/>
      <c r="D885" s="117"/>
      <c r="E885" s="117"/>
      <c r="F885" s="117"/>
      <c r="G885" s="117"/>
      <c r="H885" s="117"/>
      <c r="I885" s="117"/>
      <c r="J885" s="117"/>
      <c r="K885" s="71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</row>
    <row r="886">
      <c r="A886" s="71"/>
      <c r="B886" s="117"/>
      <c r="C886" s="79"/>
      <c r="D886" s="117"/>
      <c r="E886" s="117"/>
      <c r="F886" s="117"/>
      <c r="G886" s="117"/>
      <c r="H886" s="117"/>
      <c r="I886" s="117"/>
      <c r="J886" s="117"/>
      <c r="K886" s="71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  <c r="AB886" s="117"/>
    </row>
    <row r="887">
      <c r="A887" s="71"/>
      <c r="B887" s="117"/>
      <c r="C887" s="79"/>
      <c r="D887" s="117"/>
      <c r="E887" s="117"/>
      <c r="F887" s="117"/>
      <c r="G887" s="117"/>
      <c r="H887" s="117"/>
      <c r="I887" s="117"/>
      <c r="J887" s="117"/>
      <c r="K887" s="71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  <c r="AB887" s="117"/>
    </row>
    <row r="888">
      <c r="A888" s="71"/>
      <c r="B888" s="117"/>
      <c r="C888" s="79"/>
      <c r="D888" s="117"/>
      <c r="E888" s="117"/>
      <c r="F888" s="117"/>
      <c r="G888" s="117"/>
      <c r="H888" s="117"/>
      <c r="I888" s="117"/>
      <c r="J888" s="117"/>
      <c r="K888" s="71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  <c r="AB888" s="117"/>
    </row>
    <row r="889">
      <c r="A889" s="71"/>
      <c r="B889" s="117"/>
      <c r="C889" s="79"/>
      <c r="D889" s="117"/>
      <c r="E889" s="117"/>
      <c r="F889" s="117"/>
      <c r="G889" s="117"/>
      <c r="H889" s="117"/>
      <c r="I889" s="117"/>
      <c r="J889" s="117"/>
      <c r="K889" s="71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  <c r="AB889" s="117"/>
    </row>
    <row r="890">
      <c r="A890" s="71"/>
      <c r="B890" s="117"/>
      <c r="C890" s="79"/>
      <c r="D890" s="117"/>
      <c r="E890" s="117"/>
      <c r="F890" s="117"/>
      <c r="G890" s="117"/>
      <c r="H890" s="117"/>
      <c r="I890" s="117"/>
      <c r="J890" s="117"/>
      <c r="K890" s="71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7"/>
    </row>
    <row r="891">
      <c r="A891" s="71"/>
      <c r="B891" s="117"/>
      <c r="C891" s="79"/>
      <c r="D891" s="117"/>
      <c r="E891" s="117"/>
      <c r="F891" s="117"/>
      <c r="G891" s="117"/>
      <c r="H891" s="117"/>
      <c r="I891" s="117"/>
      <c r="J891" s="117"/>
      <c r="K891" s="71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  <c r="AB891" s="117"/>
    </row>
    <row r="892">
      <c r="A892" s="71"/>
      <c r="B892" s="117"/>
      <c r="C892" s="79"/>
      <c r="D892" s="117"/>
      <c r="E892" s="117"/>
      <c r="F892" s="117"/>
      <c r="G892" s="117"/>
      <c r="H892" s="117"/>
      <c r="I892" s="117"/>
      <c r="J892" s="117"/>
      <c r="K892" s="71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  <c r="AB892" s="117"/>
    </row>
    <row r="893">
      <c r="A893" s="71"/>
      <c r="B893" s="117"/>
      <c r="C893" s="79"/>
      <c r="D893" s="117"/>
      <c r="E893" s="117"/>
      <c r="F893" s="117"/>
      <c r="G893" s="117"/>
      <c r="H893" s="117"/>
      <c r="I893" s="117"/>
      <c r="J893" s="117"/>
      <c r="K893" s="71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  <c r="AB893" s="117"/>
    </row>
    <row r="894">
      <c r="A894" s="71"/>
      <c r="B894" s="117"/>
      <c r="C894" s="79"/>
      <c r="D894" s="117"/>
      <c r="E894" s="117"/>
      <c r="F894" s="117"/>
      <c r="G894" s="117"/>
      <c r="H894" s="117"/>
      <c r="I894" s="117"/>
      <c r="J894" s="117"/>
      <c r="K894" s="71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  <c r="AB894" s="117"/>
    </row>
    <row r="895">
      <c r="A895" s="71"/>
      <c r="B895" s="117"/>
      <c r="C895" s="79"/>
      <c r="D895" s="117"/>
      <c r="E895" s="117"/>
      <c r="F895" s="117"/>
      <c r="G895" s="117"/>
      <c r="H895" s="117"/>
      <c r="I895" s="117"/>
      <c r="J895" s="117"/>
      <c r="K895" s="71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  <c r="AB895" s="117"/>
    </row>
    <row r="896">
      <c r="A896" s="71"/>
      <c r="B896" s="117"/>
      <c r="C896" s="79"/>
      <c r="D896" s="117"/>
      <c r="E896" s="117"/>
      <c r="F896" s="117"/>
      <c r="G896" s="117"/>
      <c r="H896" s="117"/>
      <c r="I896" s="117"/>
      <c r="J896" s="117"/>
      <c r="K896" s="71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117"/>
      <c r="AB896" s="117"/>
    </row>
    <row r="897">
      <c r="A897" s="71"/>
      <c r="B897" s="117"/>
      <c r="C897" s="79"/>
      <c r="D897" s="117"/>
      <c r="E897" s="117"/>
      <c r="F897" s="117"/>
      <c r="G897" s="117"/>
      <c r="H897" s="117"/>
      <c r="I897" s="117"/>
      <c r="J897" s="117"/>
      <c r="K897" s="71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  <c r="AB897" s="117"/>
    </row>
    <row r="898">
      <c r="A898" s="71"/>
      <c r="B898" s="117"/>
      <c r="C898" s="79"/>
      <c r="D898" s="117"/>
      <c r="E898" s="117"/>
      <c r="F898" s="117"/>
      <c r="G898" s="117"/>
      <c r="H898" s="117"/>
      <c r="I898" s="117"/>
      <c r="J898" s="117"/>
      <c r="K898" s="71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  <c r="AB898" s="117"/>
    </row>
    <row r="899">
      <c r="A899" s="71"/>
      <c r="B899" s="117"/>
      <c r="C899" s="79"/>
      <c r="D899" s="117"/>
      <c r="E899" s="117"/>
      <c r="F899" s="117"/>
      <c r="G899" s="117"/>
      <c r="H899" s="117"/>
      <c r="I899" s="117"/>
      <c r="J899" s="117"/>
      <c r="K899" s="71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  <c r="AB899" s="117"/>
    </row>
    <row r="900">
      <c r="A900" s="71"/>
      <c r="B900" s="117"/>
      <c r="C900" s="79"/>
      <c r="D900" s="117"/>
      <c r="E900" s="117"/>
      <c r="F900" s="117"/>
      <c r="G900" s="117"/>
      <c r="H900" s="117"/>
      <c r="I900" s="117"/>
      <c r="J900" s="117"/>
      <c r="K900" s="71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  <c r="AB900" s="117"/>
    </row>
    <row r="901">
      <c r="A901" s="71"/>
      <c r="B901" s="117"/>
      <c r="C901" s="79"/>
      <c r="D901" s="117"/>
      <c r="E901" s="117"/>
      <c r="F901" s="117"/>
      <c r="G901" s="117"/>
      <c r="H901" s="117"/>
      <c r="I901" s="117"/>
      <c r="J901" s="117"/>
      <c r="K901" s="71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117"/>
      <c r="AB901" s="117"/>
    </row>
    <row r="902">
      <c r="A902" s="71"/>
      <c r="B902" s="117"/>
      <c r="C902" s="79"/>
      <c r="D902" s="117"/>
      <c r="E902" s="117"/>
      <c r="F902" s="117"/>
      <c r="G902" s="117"/>
      <c r="H902" s="117"/>
      <c r="I902" s="117"/>
      <c r="J902" s="117"/>
      <c r="K902" s="71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  <c r="AB902" s="117"/>
    </row>
    <row r="903">
      <c r="A903" s="71"/>
      <c r="B903" s="117"/>
      <c r="C903" s="79"/>
      <c r="D903" s="117"/>
      <c r="E903" s="117"/>
      <c r="F903" s="117"/>
      <c r="G903" s="117"/>
      <c r="H903" s="117"/>
      <c r="I903" s="117"/>
      <c r="J903" s="117"/>
      <c r="K903" s="71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  <c r="AB903" s="117"/>
    </row>
    <row r="904">
      <c r="A904" s="71"/>
      <c r="B904" s="117"/>
      <c r="C904" s="79"/>
      <c r="D904" s="117"/>
      <c r="E904" s="117"/>
      <c r="F904" s="117"/>
      <c r="G904" s="117"/>
      <c r="H904" s="117"/>
      <c r="I904" s="117"/>
      <c r="J904" s="117"/>
      <c r="K904" s="71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  <c r="AB904" s="117"/>
    </row>
    <row r="905">
      <c r="A905" s="71"/>
      <c r="B905" s="117"/>
      <c r="C905" s="79"/>
      <c r="D905" s="117"/>
      <c r="E905" s="117"/>
      <c r="F905" s="117"/>
      <c r="G905" s="117"/>
      <c r="H905" s="117"/>
      <c r="I905" s="117"/>
      <c r="J905" s="117"/>
      <c r="K905" s="71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  <c r="AB905" s="117"/>
    </row>
    <row r="906">
      <c r="A906" s="71"/>
      <c r="B906" s="117"/>
      <c r="C906" s="79"/>
      <c r="D906" s="117"/>
      <c r="E906" s="117"/>
      <c r="F906" s="117"/>
      <c r="G906" s="117"/>
      <c r="H906" s="117"/>
      <c r="I906" s="117"/>
      <c r="J906" s="117"/>
      <c r="K906" s="71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  <c r="AB906" s="117"/>
    </row>
    <row r="907">
      <c r="A907" s="71"/>
      <c r="B907" s="117"/>
      <c r="C907" s="79"/>
      <c r="D907" s="117"/>
      <c r="E907" s="117"/>
      <c r="F907" s="117"/>
      <c r="G907" s="117"/>
      <c r="H907" s="117"/>
      <c r="I907" s="117"/>
      <c r="J907" s="117"/>
      <c r="K907" s="71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  <c r="AB907" s="117"/>
    </row>
    <row r="908">
      <c r="A908" s="71"/>
      <c r="B908" s="117"/>
      <c r="C908" s="79"/>
      <c r="D908" s="117"/>
      <c r="E908" s="117"/>
      <c r="F908" s="117"/>
      <c r="G908" s="117"/>
      <c r="H908" s="117"/>
      <c r="I908" s="117"/>
      <c r="J908" s="117"/>
      <c r="K908" s="71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  <c r="AB908" s="117"/>
    </row>
    <row r="909">
      <c r="A909" s="71"/>
      <c r="B909" s="117"/>
      <c r="C909" s="79"/>
      <c r="D909" s="117"/>
      <c r="E909" s="117"/>
      <c r="F909" s="117"/>
      <c r="G909" s="117"/>
      <c r="H909" s="117"/>
      <c r="I909" s="117"/>
      <c r="J909" s="117"/>
      <c r="K909" s="71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  <c r="AB909" s="117"/>
    </row>
    <row r="910">
      <c r="A910" s="71"/>
      <c r="B910" s="117"/>
      <c r="C910" s="79"/>
      <c r="D910" s="117"/>
      <c r="E910" s="117"/>
      <c r="F910" s="117"/>
      <c r="G910" s="117"/>
      <c r="H910" s="117"/>
      <c r="I910" s="117"/>
      <c r="J910" s="117"/>
      <c r="K910" s="71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  <c r="AB910" s="117"/>
    </row>
    <row r="911">
      <c r="A911" s="71"/>
      <c r="B911" s="117"/>
      <c r="C911" s="79"/>
      <c r="D911" s="117"/>
      <c r="E911" s="117"/>
      <c r="F911" s="117"/>
      <c r="G911" s="117"/>
      <c r="H911" s="117"/>
      <c r="I911" s="117"/>
      <c r="J911" s="117"/>
      <c r="K911" s="71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  <c r="AB911" s="117"/>
    </row>
    <row r="912">
      <c r="A912" s="71"/>
      <c r="B912" s="117"/>
      <c r="C912" s="79"/>
      <c r="D912" s="117"/>
      <c r="E912" s="117"/>
      <c r="F912" s="117"/>
      <c r="G912" s="117"/>
      <c r="H912" s="117"/>
      <c r="I912" s="117"/>
      <c r="J912" s="117"/>
      <c r="K912" s="71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  <c r="AB912" s="117"/>
    </row>
    <row r="913">
      <c r="A913" s="71"/>
      <c r="B913" s="117"/>
      <c r="C913" s="79"/>
      <c r="D913" s="117"/>
      <c r="E913" s="117"/>
      <c r="F913" s="117"/>
      <c r="G913" s="117"/>
      <c r="H913" s="117"/>
      <c r="I913" s="117"/>
      <c r="J913" s="117"/>
      <c r="K913" s="71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117"/>
      <c r="AB913" s="117"/>
    </row>
    <row r="914">
      <c r="A914" s="71"/>
      <c r="B914" s="117"/>
      <c r="C914" s="79"/>
      <c r="D914" s="117"/>
      <c r="E914" s="117"/>
      <c r="F914" s="117"/>
      <c r="G914" s="117"/>
      <c r="H914" s="117"/>
      <c r="I914" s="117"/>
      <c r="J914" s="117"/>
      <c r="K914" s="71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117"/>
      <c r="AB914" s="117"/>
    </row>
    <row r="915">
      <c r="A915" s="71"/>
      <c r="B915" s="117"/>
      <c r="C915" s="79"/>
      <c r="D915" s="117"/>
      <c r="E915" s="117"/>
      <c r="F915" s="117"/>
      <c r="G915" s="117"/>
      <c r="H915" s="117"/>
      <c r="I915" s="117"/>
      <c r="J915" s="117"/>
      <c r="K915" s="71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  <c r="AB915" s="117"/>
    </row>
    <row r="916">
      <c r="A916" s="71"/>
      <c r="B916" s="117"/>
      <c r="C916" s="79"/>
      <c r="D916" s="117"/>
      <c r="E916" s="117"/>
      <c r="F916" s="117"/>
      <c r="G916" s="117"/>
      <c r="H916" s="117"/>
      <c r="I916" s="117"/>
      <c r="J916" s="117"/>
      <c r="K916" s="71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117"/>
      <c r="AB916" s="117"/>
    </row>
    <row r="917">
      <c r="A917" s="71"/>
      <c r="B917" s="117"/>
      <c r="C917" s="79"/>
      <c r="D917" s="117"/>
      <c r="E917" s="117"/>
      <c r="F917" s="117"/>
      <c r="G917" s="117"/>
      <c r="H917" s="117"/>
      <c r="I917" s="117"/>
      <c r="J917" s="117"/>
      <c r="K917" s="71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  <c r="AB917" s="117"/>
    </row>
    <row r="918">
      <c r="A918" s="71"/>
      <c r="B918" s="117"/>
      <c r="C918" s="79"/>
      <c r="D918" s="117"/>
      <c r="E918" s="117"/>
      <c r="F918" s="117"/>
      <c r="G918" s="117"/>
      <c r="H918" s="117"/>
      <c r="I918" s="117"/>
      <c r="J918" s="117"/>
      <c r="K918" s="71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  <c r="AB918" s="117"/>
    </row>
    <row r="919">
      <c r="A919" s="71"/>
      <c r="B919" s="117"/>
      <c r="C919" s="79"/>
      <c r="D919" s="117"/>
      <c r="E919" s="117"/>
      <c r="F919" s="117"/>
      <c r="G919" s="117"/>
      <c r="H919" s="117"/>
      <c r="I919" s="117"/>
      <c r="J919" s="117"/>
      <c r="K919" s="71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  <c r="AB919" s="117"/>
    </row>
    <row r="920">
      <c r="A920" s="71"/>
      <c r="B920" s="117"/>
      <c r="C920" s="79"/>
      <c r="D920" s="117"/>
      <c r="E920" s="117"/>
      <c r="F920" s="117"/>
      <c r="G920" s="117"/>
      <c r="H920" s="117"/>
      <c r="I920" s="117"/>
      <c r="J920" s="117"/>
      <c r="K920" s="71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  <c r="AB920" s="117"/>
    </row>
    <row r="921">
      <c r="A921" s="71"/>
      <c r="B921" s="117"/>
      <c r="C921" s="79"/>
      <c r="D921" s="117"/>
      <c r="E921" s="117"/>
      <c r="F921" s="117"/>
      <c r="G921" s="117"/>
      <c r="H921" s="117"/>
      <c r="I921" s="117"/>
      <c r="J921" s="117"/>
      <c r="K921" s="71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  <c r="AB921" s="117"/>
    </row>
    <row r="922">
      <c r="A922" s="71"/>
      <c r="B922" s="117"/>
      <c r="C922" s="79"/>
      <c r="D922" s="117"/>
      <c r="E922" s="117"/>
      <c r="F922" s="117"/>
      <c r="G922" s="117"/>
      <c r="H922" s="117"/>
      <c r="I922" s="117"/>
      <c r="J922" s="117"/>
      <c r="K922" s="71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  <c r="AB922" s="117"/>
    </row>
    <row r="923">
      <c r="A923" s="71"/>
      <c r="B923" s="117"/>
      <c r="C923" s="79"/>
      <c r="D923" s="117"/>
      <c r="E923" s="117"/>
      <c r="F923" s="117"/>
      <c r="G923" s="117"/>
      <c r="H923" s="117"/>
      <c r="I923" s="117"/>
      <c r="J923" s="117"/>
      <c r="K923" s="71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  <c r="AB923" s="117"/>
    </row>
    <row r="924">
      <c r="A924" s="71"/>
      <c r="B924" s="117"/>
      <c r="C924" s="79"/>
      <c r="D924" s="117"/>
      <c r="E924" s="117"/>
      <c r="F924" s="117"/>
      <c r="G924" s="117"/>
      <c r="H924" s="117"/>
      <c r="I924" s="117"/>
      <c r="J924" s="117"/>
      <c r="K924" s="71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  <c r="AB924" s="117"/>
    </row>
    <row r="925">
      <c r="A925" s="71"/>
      <c r="B925" s="117"/>
      <c r="C925" s="79"/>
      <c r="D925" s="117"/>
      <c r="E925" s="117"/>
      <c r="F925" s="117"/>
      <c r="G925" s="117"/>
      <c r="H925" s="117"/>
      <c r="I925" s="117"/>
      <c r="J925" s="117"/>
      <c r="K925" s="71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117"/>
      <c r="AB925" s="117"/>
    </row>
    <row r="926">
      <c r="A926" s="71"/>
      <c r="B926" s="117"/>
      <c r="C926" s="79"/>
      <c r="D926" s="117"/>
      <c r="E926" s="117"/>
      <c r="F926" s="117"/>
      <c r="G926" s="117"/>
      <c r="H926" s="117"/>
      <c r="I926" s="117"/>
      <c r="J926" s="117"/>
      <c r="K926" s="71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  <c r="AB926" s="117"/>
    </row>
    <row r="927">
      <c r="A927" s="71"/>
      <c r="B927" s="117"/>
      <c r="C927" s="79"/>
      <c r="D927" s="117"/>
      <c r="E927" s="117"/>
      <c r="F927" s="117"/>
      <c r="G927" s="117"/>
      <c r="H927" s="117"/>
      <c r="I927" s="117"/>
      <c r="J927" s="117"/>
      <c r="K927" s="71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  <c r="AB927" s="117"/>
    </row>
    <row r="928">
      <c r="A928" s="71"/>
      <c r="B928" s="117"/>
      <c r="C928" s="79"/>
      <c r="D928" s="117"/>
      <c r="E928" s="117"/>
      <c r="F928" s="117"/>
      <c r="G928" s="117"/>
      <c r="H928" s="117"/>
      <c r="I928" s="117"/>
      <c r="J928" s="117"/>
      <c r="K928" s="71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  <c r="AB928" s="117"/>
    </row>
    <row r="929">
      <c r="A929" s="71"/>
      <c r="B929" s="117"/>
      <c r="C929" s="79"/>
      <c r="D929" s="117"/>
      <c r="E929" s="117"/>
      <c r="F929" s="117"/>
      <c r="G929" s="117"/>
      <c r="H929" s="117"/>
      <c r="I929" s="117"/>
      <c r="J929" s="117"/>
      <c r="K929" s="71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  <c r="AB929" s="117"/>
    </row>
    <row r="930">
      <c r="A930" s="71"/>
      <c r="B930" s="117"/>
      <c r="C930" s="79"/>
      <c r="D930" s="117"/>
      <c r="E930" s="117"/>
      <c r="F930" s="117"/>
      <c r="G930" s="117"/>
      <c r="H930" s="117"/>
      <c r="I930" s="117"/>
      <c r="J930" s="117"/>
      <c r="K930" s="71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  <c r="AB930" s="117"/>
    </row>
    <row r="931">
      <c r="A931" s="71"/>
      <c r="B931" s="117"/>
      <c r="C931" s="79"/>
      <c r="D931" s="117"/>
      <c r="E931" s="117"/>
      <c r="F931" s="117"/>
      <c r="G931" s="117"/>
      <c r="H931" s="117"/>
      <c r="I931" s="117"/>
      <c r="J931" s="117"/>
      <c r="K931" s="71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  <c r="AB931" s="117"/>
    </row>
    <row r="932">
      <c r="A932" s="71"/>
      <c r="B932" s="117"/>
      <c r="C932" s="79"/>
      <c r="D932" s="117"/>
      <c r="E932" s="117"/>
      <c r="F932" s="117"/>
      <c r="G932" s="117"/>
      <c r="H932" s="117"/>
      <c r="I932" s="117"/>
      <c r="J932" s="117"/>
      <c r="K932" s="71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  <c r="AB932" s="117"/>
    </row>
    <row r="933">
      <c r="A933" s="71"/>
      <c r="B933" s="117"/>
      <c r="C933" s="79"/>
      <c r="D933" s="117"/>
      <c r="E933" s="117"/>
      <c r="F933" s="117"/>
      <c r="G933" s="117"/>
      <c r="H933" s="117"/>
      <c r="I933" s="117"/>
      <c r="J933" s="117"/>
      <c r="K933" s="71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  <c r="AB933" s="117"/>
    </row>
    <row r="934">
      <c r="A934" s="71"/>
      <c r="B934" s="117"/>
      <c r="C934" s="79"/>
      <c r="D934" s="117"/>
      <c r="E934" s="117"/>
      <c r="F934" s="117"/>
      <c r="G934" s="117"/>
      <c r="H934" s="117"/>
      <c r="I934" s="117"/>
      <c r="J934" s="117"/>
      <c r="K934" s="71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  <c r="AB934" s="117"/>
    </row>
    <row r="935">
      <c r="A935" s="71"/>
      <c r="B935" s="117"/>
      <c r="C935" s="79"/>
      <c r="D935" s="117"/>
      <c r="E935" s="117"/>
      <c r="F935" s="117"/>
      <c r="G935" s="117"/>
      <c r="H935" s="117"/>
      <c r="I935" s="117"/>
      <c r="J935" s="117"/>
      <c r="K935" s="71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  <c r="AB935" s="117"/>
    </row>
    <row r="936">
      <c r="A936" s="71"/>
      <c r="B936" s="117"/>
      <c r="C936" s="79"/>
      <c r="D936" s="117"/>
      <c r="E936" s="117"/>
      <c r="F936" s="117"/>
      <c r="G936" s="117"/>
      <c r="H936" s="117"/>
      <c r="I936" s="117"/>
      <c r="J936" s="117"/>
      <c r="K936" s="71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  <c r="AB936" s="117"/>
    </row>
    <row r="937">
      <c r="A937" s="71"/>
      <c r="B937" s="117"/>
      <c r="C937" s="79"/>
      <c r="D937" s="117"/>
      <c r="E937" s="117"/>
      <c r="F937" s="117"/>
      <c r="G937" s="117"/>
      <c r="H937" s="117"/>
      <c r="I937" s="117"/>
      <c r="J937" s="117"/>
      <c r="K937" s="71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117"/>
      <c r="AB937" s="117"/>
    </row>
    <row r="938">
      <c r="A938" s="71"/>
      <c r="B938" s="117"/>
      <c r="C938" s="79"/>
      <c r="D938" s="117"/>
      <c r="E938" s="117"/>
      <c r="F938" s="117"/>
      <c r="G938" s="117"/>
      <c r="H938" s="117"/>
      <c r="I938" s="117"/>
      <c r="J938" s="117"/>
      <c r="K938" s="71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  <c r="AB938" s="117"/>
    </row>
    <row r="939">
      <c r="A939" s="71"/>
      <c r="B939" s="117"/>
      <c r="C939" s="79"/>
      <c r="D939" s="117"/>
      <c r="E939" s="117"/>
      <c r="F939" s="117"/>
      <c r="G939" s="117"/>
      <c r="H939" s="117"/>
      <c r="I939" s="117"/>
      <c r="J939" s="117"/>
      <c r="K939" s="71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  <c r="AB939" s="117"/>
    </row>
    <row r="940">
      <c r="A940" s="71"/>
      <c r="B940" s="117"/>
      <c r="C940" s="79"/>
      <c r="D940" s="117"/>
      <c r="E940" s="117"/>
      <c r="F940" s="117"/>
      <c r="G940" s="117"/>
      <c r="H940" s="117"/>
      <c r="I940" s="117"/>
      <c r="J940" s="117"/>
      <c r="K940" s="71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  <c r="AB940" s="117"/>
    </row>
    <row r="941">
      <c r="A941" s="71"/>
      <c r="B941" s="117"/>
      <c r="C941" s="79"/>
      <c r="D941" s="117"/>
      <c r="E941" s="117"/>
      <c r="F941" s="117"/>
      <c r="G941" s="117"/>
      <c r="H941" s="117"/>
      <c r="I941" s="117"/>
      <c r="J941" s="117"/>
      <c r="K941" s="71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  <c r="AB941" s="117"/>
    </row>
    <row r="942">
      <c r="A942" s="71"/>
      <c r="B942" s="117"/>
      <c r="C942" s="79"/>
      <c r="D942" s="117"/>
      <c r="E942" s="117"/>
      <c r="F942" s="117"/>
      <c r="G942" s="117"/>
      <c r="H942" s="117"/>
      <c r="I942" s="117"/>
      <c r="J942" s="117"/>
      <c r="K942" s="71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  <c r="AB942" s="117"/>
    </row>
    <row r="943">
      <c r="A943" s="71"/>
      <c r="B943" s="117"/>
      <c r="C943" s="79"/>
      <c r="D943" s="117"/>
      <c r="E943" s="117"/>
      <c r="F943" s="117"/>
      <c r="G943" s="117"/>
      <c r="H943" s="117"/>
      <c r="I943" s="117"/>
      <c r="J943" s="117"/>
      <c r="K943" s="71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  <c r="AB943" s="117"/>
    </row>
    <row r="944">
      <c r="A944" s="71"/>
      <c r="B944" s="117"/>
      <c r="C944" s="79"/>
      <c r="D944" s="117"/>
      <c r="E944" s="117"/>
      <c r="F944" s="117"/>
      <c r="G944" s="117"/>
      <c r="H944" s="117"/>
      <c r="I944" s="117"/>
      <c r="J944" s="117"/>
      <c r="K944" s="71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  <c r="AB944" s="117"/>
    </row>
    <row r="945">
      <c r="A945" s="71"/>
      <c r="B945" s="117"/>
      <c r="C945" s="79"/>
      <c r="D945" s="117"/>
      <c r="E945" s="117"/>
      <c r="F945" s="117"/>
      <c r="G945" s="117"/>
      <c r="H945" s="117"/>
      <c r="I945" s="117"/>
      <c r="J945" s="117"/>
      <c r="K945" s="71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  <c r="AB945" s="117"/>
    </row>
    <row r="946">
      <c r="A946" s="71"/>
      <c r="B946" s="117"/>
      <c r="C946" s="79"/>
      <c r="D946" s="117"/>
      <c r="E946" s="117"/>
      <c r="F946" s="117"/>
      <c r="G946" s="117"/>
      <c r="H946" s="117"/>
      <c r="I946" s="117"/>
      <c r="J946" s="117"/>
      <c r="K946" s="71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  <c r="AB946" s="117"/>
    </row>
    <row r="947">
      <c r="A947" s="71"/>
      <c r="B947" s="117"/>
      <c r="C947" s="79"/>
      <c r="D947" s="117"/>
      <c r="E947" s="117"/>
      <c r="F947" s="117"/>
      <c r="G947" s="117"/>
      <c r="H947" s="117"/>
      <c r="I947" s="117"/>
      <c r="J947" s="117"/>
      <c r="K947" s="71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  <c r="AB947" s="117"/>
    </row>
    <row r="948">
      <c r="A948" s="71"/>
      <c r="B948" s="117"/>
      <c r="C948" s="79"/>
      <c r="D948" s="117"/>
      <c r="E948" s="117"/>
      <c r="F948" s="117"/>
      <c r="G948" s="117"/>
      <c r="H948" s="117"/>
      <c r="I948" s="117"/>
      <c r="J948" s="117"/>
      <c r="K948" s="71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  <c r="AB948" s="117"/>
    </row>
    <row r="949">
      <c r="A949" s="71"/>
      <c r="B949" s="117"/>
      <c r="C949" s="79"/>
      <c r="D949" s="117"/>
      <c r="E949" s="117"/>
      <c r="F949" s="117"/>
      <c r="G949" s="117"/>
      <c r="H949" s="117"/>
      <c r="I949" s="117"/>
      <c r="J949" s="117"/>
      <c r="K949" s="71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117"/>
      <c r="AB949" s="117"/>
    </row>
    <row r="950">
      <c r="A950" s="71"/>
      <c r="B950" s="117"/>
      <c r="C950" s="79"/>
      <c r="D950" s="117"/>
      <c r="E950" s="117"/>
      <c r="F950" s="117"/>
      <c r="G950" s="117"/>
      <c r="H950" s="117"/>
      <c r="I950" s="117"/>
      <c r="J950" s="117"/>
      <c r="K950" s="71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  <c r="AB950" s="117"/>
    </row>
    <row r="951">
      <c r="A951" s="71"/>
      <c r="B951" s="117"/>
      <c r="C951" s="79"/>
      <c r="D951" s="117"/>
      <c r="E951" s="117"/>
      <c r="F951" s="117"/>
      <c r="G951" s="117"/>
      <c r="H951" s="117"/>
      <c r="I951" s="117"/>
      <c r="J951" s="117"/>
      <c r="K951" s="71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  <c r="AB951" s="117"/>
    </row>
    <row r="952">
      <c r="A952" s="71"/>
      <c r="B952" s="117"/>
      <c r="C952" s="79"/>
      <c r="D952" s="117"/>
      <c r="E952" s="117"/>
      <c r="F952" s="117"/>
      <c r="G952" s="117"/>
      <c r="H952" s="117"/>
      <c r="I952" s="117"/>
      <c r="J952" s="117"/>
      <c r="K952" s="71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  <c r="AB952" s="117"/>
    </row>
  </sheetData>
  <autoFilter ref="$A$1:$K$66">
    <filterColumn colId="10">
      <filters blank="1">
        <filter val="Dezembro"/>
      </filters>
    </filterColumn>
  </autoFilter>
  <dataValidations>
    <dataValidation type="list" allowBlank="1" showErrorMessage="1" sqref="K2">
      <formula1>"Janeiro,Fevereiro,Março,Abril,Maio,Junho,Julho,Agosto,Setembro,Outubro,Novembro,Dezembro"</formula1>
    </dataValidation>
    <dataValidation type="list" allowBlank="1" showErrorMessage="1" sqref="K3:K952">
      <formula1>"Janeiro,Fevereiro,Março,Abril,Maio,Junho,Julho,Agosto,Setembro,Outubro,Novembro,Dezembro"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6.0"/>
    <col customWidth="1" min="3" max="3" width="15.63"/>
    <col customWidth="1" min="4" max="4" width="23.75"/>
    <col customWidth="1" min="5" max="5" width="24.88"/>
    <col customWidth="1" min="6" max="6" width="16.13"/>
    <col customWidth="1" min="7" max="7" width="16.38"/>
    <col customWidth="1" min="8" max="8" width="15.38"/>
    <col customWidth="1" min="9" max="9" width="16.88"/>
    <col customWidth="1" min="10" max="10" width="19.63"/>
    <col customWidth="1" min="11" max="11" width="18.63"/>
    <col customWidth="1" min="12" max="12" width="19.13"/>
  </cols>
  <sheetData>
    <row r="1" ht="24.0" customHeight="1">
      <c r="A1" s="1"/>
      <c r="B1" s="164" t="s">
        <v>92</v>
      </c>
      <c r="C1" s="165" t="s">
        <v>93</v>
      </c>
      <c r="D1" s="165" t="s">
        <v>1</v>
      </c>
      <c r="E1" s="165" t="s">
        <v>4</v>
      </c>
      <c r="F1" s="165" t="s">
        <v>94</v>
      </c>
      <c r="G1" s="165" t="s">
        <v>6</v>
      </c>
      <c r="H1" s="165" t="s">
        <v>7</v>
      </c>
      <c r="I1" s="166" t="s">
        <v>95</v>
      </c>
      <c r="J1" s="166" t="s">
        <v>8</v>
      </c>
      <c r="K1" s="165" t="s">
        <v>11</v>
      </c>
      <c r="L1" s="167" t="s">
        <v>12</v>
      </c>
    </row>
    <row r="2" ht="15.75" customHeight="1">
      <c r="A2" s="1"/>
      <c r="B2" s="168">
        <v>45636.0</v>
      </c>
      <c r="C2" s="169">
        <v>1437.0</v>
      </c>
      <c r="D2" s="170" t="s">
        <v>96</v>
      </c>
      <c r="E2" s="171" t="s">
        <v>97</v>
      </c>
      <c r="F2" s="172">
        <v>54.9</v>
      </c>
      <c r="G2" s="173">
        <v>73.66</v>
      </c>
      <c r="H2" s="174">
        <f t="shared" ref="H2:H902" si="1">F2*G2</f>
        <v>4043.934</v>
      </c>
      <c r="I2" s="175" t="s">
        <v>98</v>
      </c>
      <c r="J2" s="176">
        <v>0.02</v>
      </c>
      <c r="K2" s="177">
        <f t="shared" ref="K2:K902" si="2">H2*J2</f>
        <v>80.87868</v>
      </c>
      <c r="L2" s="178" t="s">
        <v>18</v>
      </c>
    </row>
    <row r="3" ht="15.75" customHeight="1">
      <c r="A3" s="1"/>
      <c r="B3" s="168">
        <v>45638.0</v>
      </c>
      <c r="C3" s="169">
        <v>1440.0</v>
      </c>
      <c r="D3" s="170" t="s">
        <v>60</v>
      </c>
      <c r="E3" s="171" t="s">
        <v>97</v>
      </c>
      <c r="F3" s="172">
        <v>54.9</v>
      </c>
      <c r="G3" s="173">
        <v>159.94</v>
      </c>
      <c r="H3" s="174">
        <f t="shared" si="1"/>
        <v>8780.706</v>
      </c>
      <c r="I3" s="175" t="s">
        <v>98</v>
      </c>
      <c r="J3" s="176">
        <v>0.02</v>
      </c>
      <c r="K3" s="177">
        <f t="shared" si="2"/>
        <v>175.61412</v>
      </c>
      <c r="L3" s="178" t="s">
        <v>18</v>
      </c>
    </row>
    <row r="4" ht="15.75" customHeight="1">
      <c r="A4" s="1"/>
      <c r="B4" s="168">
        <v>45639.0</v>
      </c>
      <c r="C4" s="169">
        <v>1442.0</v>
      </c>
      <c r="D4" s="170" t="s">
        <v>99</v>
      </c>
      <c r="E4" s="171" t="s">
        <v>100</v>
      </c>
      <c r="F4" s="172">
        <v>14.9</v>
      </c>
      <c r="G4" s="173">
        <v>36.0</v>
      </c>
      <c r="H4" s="174">
        <f t="shared" si="1"/>
        <v>536.4</v>
      </c>
      <c r="I4" s="175" t="s">
        <v>98</v>
      </c>
      <c r="J4" s="176">
        <v>0.02</v>
      </c>
      <c r="K4" s="177">
        <f t="shared" si="2"/>
        <v>10.728</v>
      </c>
      <c r="L4" s="178" t="s">
        <v>18</v>
      </c>
    </row>
    <row r="5" ht="15.75" customHeight="1">
      <c r="A5" s="1"/>
      <c r="B5" s="168">
        <v>45664.0</v>
      </c>
      <c r="C5" s="169">
        <v>1449.0</v>
      </c>
      <c r="D5" s="170" t="s">
        <v>101</v>
      </c>
      <c r="E5" s="171" t="s">
        <v>102</v>
      </c>
      <c r="F5" s="172">
        <v>29.9</v>
      </c>
      <c r="G5" s="173">
        <v>193.3</v>
      </c>
      <c r="H5" s="174">
        <f t="shared" si="1"/>
        <v>5779.67</v>
      </c>
      <c r="I5" s="175" t="s">
        <v>98</v>
      </c>
      <c r="J5" s="176">
        <v>0.02</v>
      </c>
      <c r="K5" s="177">
        <f t="shared" si="2"/>
        <v>115.5934</v>
      </c>
      <c r="L5" s="178" t="s">
        <v>15</v>
      </c>
    </row>
    <row r="6" ht="15.75" customHeight="1">
      <c r="A6" s="1"/>
      <c r="B6" s="168">
        <v>45665.0</v>
      </c>
      <c r="C6" s="169">
        <v>1453.0</v>
      </c>
      <c r="D6" s="170" t="s">
        <v>103</v>
      </c>
      <c r="E6" s="171" t="s">
        <v>102</v>
      </c>
      <c r="F6" s="172">
        <v>29.9</v>
      </c>
      <c r="G6" s="173">
        <v>194.0</v>
      </c>
      <c r="H6" s="174">
        <f t="shared" si="1"/>
        <v>5800.6</v>
      </c>
      <c r="I6" s="175" t="s">
        <v>98</v>
      </c>
      <c r="J6" s="176">
        <v>0.02</v>
      </c>
      <c r="K6" s="177">
        <f t="shared" si="2"/>
        <v>116.012</v>
      </c>
      <c r="L6" s="178" t="s">
        <v>15</v>
      </c>
    </row>
    <row r="7" ht="15.75" customHeight="1">
      <c r="A7" s="1"/>
      <c r="B7" s="168">
        <v>45665.0</v>
      </c>
      <c r="C7" s="169">
        <v>1455.0</v>
      </c>
      <c r="D7" s="170" t="s">
        <v>104</v>
      </c>
      <c r="E7" s="171" t="s">
        <v>97</v>
      </c>
      <c r="F7" s="172">
        <v>54.9</v>
      </c>
      <c r="G7" s="173">
        <v>160.97</v>
      </c>
      <c r="H7" s="174">
        <f t="shared" si="1"/>
        <v>8837.253</v>
      </c>
      <c r="I7" s="175" t="s">
        <v>98</v>
      </c>
      <c r="J7" s="176">
        <v>0.02</v>
      </c>
      <c r="K7" s="177">
        <f t="shared" si="2"/>
        <v>176.74506</v>
      </c>
      <c r="L7" s="178" t="s">
        <v>15</v>
      </c>
    </row>
    <row r="8" ht="15.75" customHeight="1">
      <c r="A8" s="1"/>
      <c r="B8" s="168">
        <v>45665.0</v>
      </c>
      <c r="C8" s="169">
        <v>1456.0</v>
      </c>
      <c r="D8" s="170" t="s">
        <v>103</v>
      </c>
      <c r="E8" s="171" t="s">
        <v>105</v>
      </c>
      <c r="F8" s="172">
        <v>26.0</v>
      </c>
      <c r="G8" s="173">
        <v>95.53</v>
      </c>
      <c r="H8" s="174">
        <f t="shared" si="1"/>
        <v>2483.78</v>
      </c>
      <c r="I8" s="175" t="s">
        <v>98</v>
      </c>
      <c r="J8" s="176">
        <v>0.02</v>
      </c>
      <c r="K8" s="177">
        <f t="shared" si="2"/>
        <v>49.6756</v>
      </c>
      <c r="L8" s="178" t="s">
        <v>15</v>
      </c>
    </row>
    <row r="9" ht="15.75" customHeight="1">
      <c r="A9" s="1"/>
      <c r="B9" s="168">
        <v>45666.0</v>
      </c>
      <c r="C9" s="169">
        <v>1468.0</v>
      </c>
      <c r="D9" s="170" t="s">
        <v>101</v>
      </c>
      <c r="E9" s="171" t="s">
        <v>102</v>
      </c>
      <c r="F9" s="172">
        <v>29.9</v>
      </c>
      <c r="G9" s="173">
        <v>97.0</v>
      </c>
      <c r="H9" s="174">
        <f t="shared" si="1"/>
        <v>2900.3</v>
      </c>
      <c r="I9" s="175" t="s">
        <v>98</v>
      </c>
      <c r="J9" s="176">
        <v>0.02</v>
      </c>
      <c r="K9" s="177">
        <f t="shared" si="2"/>
        <v>58.006</v>
      </c>
      <c r="L9" s="178" t="s">
        <v>15</v>
      </c>
    </row>
    <row r="10" ht="15.75" customHeight="1">
      <c r="A10" s="1"/>
      <c r="B10" s="168">
        <v>45673.0</v>
      </c>
      <c r="C10" s="169">
        <v>1469.0</v>
      </c>
      <c r="D10" s="170" t="s">
        <v>106</v>
      </c>
      <c r="E10" s="171" t="s">
        <v>97</v>
      </c>
      <c r="F10" s="172">
        <v>54.9</v>
      </c>
      <c r="G10" s="173">
        <v>14.47</v>
      </c>
      <c r="H10" s="174">
        <f t="shared" si="1"/>
        <v>794.403</v>
      </c>
      <c r="I10" s="175" t="s">
        <v>98</v>
      </c>
      <c r="J10" s="176">
        <v>0.02</v>
      </c>
      <c r="K10" s="177">
        <f t="shared" si="2"/>
        <v>15.88806</v>
      </c>
      <c r="L10" s="178" t="s">
        <v>15</v>
      </c>
    </row>
    <row r="11" ht="15.75" customHeight="1">
      <c r="A11" s="1"/>
      <c r="B11" s="168">
        <v>45692.0</v>
      </c>
      <c r="C11" s="169">
        <v>1494.0</v>
      </c>
      <c r="D11" s="170" t="s">
        <v>60</v>
      </c>
      <c r="E11" s="171" t="s">
        <v>97</v>
      </c>
      <c r="F11" s="172">
        <v>56.9</v>
      </c>
      <c r="G11" s="173">
        <v>44.9</v>
      </c>
      <c r="H11" s="174">
        <f t="shared" si="1"/>
        <v>2554.81</v>
      </c>
      <c r="I11" s="175" t="s">
        <v>98</v>
      </c>
      <c r="J11" s="176">
        <v>0.02</v>
      </c>
      <c r="K11" s="177">
        <f t="shared" si="2"/>
        <v>51.0962</v>
      </c>
      <c r="L11" s="178" t="s">
        <v>28</v>
      </c>
    </row>
    <row r="12" ht="15.75" customHeight="1">
      <c r="A12" s="1"/>
      <c r="B12" s="179">
        <v>45692.0</v>
      </c>
      <c r="C12" s="175">
        <v>1495.0</v>
      </c>
      <c r="D12" s="180" t="s">
        <v>107</v>
      </c>
      <c r="E12" s="171" t="s">
        <v>102</v>
      </c>
      <c r="F12" s="181">
        <v>29.9</v>
      </c>
      <c r="G12" s="182">
        <v>38.45</v>
      </c>
      <c r="H12" s="174">
        <f t="shared" si="1"/>
        <v>1149.655</v>
      </c>
      <c r="I12" s="175" t="s">
        <v>98</v>
      </c>
      <c r="J12" s="176">
        <v>0.02</v>
      </c>
      <c r="K12" s="177">
        <f t="shared" si="2"/>
        <v>22.9931</v>
      </c>
      <c r="L12" s="178" t="s">
        <v>28</v>
      </c>
    </row>
    <row r="13" ht="15.75" customHeight="1">
      <c r="A13" s="1"/>
      <c r="B13" s="179">
        <v>45692.0</v>
      </c>
      <c r="C13" s="175">
        <v>1496.0</v>
      </c>
      <c r="D13" s="180" t="s">
        <v>103</v>
      </c>
      <c r="E13" s="171" t="s">
        <v>102</v>
      </c>
      <c r="F13" s="181">
        <v>29.9</v>
      </c>
      <c r="G13" s="182">
        <v>77.56</v>
      </c>
      <c r="H13" s="174">
        <f t="shared" si="1"/>
        <v>2319.044</v>
      </c>
      <c r="I13" s="175" t="s">
        <v>98</v>
      </c>
      <c r="J13" s="176">
        <v>0.02</v>
      </c>
      <c r="K13" s="177">
        <f t="shared" si="2"/>
        <v>46.38088</v>
      </c>
      <c r="L13" s="178" t="s">
        <v>28</v>
      </c>
    </row>
    <row r="14" ht="15.75" customHeight="1">
      <c r="A14" s="1"/>
      <c r="B14" s="179">
        <v>45726.0</v>
      </c>
      <c r="C14" s="175">
        <v>1546.0</v>
      </c>
      <c r="D14" s="180" t="s">
        <v>107</v>
      </c>
      <c r="E14" s="171" t="s">
        <v>102</v>
      </c>
      <c r="F14" s="181">
        <v>28.0</v>
      </c>
      <c r="G14" s="182">
        <v>163.05</v>
      </c>
      <c r="H14" s="174">
        <f t="shared" si="1"/>
        <v>4565.4</v>
      </c>
      <c r="I14" s="175" t="s">
        <v>98</v>
      </c>
      <c r="J14" s="176">
        <v>0.01</v>
      </c>
      <c r="K14" s="177">
        <f t="shared" si="2"/>
        <v>45.654</v>
      </c>
      <c r="L14" s="178" t="s">
        <v>23</v>
      </c>
    </row>
    <row r="15" ht="15.75" customHeight="1">
      <c r="A15" s="1"/>
      <c r="B15" s="179">
        <v>45728.0</v>
      </c>
      <c r="C15" s="175">
        <v>1550.0</v>
      </c>
      <c r="D15" s="180" t="s">
        <v>60</v>
      </c>
      <c r="E15" s="171" t="s">
        <v>97</v>
      </c>
      <c r="F15" s="181">
        <v>56.9</v>
      </c>
      <c r="G15" s="182">
        <v>230.48</v>
      </c>
      <c r="H15" s="174">
        <f t="shared" si="1"/>
        <v>13114.312</v>
      </c>
      <c r="I15" s="175" t="s">
        <v>98</v>
      </c>
      <c r="J15" s="176">
        <v>0.02</v>
      </c>
      <c r="K15" s="177">
        <f t="shared" si="2"/>
        <v>262.28624</v>
      </c>
      <c r="L15" s="178" t="s">
        <v>23</v>
      </c>
    </row>
    <row r="16" ht="15.75" customHeight="1">
      <c r="A16" s="1"/>
      <c r="B16" s="179">
        <v>45729.0</v>
      </c>
      <c r="C16" s="175">
        <v>1555.0</v>
      </c>
      <c r="D16" s="180" t="s">
        <v>108</v>
      </c>
      <c r="E16" s="171" t="s">
        <v>102</v>
      </c>
      <c r="F16" s="181">
        <v>28.5</v>
      </c>
      <c r="G16" s="182">
        <v>251.9</v>
      </c>
      <c r="H16" s="174">
        <f t="shared" si="1"/>
        <v>7179.15</v>
      </c>
      <c r="I16" s="175" t="s">
        <v>98</v>
      </c>
      <c r="J16" s="176">
        <v>0.01</v>
      </c>
      <c r="K16" s="177">
        <f t="shared" si="2"/>
        <v>71.7915</v>
      </c>
      <c r="L16" s="178" t="s">
        <v>23</v>
      </c>
    </row>
    <row r="17" ht="15.75" customHeight="1">
      <c r="A17" s="1"/>
      <c r="B17" s="179">
        <v>45743.0</v>
      </c>
      <c r="C17" s="175">
        <v>1582.0</v>
      </c>
      <c r="D17" s="180" t="s">
        <v>60</v>
      </c>
      <c r="E17" s="171" t="s">
        <v>109</v>
      </c>
      <c r="F17" s="181">
        <v>45.99</v>
      </c>
      <c r="G17" s="182">
        <v>354.3</v>
      </c>
      <c r="H17" s="174">
        <f t="shared" si="1"/>
        <v>16294.257</v>
      </c>
      <c r="I17" s="175" t="s">
        <v>98</v>
      </c>
      <c r="J17" s="176">
        <v>0.01</v>
      </c>
      <c r="K17" s="177">
        <f t="shared" si="2"/>
        <v>162.94257</v>
      </c>
      <c r="L17" s="178" t="s">
        <v>23</v>
      </c>
    </row>
    <row r="18" ht="15.75" customHeight="1">
      <c r="A18" s="1"/>
      <c r="B18" s="179">
        <v>45754.0</v>
      </c>
      <c r="C18" s="175">
        <v>1591.0</v>
      </c>
      <c r="D18" s="180" t="s">
        <v>60</v>
      </c>
      <c r="E18" s="171" t="s">
        <v>102</v>
      </c>
      <c r="F18" s="181">
        <v>56.9</v>
      </c>
      <c r="G18" s="182">
        <v>158.83</v>
      </c>
      <c r="H18" s="174">
        <f t="shared" si="1"/>
        <v>9037.427</v>
      </c>
      <c r="I18" s="175" t="s">
        <v>98</v>
      </c>
      <c r="J18" s="176">
        <v>0.01</v>
      </c>
      <c r="K18" s="177">
        <f t="shared" si="2"/>
        <v>90.37427</v>
      </c>
      <c r="L18" s="178" t="s">
        <v>32</v>
      </c>
    </row>
    <row r="19" ht="15.75" customHeight="1">
      <c r="A19" s="1"/>
      <c r="B19" s="179">
        <v>45762.0</v>
      </c>
      <c r="C19" s="175">
        <v>1613.0</v>
      </c>
      <c r="D19" s="180" t="s">
        <v>73</v>
      </c>
      <c r="E19" s="171" t="s">
        <v>102</v>
      </c>
      <c r="F19" s="181">
        <v>26.61</v>
      </c>
      <c r="G19" s="182">
        <v>1360.21</v>
      </c>
      <c r="H19" s="174">
        <f t="shared" si="1"/>
        <v>36195.1881</v>
      </c>
      <c r="I19" s="175" t="s">
        <v>98</v>
      </c>
      <c r="J19" s="176">
        <v>0.01</v>
      </c>
      <c r="K19" s="177">
        <f t="shared" si="2"/>
        <v>361.951881</v>
      </c>
      <c r="L19" s="178" t="s">
        <v>32</v>
      </c>
    </row>
    <row r="20" ht="15.75" customHeight="1">
      <c r="A20" s="1"/>
      <c r="B20" s="179">
        <v>45763.0</v>
      </c>
      <c r="C20" s="175">
        <v>1616.0</v>
      </c>
      <c r="D20" s="180" t="s">
        <v>110</v>
      </c>
      <c r="E20" s="171" t="s">
        <v>97</v>
      </c>
      <c r="F20" s="181">
        <v>54.9</v>
      </c>
      <c r="G20" s="182">
        <v>58.79</v>
      </c>
      <c r="H20" s="174">
        <f t="shared" si="1"/>
        <v>3227.571</v>
      </c>
      <c r="I20" s="175" t="s">
        <v>98</v>
      </c>
      <c r="J20" s="176">
        <v>0.02</v>
      </c>
      <c r="K20" s="177">
        <f t="shared" si="2"/>
        <v>64.55142</v>
      </c>
      <c r="L20" s="178" t="s">
        <v>32</v>
      </c>
    </row>
    <row r="21" ht="15.75" customHeight="1">
      <c r="A21" s="1"/>
      <c r="B21" s="179">
        <v>45763.0</v>
      </c>
      <c r="C21" s="175">
        <v>1620.0</v>
      </c>
      <c r="D21" s="180" t="s">
        <v>60</v>
      </c>
      <c r="E21" s="171" t="s">
        <v>97</v>
      </c>
      <c r="F21" s="181">
        <v>56.9</v>
      </c>
      <c r="G21" s="182">
        <v>408.58</v>
      </c>
      <c r="H21" s="174">
        <f t="shared" si="1"/>
        <v>23248.202</v>
      </c>
      <c r="I21" s="175" t="s">
        <v>98</v>
      </c>
      <c r="J21" s="176">
        <v>0.02</v>
      </c>
      <c r="K21" s="177">
        <f t="shared" si="2"/>
        <v>464.96404</v>
      </c>
      <c r="L21" s="178" t="s">
        <v>32</v>
      </c>
    </row>
    <row r="22" ht="15.75" customHeight="1">
      <c r="A22" s="1"/>
      <c r="B22" s="183">
        <v>45821.0</v>
      </c>
      <c r="C22" s="184">
        <v>1716.0</v>
      </c>
      <c r="D22" s="185" t="s">
        <v>111</v>
      </c>
      <c r="E22" s="184" t="s">
        <v>97</v>
      </c>
      <c r="F22" s="186">
        <v>54.9</v>
      </c>
      <c r="G22" s="187">
        <v>324.42</v>
      </c>
      <c r="H22" s="188">
        <f t="shared" si="1"/>
        <v>17810.658</v>
      </c>
      <c r="I22" s="184" t="s">
        <v>98</v>
      </c>
      <c r="J22" s="189">
        <v>0.01</v>
      </c>
      <c r="K22" s="190">
        <f t="shared" si="2"/>
        <v>178.10658</v>
      </c>
      <c r="L22" s="191" t="s">
        <v>38</v>
      </c>
    </row>
    <row r="23" ht="15.75" customHeight="1">
      <c r="A23" s="1"/>
      <c r="B23" s="183">
        <v>45827.0</v>
      </c>
      <c r="C23" s="184">
        <v>1732.0</v>
      </c>
      <c r="D23" s="185" t="s">
        <v>112</v>
      </c>
      <c r="E23" s="184" t="s">
        <v>102</v>
      </c>
      <c r="F23" s="186">
        <v>26.9</v>
      </c>
      <c r="G23" s="187">
        <v>858.39</v>
      </c>
      <c r="H23" s="188">
        <f t="shared" si="1"/>
        <v>23090.691</v>
      </c>
      <c r="I23" s="184" t="s">
        <v>98</v>
      </c>
      <c r="J23" s="189">
        <v>0.02</v>
      </c>
      <c r="K23" s="190">
        <f t="shared" si="2"/>
        <v>461.81382</v>
      </c>
      <c r="L23" s="191" t="s">
        <v>38</v>
      </c>
    </row>
    <row r="24" ht="15.75" customHeight="1">
      <c r="A24" s="1"/>
      <c r="B24" s="183">
        <v>45827.0</v>
      </c>
      <c r="C24" s="184">
        <v>1736.0</v>
      </c>
      <c r="D24" s="185" t="s">
        <v>113</v>
      </c>
      <c r="E24" s="184" t="s">
        <v>102</v>
      </c>
      <c r="F24" s="186">
        <v>26.9</v>
      </c>
      <c r="G24" s="187">
        <v>171.07</v>
      </c>
      <c r="H24" s="188">
        <f t="shared" si="1"/>
        <v>4601.783</v>
      </c>
      <c r="I24" s="184" t="s">
        <v>98</v>
      </c>
      <c r="J24" s="189">
        <v>0.02</v>
      </c>
      <c r="K24" s="190">
        <f t="shared" si="2"/>
        <v>92.03566</v>
      </c>
      <c r="L24" s="191" t="s">
        <v>38</v>
      </c>
    </row>
    <row r="25" ht="15.75" customHeight="1">
      <c r="A25" s="1"/>
      <c r="B25" s="192">
        <v>45827.0</v>
      </c>
      <c r="C25" s="184">
        <v>1734.0</v>
      </c>
      <c r="D25" s="185" t="s">
        <v>114</v>
      </c>
      <c r="E25" s="184" t="s">
        <v>102</v>
      </c>
      <c r="F25" s="186">
        <v>26.27</v>
      </c>
      <c r="G25" s="187">
        <v>341.01</v>
      </c>
      <c r="H25" s="188">
        <f t="shared" si="1"/>
        <v>8958.3327</v>
      </c>
      <c r="I25" s="184" t="s">
        <v>98</v>
      </c>
      <c r="J25" s="189">
        <v>0.02</v>
      </c>
      <c r="K25" s="190">
        <f t="shared" si="2"/>
        <v>179.166654</v>
      </c>
      <c r="L25" s="191" t="s">
        <v>38</v>
      </c>
    </row>
    <row r="26" ht="15.75" customHeight="1">
      <c r="A26" s="1"/>
      <c r="B26" s="183">
        <v>45831.0</v>
      </c>
      <c r="C26" s="184">
        <v>1740.0</v>
      </c>
      <c r="D26" s="185" t="s">
        <v>60</v>
      </c>
      <c r="E26" s="184" t="s">
        <v>102</v>
      </c>
      <c r="F26" s="186">
        <v>11.7</v>
      </c>
      <c r="G26" s="187">
        <v>111.0</v>
      </c>
      <c r="H26" s="188">
        <f t="shared" si="1"/>
        <v>1298.7</v>
      </c>
      <c r="I26" s="184" t="s">
        <v>98</v>
      </c>
      <c r="J26" s="189">
        <v>0.02</v>
      </c>
      <c r="K26" s="190">
        <f t="shared" si="2"/>
        <v>25.974</v>
      </c>
      <c r="L26" s="191" t="s">
        <v>38</v>
      </c>
    </row>
    <row r="27" ht="15.75" customHeight="1">
      <c r="A27" s="1"/>
      <c r="B27" s="183">
        <v>45831.0</v>
      </c>
      <c r="C27" s="184">
        <v>1743.0</v>
      </c>
      <c r="D27" s="185" t="s">
        <v>107</v>
      </c>
      <c r="E27" s="184" t="s">
        <v>102</v>
      </c>
      <c r="F27" s="186">
        <v>26.9</v>
      </c>
      <c r="G27" s="187">
        <v>191.43</v>
      </c>
      <c r="H27" s="188">
        <f t="shared" si="1"/>
        <v>5149.467</v>
      </c>
      <c r="I27" s="184" t="s">
        <v>98</v>
      </c>
      <c r="J27" s="189">
        <v>0.02</v>
      </c>
      <c r="K27" s="190">
        <f t="shared" si="2"/>
        <v>102.98934</v>
      </c>
      <c r="L27" s="191" t="s">
        <v>38</v>
      </c>
    </row>
    <row r="28" ht="15.75" customHeight="1">
      <c r="A28" s="1"/>
      <c r="B28" s="183">
        <v>45832.0</v>
      </c>
      <c r="C28" s="184">
        <v>1745.0</v>
      </c>
      <c r="D28" s="185" t="s">
        <v>87</v>
      </c>
      <c r="E28" s="184" t="s">
        <v>100</v>
      </c>
      <c r="F28" s="186">
        <v>11.7</v>
      </c>
      <c r="G28" s="187">
        <v>60.0</v>
      </c>
      <c r="H28" s="188">
        <f t="shared" si="1"/>
        <v>702</v>
      </c>
      <c r="I28" s="184" t="s">
        <v>98</v>
      </c>
      <c r="J28" s="189">
        <v>0.02</v>
      </c>
      <c r="K28" s="190">
        <f t="shared" si="2"/>
        <v>14.04</v>
      </c>
      <c r="L28" s="191" t="s">
        <v>38</v>
      </c>
    </row>
    <row r="29" ht="15.75" customHeight="1">
      <c r="A29" s="1"/>
      <c r="B29" s="183">
        <v>45838.0</v>
      </c>
      <c r="C29" s="184">
        <v>1755.0</v>
      </c>
      <c r="D29" s="185" t="s">
        <v>60</v>
      </c>
      <c r="E29" s="184" t="s">
        <v>97</v>
      </c>
      <c r="F29" s="186">
        <v>53.9</v>
      </c>
      <c r="G29" s="187">
        <v>168.24</v>
      </c>
      <c r="H29" s="188">
        <f t="shared" si="1"/>
        <v>9068.136</v>
      </c>
      <c r="I29" s="184" t="s">
        <v>98</v>
      </c>
      <c r="J29" s="189">
        <v>0.02</v>
      </c>
      <c r="K29" s="190">
        <f t="shared" si="2"/>
        <v>181.36272</v>
      </c>
      <c r="L29" s="191" t="s">
        <v>38</v>
      </c>
    </row>
    <row r="30" ht="15.75" customHeight="1">
      <c r="A30" s="1"/>
      <c r="B30" s="183">
        <v>45838.0</v>
      </c>
      <c r="C30" s="184">
        <v>1755.0</v>
      </c>
      <c r="D30" s="185" t="s">
        <v>60</v>
      </c>
      <c r="E30" s="184" t="s">
        <v>102</v>
      </c>
      <c r="F30" s="186">
        <v>26.9</v>
      </c>
      <c r="G30" s="187">
        <v>437.79</v>
      </c>
      <c r="H30" s="188">
        <f t="shared" si="1"/>
        <v>11776.551</v>
      </c>
      <c r="I30" s="184" t="s">
        <v>98</v>
      </c>
      <c r="J30" s="189">
        <v>0.02</v>
      </c>
      <c r="K30" s="190">
        <f t="shared" si="2"/>
        <v>235.53102</v>
      </c>
      <c r="L30" s="191" t="s">
        <v>38</v>
      </c>
    </row>
    <row r="31" ht="15.75" customHeight="1">
      <c r="A31" s="1"/>
      <c r="B31" s="179">
        <v>45839.0</v>
      </c>
      <c r="C31" s="175">
        <v>1758.0</v>
      </c>
      <c r="D31" s="180" t="s">
        <v>60</v>
      </c>
      <c r="E31" s="171" t="s">
        <v>102</v>
      </c>
      <c r="F31" s="181">
        <v>26.9</v>
      </c>
      <c r="G31" s="182">
        <v>32.95</v>
      </c>
      <c r="H31" s="174">
        <f t="shared" si="1"/>
        <v>886.355</v>
      </c>
      <c r="I31" s="175" t="s">
        <v>98</v>
      </c>
      <c r="J31" s="176">
        <v>0.02</v>
      </c>
      <c r="K31" s="177">
        <f t="shared" si="2"/>
        <v>17.7271</v>
      </c>
      <c r="L31" s="178" t="s">
        <v>47</v>
      </c>
    </row>
    <row r="32" ht="15.75" customHeight="1">
      <c r="A32" s="1"/>
      <c r="B32" s="179">
        <v>45839.0</v>
      </c>
      <c r="C32" s="175">
        <v>1758.0</v>
      </c>
      <c r="D32" s="180" t="s">
        <v>60</v>
      </c>
      <c r="E32" s="171" t="s">
        <v>97</v>
      </c>
      <c r="F32" s="181">
        <v>53.9</v>
      </c>
      <c r="G32" s="182">
        <v>27.79</v>
      </c>
      <c r="H32" s="174">
        <f t="shared" si="1"/>
        <v>1497.881</v>
      </c>
      <c r="I32" s="175" t="s">
        <v>98</v>
      </c>
      <c r="J32" s="176">
        <v>0.02</v>
      </c>
      <c r="K32" s="177">
        <f t="shared" si="2"/>
        <v>29.95762</v>
      </c>
      <c r="L32" s="178" t="s">
        <v>47</v>
      </c>
    </row>
    <row r="33" ht="15.75" customHeight="1">
      <c r="A33" s="1"/>
      <c r="B33" s="179">
        <v>45845.0</v>
      </c>
      <c r="C33" s="175">
        <v>1767.0</v>
      </c>
      <c r="D33" s="180" t="s">
        <v>60</v>
      </c>
      <c r="E33" s="171" t="s">
        <v>102</v>
      </c>
      <c r="F33" s="181">
        <v>26.9</v>
      </c>
      <c r="G33" s="182">
        <v>687.98</v>
      </c>
      <c r="H33" s="174">
        <f t="shared" si="1"/>
        <v>18506.662</v>
      </c>
      <c r="I33" s="175" t="s">
        <v>98</v>
      </c>
      <c r="J33" s="176">
        <v>0.02</v>
      </c>
      <c r="K33" s="177">
        <f t="shared" si="2"/>
        <v>370.13324</v>
      </c>
      <c r="L33" s="178" t="s">
        <v>47</v>
      </c>
    </row>
    <row r="34" ht="15.75" customHeight="1">
      <c r="A34" s="1"/>
      <c r="B34" s="179">
        <v>45845.0</v>
      </c>
      <c r="C34" s="175">
        <v>1767.0</v>
      </c>
      <c r="D34" s="180" t="s">
        <v>60</v>
      </c>
      <c r="E34" s="171" t="s">
        <v>97</v>
      </c>
      <c r="F34" s="181">
        <v>53.9</v>
      </c>
      <c r="G34" s="182">
        <v>107.21</v>
      </c>
      <c r="H34" s="174">
        <f t="shared" si="1"/>
        <v>5778.619</v>
      </c>
      <c r="I34" s="175" t="s">
        <v>98</v>
      </c>
      <c r="J34" s="176">
        <v>0.02</v>
      </c>
      <c r="K34" s="177">
        <f t="shared" si="2"/>
        <v>115.57238</v>
      </c>
      <c r="L34" s="178" t="s">
        <v>47</v>
      </c>
    </row>
    <row r="35" ht="15.75" customHeight="1">
      <c r="A35" s="1"/>
      <c r="B35" s="179">
        <v>45856.0</v>
      </c>
      <c r="C35" s="175">
        <v>1781.0</v>
      </c>
      <c r="D35" s="180" t="s">
        <v>60</v>
      </c>
      <c r="E35" s="171" t="s">
        <v>102</v>
      </c>
      <c r="F35" s="181">
        <v>26.9</v>
      </c>
      <c r="G35" s="182">
        <v>53.05</v>
      </c>
      <c r="H35" s="174">
        <f t="shared" si="1"/>
        <v>1427.045</v>
      </c>
      <c r="I35" s="175" t="s">
        <v>98</v>
      </c>
      <c r="J35" s="176">
        <v>0.02</v>
      </c>
      <c r="K35" s="177">
        <f t="shared" si="2"/>
        <v>28.5409</v>
      </c>
      <c r="L35" s="178" t="s">
        <v>47</v>
      </c>
    </row>
    <row r="36" ht="15.75" customHeight="1">
      <c r="A36" s="1"/>
      <c r="B36" s="193"/>
      <c r="C36" s="194"/>
      <c r="D36" s="195"/>
      <c r="E36" s="194"/>
      <c r="F36" s="196"/>
      <c r="G36" s="197"/>
      <c r="H36" s="196">
        <f t="shared" si="1"/>
        <v>0</v>
      </c>
      <c r="I36" s="198"/>
      <c r="J36" s="198"/>
      <c r="K36" s="199">
        <f t="shared" si="2"/>
        <v>0</v>
      </c>
      <c r="L36" s="200"/>
    </row>
    <row r="37" ht="15.75" customHeight="1">
      <c r="A37" s="201" t="s">
        <v>81</v>
      </c>
      <c r="B37" s="179">
        <v>45967.0</v>
      </c>
      <c r="C37" s="175">
        <v>86373.0</v>
      </c>
      <c r="D37" s="180" t="s">
        <v>115</v>
      </c>
      <c r="E37" s="171" t="s">
        <v>116</v>
      </c>
      <c r="F37" s="181">
        <v>2.8</v>
      </c>
      <c r="G37" s="182">
        <v>3165.0</v>
      </c>
      <c r="H37" s="174">
        <f t="shared" si="1"/>
        <v>8862</v>
      </c>
      <c r="I37" s="175" t="s">
        <v>98</v>
      </c>
      <c r="J37" s="176">
        <v>0.02</v>
      </c>
      <c r="K37" s="177">
        <f t="shared" si="2"/>
        <v>177.24</v>
      </c>
      <c r="L37" s="178" t="s">
        <v>48</v>
      </c>
    </row>
    <row r="38" ht="15.75" customHeight="1">
      <c r="A38" s="1"/>
      <c r="B38" s="179">
        <v>45968.0</v>
      </c>
      <c r="C38" s="175">
        <v>86568.0</v>
      </c>
      <c r="D38" s="180" t="s">
        <v>115</v>
      </c>
      <c r="E38" s="171" t="s">
        <v>117</v>
      </c>
      <c r="F38" s="181">
        <v>3.3</v>
      </c>
      <c r="G38" s="182">
        <v>780.0</v>
      </c>
      <c r="H38" s="174">
        <f t="shared" si="1"/>
        <v>2574</v>
      </c>
      <c r="I38" s="175" t="s">
        <v>98</v>
      </c>
      <c r="J38" s="176">
        <v>0.02</v>
      </c>
      <c r="K38" s="177">
        <f t="shared" si="2"/>
        <v>51.48</v>
      </c>
      <c r="L38" s="178" t="s">
        <v>48</v>
      </c>
    </row>
    <row r="39" ht="15.75" customHeight="1">
      <c r="A39" s="1"/>
      <c r="B39" s="179">
        <v>45968.0</v>
      </c>
      <c r="C39" s="175">
        <v>86568.0</v>
      </c>
      <c r="D39" s="180" t="s">
        <v>115</v>
      </c>
      <c r="E39" s="171" t="s">
        <v>118</v>
      </c>
      <c r="F39" s="181">
        <v>3.1</v>
      </c>
      <c r="G39" s="182">
        <v>2005.0</v>
      </c>
      <c r="H39" s="174">
        <f t="shared" si="1"/>
        <v>6215.5</v>
      </c>
      <c r="I39" s="175" t="s">
        <v>98</v>
      </c>
      <c r="J39" s="176">
        <v>0.02</v>
      </c>
      <c r="K39" s="177">
        <f t="shared" si="2"/>
        <v>124.31</v>
      </c>
      <c r="L39" s="178" t="s">
        <v>48</v>
      </c>
    </row>
    <row r="40" ht="15.75" customHeight="1">
      <c r="A40" s="201">
        <v>2025.0</v>
      </c>
      <c r="B40" s="179">
        <v>45974.0</v>
      </c>
      <c r="C40" s="175">
        <v>87188.0</v>
      </c>
      <c r="D40" s="180" t="s">
        <v>115</v>
      </c>
      <c r="E40" s="171" t="s">
        <v>116</v>
      </c>
      <c r="F40" s="181">
        <v>2.8</v>
      </c>
      <c r="G40" s="182">
        <v>2260.0</v>
      </c>
      <c r="H40" s="174">
        <f t="shared" si="1"/>
        <v>6328</v>
      </c>
      <c r="I40" s="175" t="s">
        <v>98</v>
      </c>
      <c r="J40" s="176">
        <v>0.02</v>
      </c>
      <c r="K40" s="177">
        <f t="shared" si="2"/>
        <v>126.56</v>
      </c>
      <c r="L40" s="178" t="s">
        <v>48</v>
      </c>
    </row>
    <row r="41" ht="15.75" customHeight="1">
      <c r="A41" s="1"/>
      <c r="B41" s="179">
        <v>45975.0</v>
      </c>
      <c r="C41" s="175">
        <v>87242.0</v>
      </c>
      <c r="D41" s="180" t="s">
        <v>115</v>
      </c>
      <c r="E41" s="171" t="s">
        <v>116</v>
      </c>
      <c r="F41" s="181">
        <v>2.8</v>
      </c>
      <c r="G41" s="182">
        <v>935.0</v>
      </c>
      <c r="H41" s="174">
        <f t="shared" si="1"/>
        <v>2618</v>
      </c>
      <c r="I41" s="175" t="s">
        <v>98</v>
      </c>
      <c r="J41" s="176">
        <v>0.02</v>
      </c>
      <c r="K41" s="177">
        <f t="shared" si="2"/>
        <v>52.36</v>
      </c>
      <c r="L41" s="178" t="s">
        <v>48</v>
      </c>
    </row>
    <row r="42" ht="15.75" customHeight="1">
      <c r="A42" s="1"/>
      <c r="B42" s="202">
        <v>45987.0</v>
      </c>
      <c r="C42" s="175">
        <v>87751.0</v>
      </c>
      <c r="D42" s="180" t="s">
        <v>115</v>
      </c>
      <c r="E42" s="171" t="s">
        <v>116</v>
      </c>
      <c r="F42" s="181">
        <v>2.8</v>
      </c>
      <c r="G42" s="182">
        <v>1870.0</v>
      </c>
      <c r="H42" s="174">
        <f t="shared" si="1"/>
        <v>5236</v>
      </c>
      <c r="I42" s="175" t="s">
        <v>98</v>
      </c>
      <c r="J42" s="176">
        <v>0.02</v>
      </c>
      <c r="K42" s="177">
        <f t="shared" si="2"/>
        <v>104.72</v>
      </c>
      <c r="L42" s="178" t="s">
        <v>48</v>
      </c>
    </row>
    <row r="43" ht="15.75" customHeight="1">
      <c r="A43" s="1"/>
      <c r="B43" s="203"/>
      <c r="C43" s="204"/>
      <c r="D43" s="205"/>
      <c r="E43" s="206"/>
      <c r="F43" s="207"/>
      <c r="G43" s="208"/>
      <c r="H43" s="174">
        <f t="shared" si="1"/>
        <v>0</v>
      </c>
      <c r="I43" s="209"/>
      <c r="J43" s="209"/>
      <c r="K43" s="177">
        <f t="shared" si="2"/>
        <v>0</v>
      </c>
      <c r="L43" s="210"/>
    </row>
    <row r="44" ht="15.75" customHeight="1">
      <c r="A44" s="1"/>
      <c r="B44" s="203"/>
      <c r="C44" s="204"/>
      <c r="D44" s="205"/>
      <c r="E44" s="206"/>
      <c r="F44" s="207"/>
      <c r="G44" s="208"/>
      <c r="H44" s="174">
        <f t="shared" si="1"/>
        <v>0</v>
      </c>
      <c r="I44" s="209"/>
      <c r="J44" s="209"/>
      <c r="K44" s="177">
        <f t="shared" si="2"/>
        <v>0</v>
      </c>
      <c r="L44" s="210"/>
    </row>
    <row r="45" ht="15.75" customHeight="1">
      <c r="A45" s="1"/>
      <c r="B45" s="203"/>
      <c r="C45" s="204"/>
      <c r="D45" s="205"/>
      <c r="E45" s="206"/>
      <c r="F45" s="207"/>
      <c r="G45" s="208"/>
      <c r="H45" s="174">
        <f t="shared" si="1"/>
        <v>0</v>
      </c>
      <c r="I45" s="209"/>
      <c r="J45" s="209"/>
      <c r="K45" s="177">
        <f t="shared" si="2"/>
        <v>0</v>
      </c>
      <c r="L45" s="210"/>
    </row>
    <row r="46" ht="15.75" customHeight="1">
      <c r="A46" s="1"/>
      <c r="B46" s="203"/>
      <c r="C46" s="204"/>
      <c r="D46" s="205"/>
      <c r="E46" s="206"/>
      <c r="F46" s="207"/>
      <c r="G46" s="208"/>
      <c r="H46" s="174">
        <f t="shared" si="1"/>
        <v>0</v>
      </c>
      <c r="I46" s="209"/>
      <c r="J46" s="209"/>
      <c r="K46" s="177">
        <f t="shared" si="2"/>
        <v>0</v>
      </c>
      <c r="L46" s="210"/>
    </row>
    <row r="47" ht="15.75" customHeight="1">
      <c r="A47" s="1"/>
      <c r="B47" s="203"/>
      <c r="C47" s="204"/>
      <c r="D47" s="205"/>
      <c r="E47" s="206"/>
      <c r="F47" s="207"/>
      <c r="G47" s="208"/>
      <c r="H47" s="174">
        <f t="shared" si="1"/>
        <v>0</v>
      </c>
      <c r="I47" s="209"/>
      <c r="J47" s="209"/>
      <c r="K47" s="177">
        <f t="shared" si="2"/>
        <v>0</v>
      </c>
      <c r="L47" s="210"/>
    </row>
    <row r="48" ht="15.75" customHeight="1">
      <c r="A48" s="1"/>
      <c r="B48" s="203"/>
      <c r="C48" s="204"/>
      <c r="D48" s="205"/>
      <c r="E48" s="206"/>
      <c r="F48" s="207"/>
      <c r="G48" s="208"/>
      <c r="H48" s="174">
        <f t="shared" si="1"/>
        <v>0</v>
      </c>
      <c r="I48" s="209"/>
      <c r="J48" s="209"/>
      <c r="K48" s="177">
        <f t="shared" si="2"/>
        <v>0</v>
      </c>
      <c r="L48" s="210"/>
    </row>
    <row r="49" ht="15.75" customHeight="1">
      <c r="A49" s="1"/>
      <c r="B49" s="203"/>
      <c r="C49" s="204"/>
      <c r="D49" s="205"/>
      <c r="E49" s="206"/>
      <c r="F49" s="207"/>
      <c r="G49" s="208"/>
      <c r="H49" s="174">
        <f t="shared" si="1"/>
        <v>0</v>
      </c>
      <c r="I49" s="209"/>
      <c r="J49" s="209"/>
      <c r="K49" s="177">
        <f t="shared" si="2"/>
        <v>0</v>
      </c>
      <c r="L49" s="210"/>
    </row>
    <row r="50" ht="15.75" customHeight="1">
      <c r="A50" s="1"/>
      <c r="B50" s="203"/>
      <c r="C50" s="204"/>
      <c r="D50" s="205"/>
      <c r="E50" s="206"/>
      <c r="F50" s="207"/>
      <c r="G50" s="208"/>
      <c r="H50" s="174">
        <f t="shared" si="1"/>
        <v>0</v>
      </c>
      <c r="I50" s="209"/>
      <c r="J50" s="209"/>
      <c r="K50" s="177">
        <f t="shared" si="2"/>
        <v>0</v>
      </c>
      <c r="L50" s="210"/>
    </row>
    <row r="51" ht="15.75" customHeight="1">
      <c r="A51" s="1"/>
      <c r="B51" s="203"/>
      <c r="C51" s="204"/>
      <c r="D51" s="205"/>
      <c r="E51" s="206"/>
      <c r="F51" s="207"/>
      <c r="G51" s="208"/>
      <c r="H51" s="174">
        <f t="shared" si="1"/>
        <v>0</v>
      </c>
      <c r="I51" s="209"/>
      <c r="J51" s="209"/>
      <c r="K51" s="177">
        <f t="shared" si="2"/>
        <v>0</v>
      </c>
      <c r="L51" s="210"/>
    </row>
    <row r="52" ht="15.75" customHeight="1">
      <c r="A52" s="1"/>
      <c r="B52" s="203"/>
      <c r="C52" s="204"/>
      <c r="D52" s="205"/>
      <c r="E52" s="206"/>
      <c r="F52" s="207"/>
      <c r="G52" s="208"/>
      <c r="H52" s="174">
        <f t="shared" si="1"/>
        <v>0</v>
      </c>
      <c r="I52" s="209"/>
      <c r="J52" s="209"/>
      <c r="K52" s="177">
        <f t="shared" si="2"/>
        <v>0</v>
      </c>
      <c r="L52" s="210"/>
    </row>
    <row r="53" ht="15.75" customHeight="1">
      <c r="A53" s="1"/>
      <c r="B53" s="203"/>
      <c r="C53" s="204"/>
      <c r="D53" s="205"/>
      <c r="E53" s="206"/>
      <c r="F53" s="207"/>
      <c r="G53" s="208"/>
      <c r="H53" s="174">
        <f t="shared" si="1"/>
        <v>0</v>
      </c>
      <c r="I53" s="209"/>
      <c r="J53" s="209"/>
      <c r="K53" s="177">
        <f t="shared" si="2"/>
        <v>0</v>
      </c>
      <c r="L53" s="210"/>
    </row>
    <row r="54" ht="15.75" customHeight="1">
      <c r="A54" s="1"/>
      <c r="B54" s="203"/>
      <c r="C54" s="204"/>
      <c r="D54" s="205"/>
      <c r="E54" s="206"/>
      <c r="F54" s="207"/>
      <c r="G54" s="208"/>
      <c r="H54" s="174">
        <f t="shared" si="1"/>
        <v>0</v>
      </c>
      <c r="I54" s="209"/>
      <c r="J54" s="209"/>
      <c r="K54" s="177">
        <f t="shared" si="2"/>
        <v>0</v>
      </c>
      <c r="L54" s="210"/>
    </row>
    <row r="55" ht="15.75" customHeight="1">
      <c r="A55" s="1"/>
      <c r="B55" s="203"/>
      <c r="C55" s="204"/>
      <c r="D55" s="205"/>
      <c r="E55" s="206"/>
      <c r="F55" s="207"/>
      <c r="G55" s="208"/>
      <c r="H55" s="174">
        <f t="shared" si="1"/>
        <v>0</v>
      </c>
      <c r="I55" s="209"/>
      <c r="J55" s="209"/>
      <c r="K55" s="177">
        <f t="shared" si="2"/>
        <v>0</v>
      </c>
      <c r="L55" s="210"/>
    </row>
    <row r="56" ht="15.75" customHeight="1">
      <c r="A56" s="1"/>
      <c r="B56" s="203"/>
      <c r="C56" s="204"/>
      <c r="D56" s="205"/>
      <c r="E56" s="206"/>
      <c r="F56" s="207"/>
      <c r="G56" s="208"/>
      <c r="H56" s="174">
        <f t="shared" si="1"/>
        <v>0</v>
      </c>
      <c r="I56" s="209"/>
      <c r="J56" s="209"/>
      <c r="K56" s="177">
        <f t="shared" si="2"/>
        <v>0</v>
      </c>
      <c r="L56" s="210"/>
    </row>
    <row r="57" ht="15.75" customHeight="1">
      <c r="A57" s="1"/>
      <c r="B57" s="203"/>
      <c r="C57" s="204"/>
      <c r="D57" s="205"/>
      <c r="E57" s="206"/>
      <c r="F57" s="207"/>
      <c r="G57" s="208"/>
      <c r="H57" s="174">
        <f t="shared" si="1"/>
        <v>0</v>
      </c>
      <c r="I57" s="209"/>
      <c r="J57" s="209"/>
      <c r="K57" s="177">
        <f t="shared" si="2"/>
        <v>0</v>
      </c>
      <c r="L57" s="210"/>
    </row>
    <row r="58" ht="15.75" customHeight="1">
      <c r="A58" s="1"/>
      <c r="B58" s="203"/>
      <c r="C58" s="204"/>
      <c r="D58" s="205"/>
      <c r="E58" s="206"/>
      <c r="F58" s="207"/>
      <c r="G58" s="208"/>
      <c r="H58" s="174">
        <f t="shared" si="1"/>
        <v>0</v>
      </c>
      <c r="I58" s="209"/>
      <c r="J58" s="209"/>
      <c r="K58" s="177">
        <f t="shared" si="2"/>
        <v>0</v>
      </c>
      <c r="L58" s="210"/>
    </row>
    <row r="59" ht="15.75" customHeight="1">
      <c r="A59" s="1"/>
      <c r="B59" s="203"/>
      <c r="C59" s="204"/>
      <c r="D59" s="205"/>
      <c r="E59" s="206"/>
      <c r="F59" s="207"/>
      <c r="G59" s="208"/>
      <c r="H59" s="174">
        <f t="shared" si="1"/>
        <v>0</v>
      </c>
      <c r="I59" s="209"/>
      <c r="J59" s="209"/>
      <c r="K59" s="177">
        <f t="shared" si="2"/>
        <v>0</v>
      </c>
      <c r="L59" s="210"/>
    </row>
    <row r="60" ht="15.75" customHeight="1">
      <c r="A60" s="1"/>
      <c r="B60" s="203"/>
      <c r="C60" s="204"/>
      <c r="D60" s="205"/>
      <c r="E60" s="206"/>
      <c r="F60" s="207"/>
      <c r="G60" s="208"/>
      <c r="H60" s="174">
        <f t="shared" si="1"/>
        <v>0</v>
      </c>
      <c r="I60" s="209"/>
      <c r="J60" s="209"/>
      <c r="K60" s="177">
        <f t="shared" si="2"/>
        <v>0</v>
      </c>
      <c r="L60" s="210"/>
    </row>
    <row r="61" ht="15.75" customHeight="1">
      <c r="A61" s="1"/>
      <c r="B61" s="203"/>
      <c r="C61" s="204"/>
      <c r="D61" s="205"/>
      <c r="E61" s="206"/>
      <c r="F61" s="207"/>
      <c r="G61" s="208"/>
      <c r="H61" s="174">
        <f t="shared" si="1"/>
        <v>0</v>
      </c>
      <c r="I61" s="209"/>
      <c r="J61" s="209"/>
      <c r="K61" s="177">
        <f t="shared" si="2"/>
        <v>0</v>
      </c>
      <c r="L61" s="210"/>
    </row>
    <row r="62" ht="15.75" customHeight="1">
      <c r="A62" s="1"/>
      <c r="B62" s="203"/>
      <c r="C62" s="204"/>
      <c r="D62" s="205"/>
      <c r="E62" s="206"/>
      <c r="F62" s="207"/>
      <c r="G62" s="208"/>
      <c r="H62" s="174">
        <f t="shared" si="1"/>
        <v>0</v>
      </c>
      <c r="I62" s="209"/>
      <c r="J62" s="209"/>
      <c r="K62" s="177">
        <f t="shared" si="2"/>
        <v>0</v>
      </c>
      <c r="L62" s="210"/>
    </row>
    <row r="63" ht="15.75" customHeight="1">
      <c r="A63" s="1"/>
      <c r="B63" s="203"/>
      <c r="C63" s="204"/>
      <c r="D63" s="205"/>
      <c r="E63" s="206"/>
      <c r="F63" s="207"/>
      <c r="G63" s="208"/>
      <c r="H63" s="174">
        <f t="shared" si="1"/>
        <v>0</v>
      </c>
      <c r="I63" s="209"/>
      <c r="J63" s="209"/>
      <c r="K63" s="177">
        <f t="shared" si="2"/>
        <v>0</v>
      </c>
      <c r="L63" s="210"/>
    </row>
    <row r="64" ht="15.75" customHeight="1">
      <c r="A64" s="1"/>
      <c r="B64" s="203"/>
      <c r="C64" s="204"/>
      <c r="D64" s="205"/>
      <c r="E64" s="206"/>
      <c r="F64" s="207"/>
      <c r="G64" s="208"/>
      <c r="H64" s="174">
        <f t="shared" si="1"/>
        <v>0</v>
      </c>
      <c r="I64" s="209"/>
      <c r="J64" s="209"/>
      <c r="K64" s="177">
        <f t="shared" si="2"/>
        <v>0</v>
      </c>
      <c r="L64" s="210"/>
    </row>
    <row r="65" ht="15.75" customHeight="1">
      <c r="A65" s="1"/>
      <c r="B65" s="203"/>
      <c r="C65" s="204"/>
      <c r="D65" s="205"/>
      <c r="E65" s="206"/>
      <c r="F65" s="207"/>
      <c r="G65" s="208"/>
      <c r="H65" s="174">
        <f t="shared" si="1"/>
        <v>0</v>
      </c>
      <c r="I65" s="209"/>
      <c r="J65" s="209"/>
      <c r="K65" s="177">
        <f t="shared" si="2"/>
        <v>0</v>
      </c>
      <c r="L65" s="210"/>
    </row>
    <row r="66" ht="15.75" customHeight="1">
      <c r="A66" s="1"/>
      <c r="B66" s="203"/>
      <c r="C66" s="204"/>
      <c r="D66" s="205"/>
      <c r="E66" s="206"/>
      <c r="F66" s="207"/>
      <c r="G66" s="208"/>
      <c r="H66" s="174">
        <f t="shared" si="1"/>
        <v>0</v>
      </c>
      <c r="I66" s="209"/>
      <c r="J66" s="209"/>
      <c r="K66" s="177">
        <f t="shared" si="2"/>
        <v>0</v>
      </c>
      <c r="L66" s="210"/>
    </row>
    <row r="67" ht="15.75" customHeight="1">
      <c r="A67" s="1"/>
      <c r="B67" s="203"/>
      <c r="C67" s="204"/>
      <c r="D67" s="205"/>
      <c r="E67" s="206"/>
      <c r="F67" s="207"/>
      <c r="G67" s="208"/>
      <c r="H67" s="174">
        <f t="shared" si="1"/>
        <v>0</v>
      </c>
      <c r="I67" s="209"/>
      <c r="J67" s="209"/>
      <c r="K67" s="177">
        <f t="shared" si="2"/>
        <v>0</v>
      </c>
      <c r="L67" s="210"/>
    </row>
    <row r="68" ht="15.75" customHeight="1">
      <c r="A68" s="1"/>
      <c r="B68" s="203"/>
      <c r="C68" s="204"/>
      <c r="D68" s="205"/>
      <c r="E68" s="206"/>
      <c r="F68" s="207"/>
      <c r="G68" s="208"/>
      <c r="H68" s="174">
        <f t="shared" si="1"/>
        <v>0</v>
      </c>
      <c r="I68" s="209"/>
      <c r="J68" s="209"/>
      <c r="K68" s="177">
        <f t="shared" si="2"/>
        <v>0</v>
      </c>
      <c r="L68" s="210"/>
    </row>
    <row r="69" ht="15.75" customHeight="1">
      <c r="A69" s="1"/>
      <c r="B69" s="203"/>
      <c r="C69" s="204"/>
      <c r="D69" s="205"/>
      <c r="E69" s="206"/>
      <c r="F69" s="207"/>
      <c r="G69" s="208"/>
      <c r="H69" s="174">
        <f t="shared" si="1"/>
        <v>0</v>
      </c>
      <c r="I69" s="209"/>
      <c r="J69" s="209"/>
      <c r="K69" s="177">
        <f t="shared" si="2"/>
        <v>0</v>
      </c>
      <c r="L69" s="210"/>
    </row>
    <row r="70" ht="15.75" customHeight="1">
      <c r="A70" s="1"/>
      <c r="B70" s="203"/>
      <c r="C70" s="204"/>
      <c r="D70" s="205"/>
      <c r="E70" s="206"/>
      <c r="F70" s="207"/>
      <c r="G70" s="208"/>
      <c r="H70" s="174">
        <f t="shared" si="1"/>
        <v>0</v>
      </c>
      <c r="I70" s="209"/>
      <c r="J70" s="209"/>
      <c r="K70" s="177">
        <f t="shared" si="2"/>
        <v>0</v>
      </c>
      <c r="L70" s="210"/>
    </row>
    <row r="71" ht="15.75" customHeight="1">
      <c r="A71" s="1"/>
      <c r="B71" s="203"/>
      <c r="C71" s="204"/>
      <c r="D71" s="205"/>
      <c r="E71" s="206"/>
      <c r="F71" s="207"/>
      <c r="G71" s="208"/>
      <c r="H71" s="174">
        <f t="shared" si="1"/>
        <v>0</v>
      </c>
      <c r="I71" s="209"/>
      <c r="J71" s="209"/>
      <c r="K71" s="177">
        <f t="shared" si="2"/>
        <v>0</v>
      </c>
      <c r="L71" s="210"/>
    </row>
    <row r="72" ht="15.75" customHeight="1">
      <c r="A72" s="1"/>
      <c r="B72" s="203"/>
      <c r="C72" s="204"/>
      <c r="D72" s="205"/>
      <c r="E72" s="206"/>
      <c r="F72" s="207"/>
      <c r="G72" s="208"/>
      <c r="H72" s="174">
        <f t="shared" si="1"/>
        <v>0</v>
      </c>
      <c r="I72" s="209"/>
      <c r="J72" s="209"/>
      <c r="K72" s="177">
        <f t="shared" si="2"/>
        <v>0</v>
      </c>
      <c r="L72" s="210"/>
    </row>
    <row r="73" ht="15.75" customHeight="1">
      <c r="A73" s="1"/>
      <c r="B73" s="203"/>
      <c r="C73" s="204"/>
      <c r="D73" s="205"/>
      <c r="E73" s="206"/>
      <c r="F73" s="207"/>
      <c r="G73" s="208"/>
      <c r="H73" s="174">
        <f t="shared" si="1"/>
        <v>0</v>
      </c>
      <c r="I73" s="209"/>
      <c r="J73" s="209"/>
      <c r="K73" s="177">
        <f t="shared" si="2"/>
        <v>0</v>
      </c>
      <c r="L73" s="210"/>
    </row>
    <row r="74" ht="15.75" customHeight="1">
      <c r="A74" s="1"/>
      <c r="B74" s="203"/>
      <c r="C74" s="204"/>
      <c r="D74" s="205"/>
      <c r="E74" s="206"/>
      <c r="F74" s="207"/>
      <c r="G74" s="208"/>
      <c r="H74" s="174">
        <f t="shared" si="1"/>
        <v>0</v>
      </c>
      <c r="I74" s="209"/>
      <c r="J74" s="209"/>
      <c r="K74" s="177">
        <f t="shared" si="2"/>
        <v>0</v>
      </c>
      <c r="L74" s="210"/>
    </row>
    <row r="75" ht="15.75" customHeight="1">
      <c r="A75" s="1"/>
      <c r="B75" s="203"/>
      <c r="C75" s="204"/>
      <c r="D75" s="205"/>
      <c r="E75" s="206"/>
      <c r="F75" s="207"/>
      <c r="G75" s="208"/>
      <c r="H75" s="174">
        <f t="shared" si="1"/>
        <v>0</v>
      </c>
      <c r="I75" s="209"/>
      <c r="J75" s="209"/>
      <c r="K75" s="177">
        <f t="shared" si="2"/>
        <v>0</v>
      </c>
      <c r="L75" s="210"/>
    </row>
    <row r="76" ht="15.75" customHeight="1">
      <c r="A76" s="1"/>
      <c r="B76" s="203"/>
      <c r="C76" s="204"/>
      <c r="D76" s="205"/>
      <c r="E76" s="206"/>
      <c r="F76" s="207"/>
      <c r="G76" s="208"/>
      <c r="H76" s="174">
        <f t="shared" si="1"/>
        <v>0</v>
      </c>
      <c r="I76" s="209"/>
      <c r="J76" s="209"/>
      <c r="K76" s="177">
        <f t="shared" si="2"/>
        <v>0</v>
      </c>
      <c r="L76" s="210"/>
    </row>
    <row r="77" ht="15.75" customHeight="1">
      <c r="A77" s="1"/>
      <c r="B77" s="203"/>
      <c r="C77" s="204"/>
      <c r="D77" s="205"/>
      <c r="E77" s="206"/>
      <c r="F77" s="207"/>
      <c r="G77" s="208"/>
      <c r="H77" s="174">
        <f t="shared" si="1"/>
        <v>0</v>
      </c>
      <c r="I77" s="209"/>
      <c r="J77" s="209"/>
      <c r="K77" s="177">
        <f t="shared" si="2"/>
        <v>0</v>
      </c>
      <c r="L77" s="210"/>
    </row>
    <row r="78" ht="15.75" customHeight="1">
      <c r="A78" s="1"/>
      <c r="B78" s="203"/>
      <c r="C78" s="204"/>
      <c r="D78" s="205"/>
      <c r="E78" s="206"/>
      <c r="F78" s="207"/>
      <c r="G78" s="208"/>
      <c r="H78" s="174">
        <f t="shared" si="1"/>
        <v>0</v>
      </c>
      <c r="I78" s="209"/>
      <c r="J78" s="209"/>
      <c r="K78" s="177">
        <f t="shared" si="2"/>
        <v>0</v>
      </c>
      <c r="L78" s="210"/>
    </row>
    <row r="79" ht="15.75" customHeight="1">
      <c r="A79" s="1"/>
      <c r="B79" s="203"/>
      <c r="C79" s="204"/>
      <c r="D79" s="205"/>
      <c r="E79" s="206"/>
      <c r="F79" s="207"/>
      <c r="G79" s="208"/>
      <c r="H79" s="174">
        <f t="shared" si="1"/>
        <v>0</v>
      </c>
      <c r="I79" s="209"/>
      <c r="J79" s="209"/>
      <c r="K79" s="177">
        <f t="shared" si="2"/>
        <v>0</v>
      </c>
      <c r="L79" s="210"/>
    </row>
    <row r="80" ht="15.75" customHeight="1">
      <c r="A80" s="1"/>
      <c r="B80" s="203"/>
      <c r="C80" s="204"/>
      <c r="D80" s="205"/>
      <c r="E80" s="206"/>
      <c r="F80" s="207"/>
      <c r="G80" s="208"/>
      <c r="H80" s="174">
        <f t="shared" si="1"/>
        <v>0</v>
      </c>
      <c r="I80" s="209"/>
      <c r="J80" s="209"/>
      <c r="K80" s="177">
        <f t="shared" si="2"/>
        <v>0</v>
      </c>
      <c r="L80" s="210"/>
    </row>
    <row r="81" ht="15.75" customHeight="1">
      <c r="A81" s="1"/>
      <c r="B81" s="203"/>
      <c r="C81" s="204"/>
      <c r="D81" s="205"/>
      <c r="E81" s="206"/>
      <c r="F81" s="207"/>
      <c r="G81" s="208"/>
      <c r="H81" s="174">
        <f t="shared" si="1"/>
        <v>0</v>
      </c>
      <c r="I81" s="209"/>
      <c r="J81" s="209"/>
      <c r="K81" s="177">
        <f t="shared" si="2"/>
        <v>0</v>
      </c>
      <c r="L81" s="210"/>
    </row>
    <row r="82" ht="15.75" customHeight="1">
      <c r="A82" s="1"/>
      <c r="B82" s="203"/>
      <c r="C82" s="204"/>
      <c r="D82" s="205"/>
      <c r="E82" s="206"/>
      <c r="F82" s="207"/>
      <c r="G82" s="208"/>
      <c r="H82" s="174">
        <f t="shared" si="1"/>
        <v>0</v>
      </c>
      <c r="I82" s="209"/>
      <c r="J82" s="209"/>
      <c r="K82" s="177">
        <f t="shared" si="2"/>
        <v>0</v>
      </c>
      <c r="L82" s="210"/>
    </row>
    <row r="83" ht="15.75" customHeight="1">
      <c r="A83" s="1"/>
      <c r="B83" s="203"/>
      <c r="C83" s="204"/>
      <c r="D83" s="205"/>
      <c r="E83" s="206"/>
      <c r="F83" s="207"/>
      <c r="G83" s="208"/>
      <c r="H83" s="174">
        <f t="shared" si="1"/>
        <v>0</v>
      </c>
      <c r="I83" s="209"/>
      <c r="J83" s="209"/>
      <c r="K83" s="177">
        <f t="shared" si="2"/>
        <v>0</v>
      </c>
      <c r="L83" s="210"/>
    </row>
    <row r="84" ht="15.75" customHeight="1">
      <c r="A84" s="1"/>
      <c r="B84" s="203"/>
      <c r="C84" s="204"/>
      <c r="D84" s="205"/>
      <c r="E84" s="206"/>
      <c r="F84" s="207"/>
      <c r="G84" s="208"/>
      <c r="H84" s="174">
        <f t="shared" si="1"/>
        <v>0</v>
      </c>
      <c r="I84" s="209"/>
      <c r="J84" s="209"/>
      <c r="K84" s="177">
        <f t="shared" si="2"/>
        <v>0</v>
      </c>
      <c r="L84" s="210"/>
    </row>
    <row r="85" ht="15.75" customHeight="1">
      <c r="A85" s="1"/>
      <c r="B85" s="203"/>
      <c r="C85" s="204"/>
      <c r="D85" s="205"/>
      <c r="E85" s="206"/>
      <c r="F85" s="207"/>
      <c r="G85" s="208"/>
      <c r="H85" s="174">
        <f t="shared" si="1"/>
        <v>0</v>
      </c>
      <c r="I85" s="209"/>
      <c r="J85" s="209"/>
      <c r="K85" s="177">
        <f t="shared" si="2"/>
        <v>0</v>
      </c>
      <c r="L85" s="210"/>
    </row>
    <row r="86" ht="15.75" customHeight="1">
      <c r="A86" s="1"/>
      <c r="B86" s="203"/>
      <c r="C86" s="204"/>
      <c r="D86" s="205"/>
      <c r="E86" s="206"/>
      <c r="F86" s="207"/>
      <c r="G86" s="208"/>
      <c r="H86" s="174">
        <f t="shared" si="1"/>
        <v>0</v>
      </c>
      <c r="I86" s="209"/>
      <c r="J86" s="209"/>
      <c r="K86" s="177">
        <f t="shared" si="2"/>
        <v>0</v>
      </c>
      <c r="L86" s="210"/>
    </row>
    <row r="87" ht="15.75" customHeight="1">
      <c r="A87" s="1"/>
      <c r="B87" s="203"/>
      <c r="C87" s="204"/>
      <c r="D87" s="205"/>
      <c r="E87" s="206"/>
      <c r="F87" s="207"/>
      <c r="G87" s="208"/>
      <c r="H87" s="174">
        <f t="shared" si="1"/>
        <v>0</v>
      </c>
      <c r="I87" s="209"/>
      <c r="J87" s="209"/>
      <c r="K87" s="177">
        <f t="shared" si="2"/>
        <v>0</v>
      </c>
      <c r="L87" s="210"/>
    </row>
    <row r="88" ht="15.75" customHeight="1">
      <c r="A88" s="1"/>
      <c r="B88" s="203"/>
      <c r="C88" s="204"/>
      <c r="D88" s="205"/>
      <c r="E88" s="206"/>
      <c r="F88" s="207"/>
      <c r="G88" s="208"/>
      <c r="H88" s="174">
        <f t="shared" si="1"/>
        <v>0</v>
      </c>
      <c r="I88" s="209"/>
      <c r="J88" s="209"/>
      <c r="K88" s="177">
        <f t="shared" si="2"/>
        <v>0</v>
      </c>
      <c r="L88" s="210"/>
    </row>
    <row r="89" ht="15.75" customHeight="1">
      <c r="A89" s="1"/>
      <c r="B89" s="203"/>
      <c r="C89" s="204"/>
      <c r="D89" s="205"/>
      <c r="E89" s="206"/>
      <c r="F89" s="207"/>
      <c r="G89" s="208"/>
      <c r="H89" s="174">
        <f t="shared" si="1"/>
        <v>0</v>
      </c>
      <c r="I89" s="209"/>
      <c r="J89" s="209"/>
      <c r="K89" s="177">
        <f t="shared" si="2"/>
        <v>0</v>
      </c>
      <c r="L89" s="210"/>
    </row>
    <row r="90" ht="15.75" customHeight="1">
      <c r="A90" s="1"/>
      <c r="B90" s="203"/>
      <c r="C90" s="204"/>
      <c r="D90" s="205"/>
      <c r="E90" s="206"/>
      <c r="F90" s="207"/>
      <c r="G90" s="208"/>
      <c r="H90" s="174">
        <f t="shared" si="1"/>
        <v>0</v>
      </c>
      <c r="I90" s="209"/>
      <c r="J90" s="209"/>
      <c r="K90" s="177">
        <f t="shared" si="2"/>
        <v>0</v>
      </c>
      <c r="L90" s="210"/>
    </row>
    <row r="91" ht="15.75" customHeight="1">
      <c r="A91" s="1"/>
      <c r="B91" s="203"/>
      <c r="C91" s="204"/>
      <c r="D91" s="205"/>
      <c r="E91" s="206"/>
      <c r="F91" s="207"/>
      <c r="G91" s="208"/>
      <c r="H91" s="174">
        <f t="shared" si="1"/>
        <v>0</v>
      </c>
      <c r="I91" s="209"/>
      <c r="J91" s="209"/>
      <c r="K91" s="177">
        <f t="shared" si="2"/>
        <v>0</v>
      </c>
      <c r="L91" s="210"/>
    </row>
    <row r="92" ht="15.75" customHeight="1">
      <c r="A92" s="1"/>
      <c r="B92" s="203"/>
      <c r="C92" s="204"/>
      <c r="D92" s="205"/>
      <c r="E92" s="206"/>
      <c r="F92" s="207"/>
      <c r="G92" s="208"/>
      <c r="H92" s="174">
        <f t="shared" si="1"/>
        <v>0</v>
      </c>
      <c r="I92" s="209"/>
      <c r="J92" s="209"/>
      <c r="K92" s="177">
        <f t="shared" si="2"/>
        <v>0</v>
      </c>
      <c r="L92" s="210"/>
    </row>
    <row r="93" ht="15.75" customHeight="1">
      <c r="A93" s="1"/>
      <c r="B93" s="203"/>
      <c r="C93" s="204"/>
      <c r="D93" s="205"/>
      <c r="E93" s="206"/>
      <c r="F93" s="207"/>
      <c r="G93" s="208"/>
      <c r="H93" s="174">
        <f t="shared" si="1"/>
        <v>0</v>
      </c>
      <c r="I93" s="209"/>
      <c r="J93" s="209"/>
      <c r="K93" s="177">
        <f t="shared" si="2"/>
        <v>0</v>
      </c>
      <c r="L93" s="210"/>
    </row>
    <row r="94" ht="15.75" customHeight="1">
      <c r="A94" s="1"/>
      <c r="B94" s="203"/>
      <c r="C94" s="204"/>
      <c r="D94" s="205"/>
      <c r="E94" s="206"/>
      <c r="F94" s="207"/>
      <c r="G94" s="208"/>
      <c r="H94" s="174">
        <f t="shared" si="1"/>
        <v>0</v>
      </c>
      <c r="I94" s="209"/>
      <c r="J94" s="209"/>
      <c r="K94" s="177">
        <f t="shared" si="2"/>
        <v>0</v>
      </c>
      <c r="L94" s="210"/>
    </row>
    <row r="95" ht="15.75" customHeight="1">
      <c r="A95" s="1"/>
      <c r="B95" s="203"/>
      <c r="C95" s="204"/>
      <c r="D95" s="205"/>
      <c r="E95" s="206"/>
      <c r="F95" s="207"/>
      <c r="G95" s="208"/>
      <c r="H95" s="174">
        <f t="shared" si="1"/>
        <v>0</v>
      </c>
      <c r="I95" s="209"/>
      <c r="J95" s="209"/>
      <c r="K95" s="177">
        <f t="shared" si="2"/>
        <v>0</v>
      </c>
      <c r="L95" s="210"/>
    </row>
    <row r="96" ht="15.75" customHeight="1">
      <c r="A96" s="1"/>
      <c r="B96" s="203"/>
      <c r="C96" s="204"/>
      <c r="D96" s="205"/>
      <c r="E96" s="206"/>
      <c r="F96" s="207"/>
      <c r="G96" s="208"/>
      <c r="H96" s="174">
        <f t="shared" si="1"/>
        <v>0</v>
      </c>
      <c r="I96" s="209"/>
      <c r="J96" s="209"/>
      <c r="K96" s="177">
        <f t="shared" si="2"/>
        <v>0</v>
      </c>
      <c r="L96" s="210"/>
    </row>
    <row r="97" ht="15.75" customHeight="1">
      <c r="A97" s="1"/>
      <c r="B97" s="203"/>
      <c r="C97" s="204"/>
      <c r="D97" s="205"/>
      <c r="E97" s="206"/>
      <c r="F97" s="207"/>
      <c r="G97" s="208"/>
      <c r="H97" s="174">
        <f t="shared" si="1"/>
        <v>0</v>
      </c>
      <c r="I97" s="209"/>
      <c r="J97" s="209"/>
      <c r="K97" s="177">
        <f t="shared" si="2"/>
        <v>0</v>
      </c>
      <c r="L97" s="210"/>
    </row>
    <row r="98" ht="15.75" customHeight="1">
      <c r="A98" s="1"/>
      <c r="B98" s="203"/>
      <c r="C98" s="204"/>
      <c r="D98" s="205"/>
      <c r="E98" s="206"/>
      <c r="F98" s="207"/>
      <c r="G98" s="208"/>
      <c r="H98" s="174">
        <f t="shared" si="1"/>
        <v>0</v>
      </c>
      <c r="I98" s="209"/>
      <c r="J98" s="209"/>
      <c r="K98" s="177">
        <f t="shared" si="2"/>
        <v>0</v>
      </c>
      <c r="L98" s="210"/>
    </row>
    <row r="99" ht="15.75" customHeight="1">
      <c r="A99" s="1"/>
      <c r="B99" s="203"/>
      <c r="C99" s="204"/>
      <c r="D99" s="205"/>
      <c r="E99" s="206"/>
      <c r="F99" s="207"/>
      <c r="G99" s="208"/>
      <c r="H99" s="174">
        <f t="shared" si="1"/>
        <v>0</v>
      </c>
      <c r="I99" s="209"/>
      <c r="J99" s="209"/>
      <c r="K99" s="177">
        <f t="shared" si="2"/>
        <v>0</v>
      </c>
      <c r="L99" s="210"/>
    </row>
    <row r="100" ht="15.75" customHeight="1">
      <c r="A100" s="1"/>
      <c r="B100" s="203"/>
      <c r="C100" s="204"/>
      <c r="D100" s="205"/>
      <c r="E100" s="206"/>
      <c r="F100" s="207"/>
      <c r="G100" s="208"/>
      <c r="H100" s="174">
        <f t="shared" si="1"/>
        <v>0</v>
      </c>
      <c r="I100" s="209"/>
      <c r="J100" s="209"/>
      <c r="K100" s="177">
        <f t="shared" si="2"/>
        <v>0</v>
      </c>
      <c r="L100" s="210"/>
    </row>
    <row r="101" ht="15.75" customHeight="1">
      <c r="A101" s="1"/>
      <c r="B101" s="203"/>
      <c r="C101" s="204"/>
      <c r="D101" s="205"/>
      <c r="E101" s="206"/>
      <c r="F101" s="207"/>
      <c r="G101" s="208"/>
      <c r="H101" s="174">
        <f t="shared" si="1"/>
        <v>0</v>
      </c>
      <c r="I101" s="209"/>
      <c r="J101" s="209"/>
      <c r="K101" s="177">
        <f t="shared" si="2"/>
        <v>0</v>
      </c>
      <c r="L101" s="210"/>
    </row>
    <row r="102" ht="15.75" customHeight="1">
      <c r="A102" s="1"/>
      <c r="B102" s="203"/>
      <c r="C102" s="204"/>
      <c r="D102" s="205"/>
      <c r="E102" s="206"/>
      <c r="F102" s="207"/>
      <c r="G102" s="208"/>
      <c r="H102" s="174">
        <f t="shared" si="1"/>
        <v>0</v>
      </c>
      <c r="I102" s="209"/>
      <c r="J102" s="209"/>
      <c r="K102" s="177">
        <f t="shared" si="2"/>
        <v>0</v>
      </c>
      <c r="L102" s="210"/>
    </row>
    <row r="103" ht="15.75" customHeight="1">
      <c r="A103" s="1"/>
      <c r="B103" s="203"/>
      <c r="C103" s="204"/>
      <c r="D103" s="205"/>
      <c r="E103" s="206"/>
      <c r="F103" s="207"/>
      <c r="G103" s="208"/>
      <c r="H103" s="174">
        <f t="shared" si="1"/>
        <v>0</v>
      </c>
      <c r="I103" s="209"/>
      <c r="J103" s="209"/>
      <c r="K103" s="177">
        <f t="shared" si="2"/>
        <v>0</v>
      </c>
      <c r="L103" s="210"/>
    </row>
    <row r="104" ht="15.75" customHeight="1">
      <c r="A104" s="1"/>
      <c r="B104" s="203"/>
      <c r="C104" s="204"/>
      <c r="D104" s="205"/>
      <c r="E104" s="206"/>
      <c r="F104" s="207"/>
      <c r="G104" s="208"/>
      <c r="H104" s="174">
        <f t="shared" si="1"/>
        <v>0</v>
      </c>
      <c r="I104" s="209"/>
      <c r="J104" s="209"/>
      <c r="K104" s="177">
        <f t="shared" si="2"/>
        <v>0</v>
      </c>
      <c r="L104" s="210"/>
    </row>
    <row r="105" ht="15.75" customHeight="1">
      <c r="A105" s="1"/>
      <c r="B105" s="203"/>
      <c r="C105" s="204"/>
      <c r="D105" s="205"/>
      <c r="E105" s="206"/>
      <c r="F105" s="207"/>
      <c r="G105" s="208"/>
      <c r="H105" s="174">
        <f t="shared" si="1"/>
        <v>0</v>
      </c>
      <c r="I105" s="209"/>
      <c r="J105" s="209"/>
      <c r="K105" s="177">
        <f t="shared" si="2"/>
        <v>0</v>
      </c>
      <c r="L105" s="210"/>
    </row>
    <row r="106" ht="15.75" customHeight="1">
      <c r="A106" s="1"/>
      <c r="B106" s="203"/>
      <c r="C106" s="204"/>
      <c r="D106" s="205"/>
      <c r="E106" s="206"/>
      <c r="F106" s="207"/>
      <c r="G106" s="208"/>
      <c r="H106" s="174">
        <f t="shared" si="1"/>
        <v>0</v>
      </c>
      <c r="I106" s="209"/>
      <c r="J106" s="209"/>
      <c r="K106" s="177">
        <f t="shared" si="2"/>
        <v>0</v>
      </c>
      <c r="L106" s="210"/>
    </row>
    <row r="107" ht="15.75" customHeight="1">
      <c r="A107" s="1"/>
      <c r="B107" s="203"/>
      <c r="C107" s="204"/>
      <c r="D107" s="205"/>
      <c r="E107" s="206"/>
      <c r="F107" s="207"/>
      <c r="G107" s="208"/>
      <c r="H107" s="174">
        <f t="shared" si="1"/>
        <v>0</v>
      </c>
      <c r="I107" s="209"/>
      <c r="J107" s="209"/>
      <c r="K107" s="177">
        <f t="shared" si="2"/>
        <v>0</v>
      </c>
      <c r="L107" s="210"/>
    </row>
    <row r="108" ht="15.75" customHeight="1">
      <c r="A108" s="1"/>
      <c r="B108" s="203"/>
      <c r="C108" s="204"/>
      <c r="D108" s="205"/>
      <c r="E108" s="206"/>
      <c r="F108" s="207"/>
      <c r="G108" s="208"/>
      <c r="H108" s="174">
        <f t="shared" si="1"/>
        <v>0</v>
      </c>
      <c r="I108" s="209"/>
      <c r="J108" s="209"/>
      <c r="K108" s="177">
        <f t="shared" si="2"/>
        <v>0</v>
      </c>
      <c r="L108" s="210"/>
    </row>
    <row r="109" ht="15.75" customHeight="1">
      <c r="A109" s="1"/>
      <c r="B109" s="203"/>
      <c r="C109" s="204"/>
      <c r="D109" s="205"/>
      <c r="E109" s="206"/>
      <c r="F109" s="207"/>
      <c r="G109" s="208"/>
      <c r="H109" s="174">
        <f t="shared" si="1"/>
        <v>0</v>
      </c>
      <c r="I109" s="209"/>
      <c r="J109" s="209"/>
      <c r="K109" s="177">
        <f t="shared" si="2"/>
        <v>0</v>
      </c>
      <c r="L109" s="210"/>
    </row>
    <row r="110" ht="15.75" customHeight="1">
      <c r="A110" s="1"/>
      <c r="B110" s="203"/>
      <c r="C110" s="204"/>
      <c r="D110" s="205"/>
      <c r="E110" s="206"/>
      <c r="F110" s="207"/>
      <c r="G110" s="208"/>
      <c r="H110" s="174">
        <f t="shared" si="1"/>
        <v>0</v>
      </c>
      <c r="I110" s="209"/>
      <c r="J110" s="209"/>
      <c r="K110" s="177">
        <f t="shared" si="2"/>
        <v>0</v>
      </c>
      <c r="L110" s="210"/>
    </row>
    <row r="111" ht="15.75" customHeight="1">
      <c r="A111" s="1"/>
      <c r="B111" s="203"/>
      <c r="C111" s="204"/>
      <c r="D111" s="205"/>
      <c r="E111" s="206"/>
      <c r="F111" s="207"/>
      <c r="G111" s="208"/>
      <c r="H111" s="174">
        <f t="shared" si="1"/>
        <v>0</v>
      </c>
      <c r="I111" s="209"/>
      <c r="J111" s="209"/>
      <c r="K111" s="177">
        <f t="shared" si="2"/>
        <v>0</v>
      </c>
      <c r="L111" s="210"/>
    </row>
    <row r="112" ht="15.75" customHeight="1">
      <c r="A112" s="1"/>
      <c r="B112" s="203"/>
      <c r="C112" s="204"/>
      <c r="D112" s="205"/>
      <c r="E112" s="206"/>
      <c r="F112" s="207"/>
      <c r="G112" s="208"/>
      <c r="H112" s="174">
        <f t="shared" si="1"/>
        <v>0</v>
      </c>
      <c r="I112" s="209"/>
      <c r="J112" s="209"/>
      <c r="K112" s="177">
        <f t="shared" si="2"/>
        <v>0</v>
      </c>
      <c r="L112" s="210"/>
    </row>
    <row r="113" ht="15.75" customHeight="1">
      <c r="A113" s="1"/>
      <c r="B113" s="203"/>
      <c r="C113" s="204"/>
      <c r="D113" s="205"/>
      <c r="E113" s="206"/>
      <c r="F113" s="207"/>
      <c r="G113" s="208"/>
      <c r="H113" s="174">
        <f t="shared" si="1"/>
        <v>0</v>
      </c>
      <c r="I113" s="209"/>
      <c r="J113" s="209"/>
      <c r="K113" s="177">
        <f t="shared" si="2"/>
        <v>0</v>
      </c>
      <c r="L113" s="210"/>
    </row>
    <row r="114" ht="15.75" customHeight="1">
      <c r="A114" s="1"/>
      <c r="B114" s="203"/>
      <c r="C114" s="204"/>
      <c r="D114" s="205"/>
      <c r="E114" s="206"/>
      <c r="F114" s="207"/>
      <c r="G114" s="208"/>
      <c r="H114" s="174">
        <f t="shared" si="1"/>
        <v>0</v>
      </c>
      <c r="I114" s="209"/>
      <c r="J114" s="209"/>
      <c r="K114" s="177">
        <f t="shared" si="2"/>
        <v>0</v>
      </c>
      <c r="L114" s="210"/>
    </row>
    <row r="115" ht="15.75" customHeight="1">
      <c r="A115" s="1"/>
      <c r="B115" s="203"/>
      <c r="C115" s="204"/>
      <c r="D115" s="205"/>
      <c r="E115" s="206"/>
      <c r="F115" s="207"/>
      <c r="G115" s="208"/>
      <c r="H115" s="174">
        <f t="shared" si="1"/>
        <v>0</v>
      </c>
      <c r="I115" s="209"/>
      <c r="J115" s="209"/>
      <c r="K115" s="177">
        <f t="shared" si="2"/>
        <v>0</v>
      </c>
      <c r="L115" s="210"/>
    </row>
    <row r="116" ht="15.75" customHeight="1">
      <c r="A116" s="1"/>
      <c r="B116" s="203"/>
      <c r="C116" s="204"/>
      <c r="D116" s="205"/>
      <c r="E116" s="206"/>
      <c r="F116" s="207"/>
      <c r="G116" s="208"/>
      <c r="H116" s="174">
        <f t="shared" si="1"/>
        <v>0</v>
      </c>
      <c r="I116" s="209"/>
      <c r="J116" s="209"/>
      <c r="K116" s="177">
        <f t="shared" si="2"/>
        <v>0</v>
      </c>
      <c r="L116" s="210"/>
    </row>
    <row r="117" ht="15.75" customHeight="1">
      <c r="A117" s="1"/>
      <c r="B117" s="203"/>
      <c r="C117" s="204"/>
      <c r="D117" s="205"/>
      <c r="E117" s="206"/>
      <c r="F117" s="207"/>
      <c r="G117" s="208"/>
      <c r="H117" s="174">
        <f t="shared" si="1"/>
        <v>0</v>
      </c>
      <c r="I117" s="209"/>
      <c r="J117" s="209"/>
      <c r="K117" s="177">
        <f t="shared" si="2"/>
        <v>0</v>
      </c>
      <c r="L117" s="210"/>
    </row>
    <row r="118" ht="15.75" customHeight="1">
      <c r="A118" s="1"/>
      <c r="B118" s="203"/>
      <c r="C118" s="204"/>
      <c r="D118" s="205"/>
      <c r="E118" s="206"/>
      <c r="F118" s="207"/>
      <c r="G118" s="208"/>
      <c r="H118" s="174">
        <f t="shared" si="1"/>
        <v>0</v>
      </c>
      <c r="I118" s="209"/>
      <c r="J118" s="209"/>
      <c r="K118" s="177">
        <f t="shared" si="2"/>
        <v>0</v>
      </c>
      <c r="L118" s="210"/>
    </row>
    <row r="119" ht="15.75" customHeight="1">
      <c r="A119" s="1"/>
      <c r="B119" s="203"/>
      <c r="C119" s="204"/>
      <c r="D119" s="205"/>
      <c r="E119" s="206"/>
      <c r="F119" s="207"/>
      <c r="G119" s="208"/>
      <c r="H119" s="174">
        <f t="shared" si="1"/>
        <v>0</v>
      </c>
      <c r="I119" s="209"/>
      <c r="J119" s="209"/>
      <c r="K119" s="177">
        <f t="shared" si="2"/>
        <v>0</v>
      </c>
      <c r="L119" s="210"/>
    </row>
    <row r="120" ht="15.75" customHeight="1">
      <c r="A120" s="1"/>
      <c r="B120" s="203"/>
      <c r="C120" s="204"/>
      <c r="D120" s="205"/>
      <c r="E120" s="206"/>
      <c r="F120" s="207"/>
      <c r="G120" s="208"/>
      <c r="H120" s="174">
        <f t="shared" si="1"/>
        <v>0</v>
      </c>
      <c r="I120" s="209"/>
      <c r="J120" s="209"/>
      <c r="K120" s="177">
        <f t="shared" si="2"/>
        <v>0</v>
      </c>
      <c r="L120" s="210"/>
    </row>
    <row r="121" ht="15.75" customHeight="1">
      <c r="A121" s="1"/>
      <c r="B121" s="203"/>
      <c r="C121" s="204"/>
      <c r="D121" s="205"/>
      <c r="E121" s="206"/>
      <c r="F121" s="207"/>
      <c r="G121" s="208"/>
      <c r="H121" s="174">
        <f t="shared" si="1"/>
        <v>0</v>
      </c>
      <c r="I121" s="209"/>
      <c r="J121" s="209"/>
      <c r="K121" s="177">
        <f t="shared" si="2"/>
        <v>0</v>
      </c>
      <c r="L121" s="210"/>
    </row>
    <row r="122" ht="15.75" customHeight="1">
      <c r="A122" s="1"/>
      <c r="B122" s="203"/>
      <c r="C122" s="204"/>
      <c r="D122" s="205"/>
      <c r="E122" s="206"/>
      <c r="F122" s="207"/>
      <c r="G122" s="208"/>
      <c r="H122" s="174">
        <f t="shared" si="1"/>
        <v>0</v>
      </c>
      <c r="I122" s="209"/>
      <c r="J122" s="209"/>
      <c r="K122" s="177">
        <f t="shared" si="2"/>
        <v>0</v>
      </c>
      <c r="L122" s="210"/>
    </row>
    <row r="123" ht="15.75" customHeight="1">
      <c r="A123" s="1"/>
      <c r="B123" s="203"/>
      <c r="C123" s="204"/>
      <c r="D123" s="205"/>
      <c r="E123" s="206"/>
      <c r="F123" s="207"/>
      <c r="G123" s="208"/>
      <c r="H123" s="174">
        <f t="shared" si="1"/>
        <v>0</v>
      </c>
      <c r="I123" s="209"/>
      <c r="J123" s="209"/>
      <c r="K123" s="177">
        <f t="shared" si="2"/>
        <v>0</v>
      </c>
      <c r="L123" s="210"/>
    </row>
    <row r="124" ht="15.75" customHeight="1">
      <c r="A124" s="1"/>
      <c r="B124" s="203"/>
      <c r="C124" s="204"/>
      <c r="D124" s="205"/>
      <c r="E124" s="206"/>
      <c r="F124" s="207"/>
      <c r="G124" s="208"/>
      <c r="H124" s="174">
        <f t="shared" si="1"/>
        <v>0</v>
      </c>
      <c r="I124" s="209"/>
      <c r="J124" s="209"/>
      <c r="K124" s="177">
        <f t="shared" si="2"/>
        <v>0</v>
      </c>
      <c r="L124" s="210"/>
    </row>
    <row r="125" ht="15.75" customHeight="1">
      <c r="A125" s="1"/>
      <c r="B125" s="203"/>
      <c r="C125" s="204"/>
      <c r="D125" s="205"/>
      <c r="E125" s="206"/>
      <c r="F125" s="207"/>
      <c r="G125" s="208"/>
      <c r="H125" s="174">
        <f t="shared" si="1"/>
        <v>0</v>
      </c>
      <c r="I125" s="209"/>
      <c r="J125" s="209"/>
      <c r="K125" s="177">
        <f t="shared" si="2"/>
        <v>0</v>
      </c>
      <c r="L125" s="210"/>
    </row>
    <row r="126" ht="15.75" customHeight="1">
      <c r="A126" s="1"/>
      <c r="B126" s="203"/>
      <c r="C126" s="204"/>
      <c r="D126" s="205"/>
      <c r="E126" s="206"/>
      <c r="F126" s="207"/>
      <c r="G126" s="208"/>
      <c r="H126" s="174">
        <f t="shared" si="1"/>
        <v>0</v>
      </c>
      <c r="I126" s="209"/>
      <c r="J126" s="209"/>
      <c r="K126" s="177">
        <f t="shared" si="2"/>
        <v>0</v>
      </c>
      <c r="L126" s="210"/>
    </row>
    <row r="127" ht="15.75" customHeight="1">
      <c r="A127" s="1"/>
      <c r="B127" s="203"/>
      <c r="C127" s="204"/>
      <c r="D127" s="205"/>
      <c r="E127" s="206"/>
      <c r="F127" s="207"/>
      <c r="G127" s="208"/>
      <c r="H127" s="174">
        <f t="shared" si="1"/>
        <v>0</v>
      </c>
      <c r="I127" s="209"/>
      <c r="J127" s="209"/>
      <c r="K127" s="177">
        <f t="shared" si="2"/>
        <v>0</v>
      </c>
      <c r="L127" s="210"/>
    </row>
    <row r="128" ht="15.75" customHeight="1">
      <c r="A128" s="1"/>
      <c r="B128" s="203"/>
      <c r="C128" s="204"/>
      <c r="D128" s="205"/>
      <c r="E128" s="206"/>
      <c r="F128" s="207"/>
      <c r="G128" s="208"/>
      <c r="H128" s="174">
        <f t="shared" si="1"/>
        <v>0</v>
      </c>
      <c r="I128" s="209"/>
      <c r="J128" s="209"/>
      <c r="K128" s="177">
        <f t="shared" si="2"/>
        <v>0</v>
      </c>
      <c r="L128" s="210"/>
    </row>
    <row r="129" ht="15.75" customHeight="1">
      <c r="A129" s="1"/>
      <c r="B129" s="203"/>
      <c r="C129" s="204"/>
      <c r="D129" s="205"/>
      <c r="E129" s="206"/>
      <c r="F129" s="207"/>
      <c r="G129" s="208"/>
      <c r="H129" s="174">
        <f t="shared" si="1"/>
        <v>0</v>
      </c>
      <c r="I129" s="209"/>
      <c r="J129" s="209"/>
      <c r="K129" s="177">
        <f t="shared" si="2"/>
        <v>0</v>
      </c>
      <c r="L129" s="210"/>
    </row>
    <row r="130" ht="15.75" customHeight="1">
      <c r="A130" s="1"/>
      <c r="B130" s="203"/>
      <c r="C130" s="204"/>
      <c r="D130" s="205"/>
      <c r="E130" s="206"/>
      <c r="F130" s="207"/>
      <c r="G130" s="208"/>
      <c r="H130" s="174">
        <f t="shared" si="1"/>
        <v>0</v>
      </c>
      <c r="I130" s="209"/>
      <c r="J130" s="209"/>
      <c r="K130" s="177">
        <f t="shared" si="2"/>
        <v>0</v>
      </c>
      <c r="L130" s="210"/>
    </row>
    <row r="131" ht="15.75" customHeight="1">
      <c r="A131" s="1"/>
      <c r="B131" s="203"/>
      <c r="C131" s="204"/>
      <c r="D131" s="205"/>
      <c r="E131" s="206"/>
      <c r="F131" s="207"/>
      <c r="G131" s="208"/>
      <c r="H131" s="174">
        <f t="shared" si="1"/>
        <v>0</v>
      </c>
      <c r="I131" s="209"/>
      <c r="J131" s="209"/>
      <c r="K131" s="177">
        <f t="shared" si="2"/>
        <v>0</v>
      </c>
      <c r="L131" s="210"/>
    </row>
    <row r="132" ht="15.75" customHeight="1">
      <c r="A132" s="1"/>
      <c r="B132" s="203"/>
      <c r="C132" s="204"/>
      <c r="D132" s="205"/>
      <c r="E132" s="206"/>
      <c r="F132" s="207"/>
      <c r="G132" s="208"/>
      <c r="H132" s="174">
        <f t="shared" si="1"/>
        <v>0</v>
      </c>
      <c r="I132" s="209"/>
      <c r="J132" s="209"/>
      <c r="K132" s="177">
        <f t="shared" si="2"/>
        <v>0</v>
      </c>
      <c r="L132" s="210"/>
    </row>
    <row r="133" ht="15.75" customHeight="1">
      <c r="A133" s="1"/>
      <c r="B133" s="203"/>
      <c r="C133" s="204"/>
      <c r="D133" s="205"/>
      <c r="E133" s="206"/>
      <c r="F133" s="207"/>
      <c r="G133" s="208"/>
      <c r="H133" s="174">
        <f t="shared" si="1"/>
        <v>0</v>
      </c>
      <c r="I133" s="209"/>
      <c r="J133" s="209"/>
      <c r="K133" s="177">
        <f t="shared" si="2"/>
        <v>0</v>
      </c>
      <c r="L133" s="210"/>
    </row>
    <row r="134" ht="15.75" customHeight="1">
      <c r="A134" s="1"/>
      <c r="B134" s="203"/>
      <c r="C134" s="204"/>
      <c r="D134" s="205"/>
      <c r="E134" s="206"/>
      <c r="F134" s="207"/>
      <c r="G134" s="208"/>
      <c r="H134" s="174">
        <f t="shared" si="1"/>
        <v>0</v>
      </c>
      <c r="I134" s="209"/>
      <c r="J134" s="209"/>
      <c r="K134" s="177">
        <f t="shared" si="2"/>
        <v>0</v>
      </c>
      <c r="L134" s="210"/>
    </row>
    <row r="135" ht="15.75" customHeight="1">
      <c r="A135" s="1"/>
      <c r="B135" s="203"/>
      <c r="C135" s="204"/>
      <c r="D135" s="205"/>
      <c r="E135" s="206"/>
      <c r="F135" s="207"/>
      <c r="G135" s="208"/>
      <c r="H135" s="174">
        <f t="shared" si="1"/>
        <v>0</v>
      </c>
      <c r="I135" s="209"/>
      <c r="J135" s="209"/>
      <c r="K135" s="177">
        <f t="shared" si="2"/>
        <v>0</v>
      </c>
      <c r="L135" s="210"/>
    </row>
    <row r="136" ht="15.75" customHeight="1">
      <c r="A136" s="1"/>
      <c r="B136" s="203"/>
      <c r="C136" s="204"/>
      <c r="D136" s="205"/>
      <c r="E136" s="206"/>
      <c r="F136" s="207"/>
      <c r="G136" s="208"/>
      <c r="H136" s="174">
        <f t="shared" si="1"/>
        <v>0</v>
      </c>
      <c r="I136" s="209"/>
      <c r="J136" s="209"/>
      <c r="K136" s="177">
        <f t="shared" si="2"/>
        <v>0</v>
      </c>
      <c r="L136" s="210"/>
    </row>
    <row r="137" ht="15.75" customHeight="1">
      <c r="A137" s="1"/>
      <c r="B137" s="203"/>
      <c r="C137" s="204"/>
      <c r="D137" s="205"/>
      <c r="E137" s="206"/>
      <c r="F137" s="207"/>
      <c r="G137" s="208"/>
      <c r="H137" s="174">
        <f t="shared" si="1"/>
        <v>0</v>
      </c>
      <c r="I137" s="209"/>
      <c r="J137" s="209"/>
      <c r="K137" s="177">
        <f t="shared" si="2"/>
        <v>0</v>
      </c>
      <c r="L137" s="210"/>
    </row>
    <row r="138" ht="15.75" customHeight="1">
      <c r="A138" s="1"/>
      <c r="B138" s="203"/>
      <c r="C138" s="204"/>
      <c r="D138" s="205"/>
      <c r="E138" s="206"/>
      <c r="F138" s="207"/>
      <c r="G138" s="208"/>
      <c r="H138" s="174">
        <f t="shared" si="1"/>
        <v>0</v>
      </c>
      <c r="I138" s="209"/>
      <c r="J138" s="209"/>
      <c r="K138" s="177">
        <f t="shared" si="2"/>
        <v>0</v>
      </c>
      <c r="L138" s="210"/>
    </row>
    <row r="139" ht="15.75" customHeight="1">
      <c r="A139" s="1"/>
      <c r="B139" s="203"/>
      <c r="C139" s="204"/>
      <c r="D139" s="205"/>
      <c r="E139" s="206"/>
      <c r="F139" s="207"/>
      <c r="G139" s="208"/>
      <c r="H139" s="174">
        <f t="shared" si="1"/>
        <v>0</v>
      </c>
      <c r="I139" s="209"/>
      <c r="J139" s="209"/>
      <c r="K139" s="177">
        <f t="shared" si="2"/>
        <v>0</v>
      </c>
      <c r="L139" s="210"/>
    </row>
    <row r="140" ht="15.75" customHeight="1">
      <c r="A140" s="1"/>
      <c r="B140" s="203"/>
      <c r="C140" s="204"/>
      <c r="D140" s="205"/>
      <c r="E140" s="206"/>
      <c r="F140" s="207"/>
      <c r="G140" s="208"/>
      <c r="H140" s="174">
        <f t="shared" si="1"/>
        <v>0</v>
      </c>
      <c r="I140" s="209"/>
      <c r="J140" s="209"/>
      <c r="K140" s="177">
        <f t="shared" si="2"/>
        <v>0</v>
      </c>
      <c r="L140" s="210"/>
    </row>
    <row r="141" ht="15.75" customHeight="1">
      <c r="A141" s="1"/>
      <c r="B141" s="203"/>
      <c r="C141" s="204"/>
      <c r="D141" s="205"/>
      <c r="E141" s="206"/>
      <c r="F141" s="207"/>
      <c r="G141" s="208"/>
      <c r="H141" s="174">
        <f t="shared" si="1"/>
        <v>0</v>
      </c>
      <c r="I141" s="209"/>
      <c r="J141" s="209"/>
      <c r="K141" s="177">
        <f t="shared" si="2"/>
        <v>0</v>
      </c>
      <c r="L141" s="210"/>
    </row>
    <row r="142" ht="15.75" customHeight="1">
      <c r="A142" s="1"/>
      <c r="B142" s="203"/>
      <c r="C142" s="204"/>
      <c r="D142" s="205"/>
      <c r="E142" s="206"/>
      <c r="F142" s="207"/>
      <c r="G142" s="208"/>
      <c r="H142" s="174">
        <f t="shared" si="1"/>
        <v>0</v>
      </c>
      <c r="I142" s="209"/>
      <c r="J142" s="209"/>
      <c r="K142" s="177">
        <f t="shared" si="2"/>
        <v>0</v>
      </c>
      <c r="L142" s="210"/>
    </row>
    <row r="143" ht="15.75" customHeight="1">
      <c r="A143" s="1"/>
      <c r="B143" s="203"/>
      <c r="C143" s="204"/>
      <c r="D143" s="205"/>
      <c r="E143" s="206"/>
      <c r="F143" s="207"/>
      <c r="G143" s="208"/>
      <c r="H143" s="174">
        <f t="shared" si="1"/>
        <v>0</v>
      </c>
      <c r="I143" s="209"/>
      <c r="J143" s="209"/>
      <c r="K143" s="177">
        <f t="shared" si="2"/>
        <v>0</v>
      </c>
      <c r="L143" s="210"/>
    </row>
    <row r="144" ht="15.75" customHeight="1">
      <c r="A144" s="1"/>
      <c r="B144" s="203"/>
      <c r="C144" s="204"/>
      <c r="D144" s="205"/>
      <c r="E144" s="206"/>
      <c r="F144" s="207"/>
      <c r="G144" s="208"/>
      <c r="H144" s="174">
        <f t="shared" si="1"/>
        <v>0</v>
      </c>
      <c r="I144" s="209"/>
      <c r="J144" s="209"/>
      <c r="K144" s="177">
        <f t="shared" si="2"/>
        <v>0</v>
      </c>
      <c r="L144" s="210"/>
    </row>
    <row r="145" ht="15.75" customHeight="1">
      <c r="A145" s="1"/>
      <c r="B145" s="203"/>
      <c r="C145" s="204"/>
      <c r="D145" s="205"/>
      <c r="E145" s="206"/>
      <c r="F145" s="207"/>
      <c r="G145" s="208"/>
      <c r="H145" s="174">
        <f t="shared" si="1"/>
        <v>0</v>
      </c>
      <c r="I145" s="209"/>
      <c r="J145" s="209"/>
      <c r="K145" s="177">
        <f t="shared" si="2"/>
        <v>0</v>
      </c>
      <c r="L145" s="210"/>
    </row>
    <row r="146" ht="15.75" customHeight="1">
      <c r="A146" s="1"/>
      <c r="B146" s="203"/>
      <c r="C146" s="204"/>
      <c r="D146" s="205"/>
      <c r="E146" s="206"/>
      <c r="F146" s="207"/>
      <c r="G146" s="208"/>
      <c r="H146" s="174">
        <f t="shared" si="1"/>
        <v>0</v>
      </c>
      <c r="I146" s="209"/>
      <c r="J146" s="209"/>
      <c r="K146" s="177">
        <f t="shared" si="2"/>
        <v>0</v>
      </c>
      <c r="L146" s="210"/>
    </row>
    <row r="147" ht="15.75" customHeight="1">
      <c r="A147" s="1"/>
      <c r="B147" s="203"/>
      <c r="C147" s="204"/>
      <c r="D147" s="205"/>
      <c r="E147" s="206"/>
      <c r="F147" s="207"/>
      <c r="G147" s="208"/>
      <c r="H147" s="174">
        <f t="shared" si="1"/>
        <v>0</v>
      </c>
      <c r="I147" s="209"/>
      <c r="J147" s="209"/>
      <c r="K147" s="177">
        <f t="shared" si="2"/>
        <v>0</v>
      </c>
      <c r="L147" s="210"/>
    </row>
    <row r="148" ht="15.75" customHeight="1">
      <c r="A148" s="1"/>
      <c r="B148" s="203"/>
      <c r="C148" s="204"/>
      <c r="D148" s="205"/>
      <c r="E148" s="206"/>
      <c r="F148" s="207"/>
      <c r="G148" s="208"/>
      <c r="H148" s="174">
        <f t="shared" si="1"/>
        <v>0</v>
      </c>
      <c r="I148" s="209"/>
      <c r="J148" s="209"/>
      <c r="K148" s="177">
        <f t="shared" si="2"/>
        <v>0</v>
      </c>
      <c r="L148" s="210"/>
    </row>
    <row r="149" ht="15.75" customHeight="1">
      <c r="A149" s="1"/>
      <c r="B149" s="203"/>
      <c r="C149" s="204"/>
      <c r="D149" s="205"/>
      <c r="E149" s="206"/>
      <c r="F149" s="207"/>
      <c r="G149" s="208"/>
      <c r="H149" s="174">
        <f t="shared" si="1"/>
        <v>0</v>
      </c>
      <c r="I149" s="209"/>
      <c r="J149" s="209"/>
      <c r="K149" s="177">
        <f t="shared" si="2"/>
        <v>0</v>
      </c>
      <c r="L149" s="210"/>
    </row>
    <row r="150" ht="15.75" customHeight="1">
      <c r="A150" s="1"/>
      <c r="B150" s="203"/>
      <c r="C150" s="204"/>
      <c r="D150" s="205"/>
      <c r="E150" s="206"/>
      <c r="F150" s="207"/>
      <c r="G150" s="208"/>
      <c r="H150" s="174">
        <f t="shared" si="1"/>
        <v>0</v>
      </c>
      <c r="I150" s="209"/>
      <c r="J150" s="209"/>
      <c r="K150" s="177">
        <f t="shared" si="2"/>
        <v>0</v>
      </c>
      <c r="L150" s="210"/>
    </row>
    <row r="151" ht="15.75" customHeight="1">
      <c r="A151" s="1"/>
      <c r="B151" s="203"/>
      <c r="C151" s="204"/>
      <c r="D151" s="205"/>
      <c r="E151" s="206"/>
      <c r="F151" s="207"/>
      <c r="G151" s="208"/>
      <c r="H151" s="174">
        <f t="shared" si="1"/>
        <v>0</v>
      </c>
      <c r="I151" s="209"/>
      <c r="J151" s="209"/>
      <c r="K151" s="177">
        <f t="shared" si="2"/>
        <v>0</v>
      </c>
      <c r="L151" s="210"/>
    </row>
    <row r="152" ht="15.75" customHeight="1">
      <c r="A152" s="1"/>
      <c r="B152" s="203"/>
      <c r="C152" s="204"/>
      <c r="D152" s="205"/>
      <c r="E152" s="206"/>
      <c r="F152" s="207"/>
      <c r="G152" s="208"/>
      <c r="H152" s="174">
        <f t="shared" si="1"/>
        <v>0</v>
      </c>
      <c r="I152" s="209"/>
      <c r="J152" s="209"/>
      <c r="K152" s="177">
        <f t="shared" si="2"/>
        <v>0</v>
      </c>
      <c r="L152" s="210"/>
    </row>
    <row r="153" ht="15.75" customHeight="1">
      <c r="A153" s="1"/>
      <c r="B153" s="203"/>
      <c r="C153" s="204"/>
      <c r="D153" s="205"/>
      <c r="E153" s="206"/>
      <c r="F153" s="207"/>
      <c r="G153" s="208"/>
      <c r="H153" s="174">
        <f t="shared" si="1"/>
        <v>0</v>
      </c>
      <c r="I153" s="209"/>
      <c r="J153" s="209"/>
      <c r="K153" s="177">
        <f t="shared" si="2"/>
        <v>0</v>
      </c>
      <c r="L153" s="210"/>
    </row>
    <row r="154" ht="15.75" customHeight="1">
      <c r="A154" s="1"/>
      <c r="B154" s="203"/>
      <c r="C154" s="204"/>
      <c r="D154" s="205"/>
      <c r="E154" s="206"/>
      <c r="F154" s="207"/>
      <c r="G154" s="208"/>
      <c r="H154" s="174">
        <f t="shared" si="1"/>
        <v>0</v>
      </c>
      <c r="I154" s="209"/>
      <c r="J154" s="209"/>
      <c r="K154" s="177">
        <f t="shared" si="2"/>
        <v>0</v>
      </c>
      <c r="L154" s="210"/>
    </row>
    <row r="155" ht="15.75" customHeight="1">
      <c r="A155" s="1"/>
      <c r="B155" s="203"/>
      <c r="C155" s="204"/>
      <c r="D155" s="205"/>
      <c r="E155" s="206"/>
      <c r="F155" s="207"/>
      <c r="G155" s="208"/>
      <c r="H155" s="174">
        <f t="shared" si="1"/>
        <v>0</v>
      </c>
      <c r="I155" s="209"/>
      <c r="J155" s="209"/>
      <c r="K155" s="177">
        <f t="shared" si="2"/>
        <v>0</v>
      </c>
      <c r="L155" s="210"/>
    </row>
    <row r="156" ht="15.75" customHeight="1">
      <c r="A156" s="1"/>
      <c r="B156" s="203"/>
      <c r="C156" s="204"/>
      <c r="D156" s="205"/>
      <c r="E156" s="206"/>
      <c r="F156" s="207"/>
      <c r="G156" s="208"/>
      <c r="H156" s="174">
        <f t="shared" si="1"/>
        <v>0</v>
      </c>
      <c r="I156" s="209"/>
      <c r="J156" s="209"/>
      <c r="K156" s="177">
        <f t="shared" si="2"/>
        <v>0</v>
      </c>
      <c r="L156" s="210"/>
    </row>
    <row r="157" ht="15.75" customHeight="1">
      <c r="A157" s="1"/>
      <c r="B157" s="203"/>
      <c r="C157" s="204"/>
      <c r="D157" s="205"/>
      <c r="E157" s="206"/>
      <c r="F157" s="207"/>
      <c r="G157" s="208"/>
      <c r="H157" s="174">
        <f t="shared" si="1"/>
        <v>0</v>
      </c>
      <c r="I157" s="209"/>
      <c r="J157" s="209"/>
      <c r="K157" s="177">
        <f t="shared" si="2"/>
        <v>0</v>
      </c>
      <c r="L157" s="210"/>
    </row>
    <row r="158" ht="15.75" customHeight="1">
      <c r="A158" s="1"/>
      <c r="B158" s="203"/>
      <c r="C158" s="204"/>
      <c r="D158" s="205"/>
      <c r="E158" s="206"/>
      <c r="F158" s="207"/>
      <c r="G158" s="208"/>
      <c r="H158" s="174">
        <f t="shared" si="1"/>
        <v>0</v>
      </c>
      <c r="I158" s="209"/>
      <c r="J158" s="209"/>
      <c r="K158" s="177">
        <f t="shared" si="2"/>
        <v>0</v>
      </c>
      <c r="L158" s="210"/>
    </row>
    <row r="159" ht="15.75" customHeight="1">
      <c r="A159" s="1"/>
      <c r="B159" s="203"/>
      <c r="C159" s="204"/>
      <c r="D159" s="205"/>
      <c r="E159" s="206"/>
      <c r="F159" s="207"/>
      <c r="G159" s="208"/>
      <c r="H159" s="174">
        <f t="shared" si="1"/>
        <v>0</v>
      </c>
      <c r="I159" s="209"/>
      <c r="J159" s="209"/>
      <c r="K159" s="177">
        <f t="shared" si="2"/>
        <v>0</v>
      </c>
      <c r="L159" s="210"/>
    </row>
    <row r="160" ht="15.75" customHeight="1">
      <c r="A160" s="1"/>
      <c r="B160" s="203"/>
      <c r="C160" s="204"/>
      <c r="D160" s="205"/>
      <c r="E160" s="206"/>
      <c r="F160" s="207"/>
      <c r="G160" s="208"/>
      <c r="H160" s="174">
        <f t="shared" si="1"/>
        <v>0</v>
      </c>
      <c r="I160" s="209"/>
      <c r="J160" s="209"/>
      <c r="K160" s="177">
        <f t="shared" si="2"/>
        <v>0</v>
      </c>
      <c r="L160" s="210"/>
    </row>
    <row r="161" ht="15.75" customHeight="1">
      <c r="A161" s="1"/>
      <c r="B161" s="203"/>
      <c r="C161" s="204"/>
      <c r="D161" s="205"/>
      <c r="E161" s="206"/>
      <c r="F161" s="207"/>
      <c r="G161" s="208"/>
      <c r="H161" s="174">
        <f t="shared" si="1"/>
        <v>0</v>
      </c>
      <c r="I161" s="209"/>
      <c r="J161" s="209"/>
      <c r="K161" s="177">
        <f t="shared" si="2"/>
        <v>0</v>
      </c>
      <c r="L161" s="210"/>
    </row>
    <row r="162" ht="15.75" customHeight="1">
      <c r="A162" s="1"/>
      <c r="B162" s="203"/>
      <c r="C162" s="204"/>
      <c r="D162" s="205"/>
      <c r="E162" s="206"/>
      <c r="F162" s="207"/>
      <c r="G162" s="208"/>
      <c r="H162" s="174">
        <f t="shared" si="1"/>
        <v>0</v>
      </c>
      <c r="I162" s="209"/>
      <c r="J162" s="209"/>
      <c r="K162" s="177">
        <f t="shared" si="2"/>
        <v>0</v>
      </c>
      <c r="L162" s="210"/>
    </row>
    <row r="163" ht="15.75" customHeight="1">
      <c r="A163" s="1"/>
      <c r="B163" s="203"/>
      <c r="C163" s="204"/>
      <c r="D163" s="205"/>
      <c r="E163" s="206"/>
      <c r="F163" s="207"/>
      <c r="G163" s="208"/>
      <c r="H163" s="174">
        <f t="shared" si="1"/>
        <v>0</v>
      </c>
      <c r="I163" s="209"/>
      <c r="J163" s="209"/>
      <c r="K163" s="177">
        <f t="shared" si="2"/>
        <v>0</v>
      </c>
      <c r="L163" s="210"/>
    </row>
    <row r="164" ht="15.75" customHeight="1">
      <c r="A164" s="1"/>
      <c r="B164" s="203"/>
      <c r="C164" s="204"/>
      <c r="D164" s="205"/>
      <c r="E164" s="206"/>
      <c r="F164" s="207"/>
      <c r="G164" s="208"/>
      <c r="H164" s="174">
        <f t="shared" si="1"/>
        <v>0</v>
      </c>
      <c r="I164" s="209"/>
      <c r="J164" s="209"/>
      <c r="K164" s="177">
        <f t="shared" si="2"/>
        <v>0</v>
      </c>
      <c r="L164" s="210"/>
    </row>
    <row r="165" ht="15.75" customHeight="1">
      <c r="A165" s="1"/>
      <c r="B165" s="203"/>
      <c r="C165" s="204"/>
      <c r="D165" s="205"/>
      <c r="E165" s="206"/>
      <c r="F165" s="207"/>
      <c r="G165" s="208"/>
      <c r="H165" s="174">
        <f t="shared" si="1"/>
        <v>0</v>
      </c>
      <c r="I165" s="209"/>
      <c r="J165" s="209"/>
      <c r="K165" s="177">
        <f t="shared" si="2"/>
        <v>0</v>
      </c>
      <c r="L165" s="210"/>
    </row>
    <row r="166" ht="15.75" customHeight="1">
      <c r="A166" s="1"/>
      <c r="B166" s="203"/>
      <c r="C166" s="204"/>
      <c r="D166" s="205"/>
      <c r="E166" s="206"/>
      <c r="F166" s="207"/>
      <c r="G166" s="208"/>
      <c r="H166" s="174">
        <f t="shared" si="1"/>
        <v>0</v>
      </c>
      <c r="I166" s="209"/>
      <c r="J166" s="209"/>
      <c r="K166" s="177">
        <f t="shared" si="2"/>
        <v>0</v>
      </c>
      <c r="L166" s="210"/>
    </row>
    <row r="167" ht="15.75" customHeight="1">
      <c r="A167" s="1"/>
      <c r="B167" s="203"/>
      <c r="C167" s="204"/>
      <c r="D167" s="205"/>
      <c r="E167" s="206"/>
      <c r="F167" s="207"/>
      <c r="G167" s="208"/>
      <c r="H167" s="174">
        <f t="shared" si="1"/>
        <v>0</v>
      </c>
      <c r="I167" s="209"/>
      <c r="J167" s="209"/>
      <c r="K167" s="177">
        <f t="shared" si="2"/>
        <v>0</v>
      </c>
      <c r="L167" s="210"/>
    </row>
    <row r="168" ht="15.75" customHeight="1">
      <c r="A168" s="1"/>
      <c r="B168" s="203"/>
      <c r="C168" s="204"/>
      <c r="D168" s="205"/>
      <c r="E168" s="206"/>
      <c r="F168" s="207"/>
      <c r="G168" s="208"/>
      <c r="H168" s="174">
        <f t="shared" si="1"/>
        <v>0</v>
      </c>
      <c r="I168" s="209"/>
      <c r="J168" s="209"/>
      <c r="K168" s="177">
        <f t="shared" si="2"/>
        <v>0</v>
      </c>
      <c r="L168" s="210"/>
    </row>
    <row r="169" ht="15.75" customHeight="1">
      <c r="A169" s="1"/>
      <c r="B169" s="203"/>
      <c r="C169" s="204"/>
      <c r="D169" s="205"/>
      <c r="E169" s="206"/>
      <c r="F169" s="207"/>
      <c r="G169" s="208"/>
      <c r="H169" s="174">
        <f t="shared" si="1"/>
        <v>0</v>
      </c>
      <c r="I169" s="209"/>
      <c r="J169" s="209"/>
      <c r="K169" s="177">
        <f t="shared" si="2"/>
        <v>0</v>
      </c>
      <c r="L169" s="210"/>
    </row>
    <row r="170" ht="15.75" customHeight="1">
      <c r="A170" s="1"/>
      <c r="B170" s="203"/>
      <c r="C170" s="204"/>
      <c r="D170" s="205"/>
      <c r="E170" s="206"/>
      <c r="F170" s="207"/>
      <c r="G170" s="208"/>
      <c r="H170" s="174">
        <f t="shared" si="1"/>
        <v>0</v>
      </c>
      <c r="I170" s="209"/>
      <c r="J170" s="209"/>
      <c r="K170" s="177">
        <f t="shared" si="2"/>
        <v>0</v>
      </c>
      <c r="L170" s="210"/>
    </row>
    <row r="171" ht="15.75" customHeight="1">
      <c r="A171" s="1"/>
      <c r="B171" s="203"/>
      <c r="C171" s="204"/>
      <c r="D171" s="205"/>
      <c r="E171" s="206"/>
      <c r="F171" s="207"/>
      <c r="G171" s="208"/>
      <c r="H171" s="174">
        <f t="shared" si="1"/>
        <v>0</v>
      </c>
      <c r="I171" s="209"/>
      <c r="J171" s="209"/>
      <c r="K171" s="177">
        <f t="shared" si="2"/>
        <v>0</v>
      </c>
      <c r="L171" s="210"/>
    </row>
    <row r="172" ht="15.75" customHeight="1">
      <c r="A172" s="1"/>
      <c r="B172" s="203"/>
      <c r="C172" s="204"/>
      <c r="D172" s="205"/>
      <c r="E172" s="206"/>
      <c r="F172" s="207"/>
      <c r="G172" s="208"/>
      <c r="H172" s="174">
        <f t="shared" si="1"/>
        <v>0</v>
      </c>
      <c r="I172" s="209"/>
      <c r="J172" s="209"/>
      <c r="K172" s="177">
        <f t="shared" si="2"/>
        <v>0</v>
      </c>
      <c r="L172" s="210"/>
    </row>
    <row r="173" ht="15.75" customHeight="1">
      <c r="A173" s="1"/>
      <c r="B173" s="203"/>
      <c r="C173" s="204"/>
      <c r="D173" s="205"/>
      <c r="E173" s="206"/>
      <c r="F173" s="207"/>
      <c r="G173" s="208"/>
      <c r="H173" s="174">
        <f t="shared" si="1"/>
        <v>0</v>
      </c>
      <c r="I173" s="209"/>
      <c r="J173" s="209"/>
      <c r="K173" s="177">
        <f t="shared" si="2"/>
        <v>0</v>
      </c>
      <c r="L173" s="210"/>
    </row>
    <row r="174" ht="15.75" customHeight="1">
      <c r="A174" s="1"/>
      <c r="B174" s="203"/>
      <c r="C174" s="204"/>
      <c r="D174" s="205"/>
      <c r="E174" s="206"/>
      <c r="F174" s="207"/>
      <c r="G174" s="208"/>
      <c r="H174" s="174">
        <f t="shared" si="1"/>
        <v>0</v>
      </c>
      <c r="I174" s="209"/>
      <c r="J174" s="209"/>
      <c r="K174" s="177">
        <f t="shared" si="2"/>
        <v>0</v>
      </c>
      <c r="L174" s="210"/>
    </row>
    <row r="175" ht="15.75" customHeight="1">
      <c r="A175" s="1"/>
      <c r="B175" s="203"/>
      <c r="C175" s="204"/>
      <c r="D175" s="205"/>
      <c r="E175" s="206"/>
      <c r="F175" s="207"/>
      <c r="G175" s="208"/>
      <c r="H175" s="174">
        <f t="shared" si="1"/>
        <v>0</v>
      </c>
      <c r="I175" s="209"/>
      <c r="J175" s="209"/>
      <c r="K175" s="177">
        <f t="shared" si="2"/>
        <v>0</v>
      </c>
      <c r="L175" s="210"/>
    </row>
    <row r="176" ht="15.75" customHeight="1">
      <c r="A176" s="1"/>
      <c r="B176" s="203"/>
      <c r="C176" s="204"/>
      <c r="D176" s="205"/>
      <c r="E176" s="206"/>
      <c r="F176" s="207"/>
      <c r="G176" s="208"/>
      <c r="H176" s="174">
        <f t="shared" si="1"/>
        <v>0</v>
      </c>
      <c r="I176" s="209"/>
      <c r="J176" s="209"/>
      <c r="K176" s="177">
        <f t="shared" si="2"/>
        <v>0</v>
      </c>
      <c r="L176" s="210"/>
    </row>
    <row r="177" ht="15.75" customHeight="1">
      <c r="A177" s="1"/>
      <c r="B177" s="203"/>
      <c r="C177" s="204"/>
      <c r="D177" s="205"/>
      <c r="E177" s="206"/>
      <c r="F177" s="207"/>
      <c r="G177" s="208"/>
      <c r="H177" s="174">
        <f t="shared" si="1"/>
        <v>0</v>
      </c>
      <c r="I177" s="209"/>
      <c r="J177" s="209"/>
      <c r="K177" s="177">
        <f t="shared" si="2"/>
        <v>0</v>
      </c>
      <c r="L177" s="210"/>
    </row>
    <row r="178" ht="15.75" customHeight="1">
      <c r="A178" s="1"/>
      <c r="B178" s="203"/>
      <c r="C178" s="204"/>
      <c r="D178" s="205"/>
      <c r="E178" s="206"/>
      <c r="F178" s="207"/>
      <c r="G178" s="208"/>
      <c r="H178" s="174">
        <f t="shared" si="1"/>
        <v>0</v>
      </c>
      <c r="I178" s="209"/>
      <c r="J178" s="209"/>
      <c r="K178" s="177">
        <f t="shared" si="2"/>
        <v>0</v>
      </c>
      <c r="L178" s="210"/>
    </row>
    <row r="179" ht="15.75" customHeight="1">
      <c r="A179" s="1"/>
      <c r="B179" s="203"/>
      <c r="C179" s="204"/>
      <c r="D179" s="205"/>
      <c r="E179" s="206"/>
      <c r="F179" s="207"/>
      <c r="G179" s="208"/>
      <c r="H179" s="174">
        <f t="shared" si="1"/>
        <v>0</v>
      </c>
      <c r="I179" s="209"/>
      <c r="J179" s="209"/>
      <c r="K179" s="177">
        <f t="shared" si="2"/>
        <v>0</v>
      </c>
      <c r="L179" s="210"/>
    </row>
    <row r="180" ht="15.75" customHeight="1">
      <c r="A180" s="1"/>
      <c r="B180" s="203"/>
      <c r="C180" s="204"/>
      <c r="D180" s="205"/>
      <c r="E180" s="206"/>
      <c r="F180" s="207"/>
      <c r="G180" s="208"/>
      <c r="H180" s="174">
        <f t="shared" si="1"/>
        <v>0</v>
      </c>
      <c r="I180" s="209"/>
      <c r="J180" s="209"/>
      <c r="K180" s="177">
        <f t="shared" si="2"/>
        <v>0</v>
      </c>
      <c r="L180" s="210"/>
    </row>
    <row r="181" ht="15.75" customHeight="1">
      <c r="A181" s="1"/>
      <c r="B181" s="203"/>
      <c r="C181" s="204"/>
      <c r="D181" s="205"/>
      <c r="E181" s="206"/>
      <c r="F181" s="207"/>
      <c r="G181" s="208"/>
      <c r="H181" s="174">
        <f t="shared" si="1"/>
        <v>0</v>
      </c>
      <c r="I181" s="209"/>
      <c r="J181" s="209"/>
      <c r="K181" s="177">
        <f t="shared" si="2"/>
        <v>0</v>
      </c>
      <c r="L181" s="210"/>
    </row>
    <row r="182" ht="15.75" customHeight="1">
      <c r="A182" s="1"/>
      <c r="B182" s="203"/>
      <c r="C182" s="204"/>
      <c r="D182" s="205"/>
      <c r="E182" s="206"/>
      <c r="F182" s="207"/>
      <c r="G182" s="208"/>
      <c r="H182" s="174">
        <f t="shared" si="1"/>
        <v>0</v>
      </c>
      <c r="I182" s="209"/>
      <c r="J182" s="209"/>
      <c r="K182" s="177">
        <f t="shared" si="2"/>
        <v>0</v>
      </c>
      <c r="L182" s="210"/>
    </row>
    <row r="183" ht="15.75" customHeight="1">
      <c r="A183" s="1"/>
      <c r="B183" s="203"/>
      <c r="C183" s="204"/>
      <c r="D183" s="205"/>
      <c r="E183" s="206"/>
      <c r="F183" s="207"/>
      <c r="G183" s="208"/>
      <c r="H183" s="174">
        <f t="shared" si="1"/>
        <v>0</v>
      </c>
      <c r="I183" s="209"/>
      <c r="J183" s="209"/>
      <c r="K183" s="177">
        <f t="shared" si="2"/>
        <v>0</v>
      </c>
      <c r="L183" s="210"/>
    </row>
    <row r="184" ht="15.75" customHeight="1">
      <c r="A184" s="1"/>
      <c r="B184" s="203"/>
      <c r="C184" s="204"/>
      <c r="D184" s="205"/>
      <c r="E184" s="206"/>
      <c r="F184" s="207"/>
      <c r="G184" s="208"/>
      <c r="H184" s="174">
        <f t="shared" si="1"/>
        <v>0</v>
      </c>
      <c r="I184" s="209"/>
      <c r="J184" s="209"/>
      <c r="K184" s="177">
        <f t="shared" si="2"/>
        <v>0</v>
      </c>
      <c r="L184" s="210"/>
    </row>
    <row r="185" ht="15.75" customHeight="1">
      <c r="A185" s="1"/>
      <c r="B185" s="203"/>
      <c r="C185" s="204"/>
      <c r="D185" s="205"/>
      <c r="E185" s="206"/>
      <c r="F185" s="207"/>
      <c r="G185" s="208"/>
      <c r="H185" s="174">
        <f t="shared" si="1"/>
        <v>0</v>
      </c>
      <c r="I185" s="209"/>
      <c r="J185" s="209"/>
      <c r="K185" s="177">
        <f t="shared" si="2"/>
        <v>0</v>
      </c>
      <c r="L185" s="210"/>
    </row>
    <row r="186" ht="15.75" customHeight="1">
      <c r="A186" s="1"/>
      <c r="B186" s="203"/>
      <c r="C186" s="204"/>
      <c r="D186" s="205"/>
      <c r="E186" s="206"/>
      <c r="F186" s="207"/>
      <c r="G186" s="208"/>
      <c r="H186" s="174">
        <f t="shared" si="1"/>
        <v>0</v>
      </c>
      <c r="I186" s="209"/>
      <c r="J186" s="209"/>
      <c r="K186" s="177">
        <f t="shared" si="2"/>
        <v>0</v>
      </c>
      <c r="L186" s="210"/>
    </row>
    <row r="187" ht="15.75" customHeight="1">
      <c r="A187" s="1"/>
      <c r="B187" s="203"/>
      <c r="C187" s="204"/>
      <c r="D187" s="205"/>
      <c r="E187" s="206"/>
      <c r="F187" s="207"/>
      <c r="G187" s="208"/>
      <c r="H187" s="174">
        <f t="shared" si="1"/>
        <v>0</v>
      </c>
      <c r="I187" s="209"/>
      <c r="J187" s="209"/>
      <c r="K187" s="177">
        <f t="shared" si="2"/>
        <v>0</v>
      </c>
      <c r="L187" s="210"/>
    </row>
    <row r="188" ht="15.75" customHeight="1">
      <c r="A188" s="1"/>
      <c r="B188" s="203"/>
      <c r="C188" s="204"/>
      <c r="D188" s="205"/>
      <c r="E188" s="206"/>
      <c r="F188" s="207"/>
      <c r="G188" s="208"/>
      <c r="H188" s="174">
        <f t="shared" si="1"/>
        <v>0</v>
      </c>
      <c r="I188" s="209"/>
      <c r="J188" s="209"/>
      <c r="K188" s="177">
        <f t="shared" si="2"/>
        <v>0</v>
      </c>
      <c r="L188" s="210"/>
    </row>
    <row r="189" ht="15.75" customHeight="1">
      <c r="A189" s="1"/>
      <c r="B189" s="203"/>
      <c r="C189" s="204"/>
      <c r="D189" s="205"/>
      <c r="E189" s="206"/>
      <c r="F189" s="207"/>
      <c r="G189" s="208"/>
      <c r="H189" s="174">
        <f t="shared" si="1"/>
        <v>0</v>
      </c>
      <c r="I189" s="209"/>
      <c r="J189" s="209"/>
      <c r="K189" s="177">
        <f t="shared" si="2"/>
        <v>0</v>
      </c>
      <c r="L189" s="210"/>
    </row>
    <row r="190" ht="15.75" customHeight="1">
      <c r="A190" s="1"/>
      <c r="B190" s="203"/>
      <c r="C190" s="204"/>
      <c r="D190" s="205"/>
      <c r="E190" s="206"/>
      <c r="F190" s="207"/>
      <c r="G190" s="208"/>
      <c r="H190" s="174">
        <f t="shared" si="1"/>
        <v>0</v>
      </c>
      <c r="I190" s="209"/>
      <c r="J190" s="209"/>
      <c r="K190" s="177">
        <f t="shared" si="2"/>
        <v>0</v>
      </c>
      <c r="L190" s="210"/>
    </row>
    <row r="191" ht="15.75" customHeight="1">
      <c r="A191" s="1"/>
      <c r="B191" s="203"/>
      <c r="C191" s="204"/>
      <c r="D191" s="205"/>
      <c r="E191" s="206"/>
      <c r="F191" s="207"/>
      <c r="G191" s="208"/>
      <c r="H191" s="174">
        <f t="shared" si="1"/>
        <v>0</v>
      </c>
      <c r="I191" s="209"/>
      <c r="J191" s="209"/>
      <c r="K191" s="177">
        <f t="shared" si="2"/>
        <v>0</v>
      </c>
      <c r="L191" s="210"/>
    </row>
    <row r="192" ht="15.75" customHeight="1">
      <c r="A192" s="1"/>
      <c r="B192" s="203"/>
      <c r="C192" s="204"/>
      <c r="D192" s="205"/>
      <c r="E192" s="206"/>
      <c r="F192" s="207"/>
      <c r="G192" s="208"/>
      <c r="H192" s="174">
        <f t="shared" si="1"/>
        <v>0</v>
      </c>
      <c r="I192" s="209"/>
      <c r="J192" s="209"/>
      <c r="K192" s="177">
        <f t="shared" si="2"/>
        <v>0</v>
      </c>
      <c r="L192" s="210"/>
    </row>
    <row r="193" ht="15.75" customHeight="1">
      <c r="A193" s="1"/>
      <c r="B193" s="203"/>
      <c r="C193" s="204"/>
      <c r="D193" s="205"/>
      <c r="E193" s="206"/>
      <c r="F193" s="207"/>
      <c r="G193" s="208"/>
      <c r="H193" s="174">
        <f t="shared" si="1"/>
        <v>0</v>
      </c>
      <c r="I193" s="209"/>
      <c r="J193" s="209"/>
      <c r="K193" s="177">
        <f t="shared" si="2"/>
        <v>0</v>
      </c>
      <c r="L193" s="210"/>
    </row>
    <row r="194" ht="15.75" customHeight="1">
      <c r="A194" s="1"/>
      <c r="B194" s="203"/>
      <c r="C194" s="204"/>
      <c r="D194" s="205"/>
      <c r="E194" s="206"/>
      <c r="F194" s="207"/>
      <c r="G194" s="208"/>
      <c r="H194" s="174">
        <f t="shared" si="1"/>
        <v>0</v>
      </c>
      <c r="I194" s="209"/>
      <c r="J194" s="209"/>
      <c r="K194" s="177">
        <f t="shared" si="2"/>
        <v>0</v>
      </c>
      <c r="L194" s="210"/>
    </row>
    <row r="195" ht="15.75" customHeight="1">
      <c r="A195" s="1"/>
      <c r="B195" s="203"/>
      <c r="C195" s="204"/>
      <c r="D195" s="205"/>
      <c r="E195" s="206"/>
      <c r="F195" s="207"/>
      <c r="G195" s="208"/>
      <c r="H195" s="174">
        <f t="shared" si="1"/>
        <v>0</v>
      </c>
      <c r="I195" s="209"/>
      <c r="J195" s="209"/>
      <c r="K195" s="177">
        <f t="shared" si="2"/>
        <v>0</v>
      </c>
      <c r="L195" s="210"/>
    </row>
    <row r="196" ht="15.75" customHeight="1">
      <c r="A196" s="1"/>
      <c r="B196" s="203"/>
      <c r="C196" s="204"/>
      <c r="D196" s="205"/>
      <c r="E196" s="206"/>
      <c r="F196" s="207"/>
      <c r="G196" s="208"/>
      <c r="H196" s="174">
        <f t="shared" si="1"/>
        <v>0</v>
      </c>
      <c r="I196" s="209"/>
      <c r="J196" s="209"/>
      <c r="K196" s="177">
        <f t="shared" si="2"/>
        <v>0</v>
      </c>
      <c r="L196" s="210"/>
    </row>
    <row r="197" ht="15.75" customHeight="1">
      <c r="A197" s="1"/>
      <c r="B197" s="203"/>
      <c r="C197" s="204"/>
      <c r="D197" s="205"/>
      <c r="E197" s="206"/>
      <c r="F197" s="207"/>
      <c r="G197" s="208"/>
      <c r="H197" s="174">
        <f t="shared" si="1"/>
        <v>0</v>
      </c>
      <c r="I197" s="209"/>
      <c r="J197" s="209"/>
      <c r="K197" s="177">
        <f t="shared" si="2"/>
        <v>0</v>
      </c>
      <c r="L197" s="210"/>
    </row>
    <row r="198" ht="15.75" customHeight="1">
      <c r="A198" s="1"/>
      <c r="B198" s="203"/>
      <c r="C198" s="204"/>
      <c r="D198" s="205"/>
      <c r="E198" s="206"/>
      <c r="F198" s="207"/>
      <c r="G198" s="208"/>
      <c r="H198" s="174">
        <f t="shared" si="1"/>
        <v>0</v>
      </c>
      <c r="I198" s="209"/>
      <c r="J198" s="209"/>
      <c r="K198" s="177">
        <f t="shared" si="2"/>
        <v>0</v>
      </c>
      <c r="L198" s="210"/>
    </row>
    <row r="199" ht="15.75" customHeight="1">
      <c r="A199" s="1"/>
      <c r="B199" s="203"/>
      <c r="C199" s="204"/>
      <c r="D199" s="205"/>
      <c r="E199" s="206"/>
      <c r="F199" s="207"/>
      <c r="G199" s="208"/>
      <c r="H199" s="174">
        <f t="shared" si="1"/>
        <v>0</v>
      </c>
      <c r="I199" s="209"/>
      <c r="J199" s="209"/>
      <c r="K199" s="177">
        <f t="shared" si="2"/>
        <v>0</v>
      </c>
      <c r="L199" s="210"/>
    </row>
    <row r="200" ht="15.75" customHeight="1">
      <c r="A200" s="1"/>
      <c r="B200" s="203"/>
      <c r="C200" s="204"/>
      <c r="D200" s="205"/>
      <c r="E200" s="206"/>
      <c r="F200" s="207"/>
      <c r="G200" s="208"/>
      <c r="H200" s="174">
        <f t="shared" si="1"/>
        <v>0</v>
      </c>
      <c r="I200" s="209"/>
      <c r="J200" s="209"/>
      <c r="K200" s="177">
        <f t="shared" si="2"/>
        <v>0</v>
      </c>
      <c r="L200" s="210"/>
    </row>
    <row r="201" ht="15.75" customHeight="1">
      <c r="A201" s="1"/>
      <c r="B201" s="203"/>
      <c r="C201" s="204"/>
      <c r="D201" s="205"/>
      <c r="E201" s="206"/>
      <c r="F201" s="207"/>
      <c r="G201" s="208"/>
      <c r="H201" s="174">
        <f t="shared" si="1"/>
        <v>0</v>
      </c>
      <c r="I201" s="209"/>
      <c r="J201" s="209"/>
      <c r="K201" s="177">
        <f t="shared" si="2"/>
        <v>0</v>
      </c>
      <c r="L201" s="210"/>
    </row>
    <row r="202" ht="15.75" customHeight="1">
      <c r="A202" s="1"/>
      <c r="B202" s="203"/>
      <c r="C202" s="204"/>
      <c r="D202" s="205"/>
      <c r="E202" s="206"/>
      <c r="F202" s="207"/>
      <c r="G202" s="208"/>
      <c r="H202" s="174">
        <f t="shared" si="1"/>
        <v>0</v>
      </c>
      <c r="I202" s="209"/>
      <c r="J202" s="209"/>
      <c r="K202" s="177">
        <f t="shared" si="2"/>
        <v>0</v>
      </c>
      <c r="L202" s="210"/>
    </row>
    <row r="203" ht="15.75" customHeight="1">
      <c r="A203" s="1"/>
      <c r="B203" s="203"/>
      <c r="C203" s="204"/>
      <c r="D203" s="205"/>
      <c r="E203" s="206"/>
      <c r="F203" s="207"/>
      <c r="G203" s="208"/>
      <c r="H203" s="174">
        <f t="shared" si="1"/>
        <v>0</v>
      </c>
      <c r="I203" s="209"/>
      <c r="J203" s="209"/>
      <c r="K203" s="177">
        <f t="shared" si="2"/>
        <v>0</v>
      </c>
      <c r="L203" s="210"/>
    </row>
    <row r="204" ht="15.75" customHeight="1">
      <c r="A204" s="1"/>
      <c r="B204" s="203"/>
      <c r="C204" s="204"/>
      <c r="D204" s="205"/>
      <c r="E204" s="206"/>
      <c r="F204" s="207"/>
      <c r="G204" s="208"/>
      <c r="H204" s="174">
        <f t="shared" si="1"/>
        <v>0</v>
      </c>
      <c r="I204" s="209"/>
      <c r="J204" s="209"/>
      <c r="K204" s="177">
        <f t="shared" si="2"/>
        <v>0</v>
      </c>
      <c r="L204" s="210"/>
    </row>
    <row r="205" ht="15.75" customHeight="1">
      <c r="A205" s="1"/>
      <c r="B205" s="203"/>
      <c r="C205" s="204"/>
      <c r="D205" s="205"/>
      <c r="E205" s="206"/>
      <c r="F205" s="207"/>
      <c r="G205" s="208"/>
      <c r="H205" s="174">
        <f t="shared" si="1"/>
        <v>0</v>
      </c>
      <c r="I205" s="209"/>
      <c r="J205" s="209"/>
      <c r="K205" s="177">
        <f t="shared" si="2"/>
        <v>0</v>
      </c>
      <c r="L205" s="210"/>
    </row>
    <row r="206" ht="15.75" customHeight="1">
      <c r="A206" s="1"/>
      <c r="B206" s="203"/>
      <c r="C206" s="204"/>
      <c r="D206" s="205"/>
      <c r="E206" s="206"/>
      <c r="F206" s="207"/>
      <c r="G206" s="208"/>
      <c r="H206" s="174">
        <f t="shared" si="1"/>
        <v>0</v>
      </c>
      <c r="I206" s="209"/>
      <c r="J206" s="209"/>
      <c r="K206" s="177">
        <f t="shared" si="2"/>
        <v>0</v>
      </c>
      <c r="L206" s="210"/>
    </row>
    <row r="207" ht="15.75" customHeight="1">
      <c r="A207" s="1"/>
      <c r="B207" s="203"/>
      <c r="C207" s="204"/>
      <c r="D207" s="205"/>
      <c r="E207" s="206"/>
      <c r="F207" s="207"/>
      <c r="G207" s="208"/>
      <c r="H207" s="174">
        <f t="shared" si="1"/>
        <v>0</v>
      </c>
      <c r="I207" s="209"/>
      <c r="J207" s="209"/>
      <c r="K207" s="177">
        <f t="shared" si="2"/>
        <v>0</v>
      </c>
      <c r="L207" s="210"/>
    </row>
    <row r="208" ht="15.75" customHeight="1">
      <c r="A208" s="1"/>
      <c r="B208" s="203"/>
      <c r="C208" s="204"/>
      <c r="D208" s="205"/>
      <c r="E208" s="206"/>
      <c r="F208" s="207"/>
      <c r="G208" s="208"/>
      <c r="H208" s="174">
        <f t="shared" si="1"/>
        <v>0</v>
      </c>
      <c r="I208" s="209"/>
      <c r="J208" s="209"/>
      <c r="K208" s="177">
        <f t="shared" si="2"/>
        <v>0</v>
      </c>
      <c r="L208" s="210"/>
    </row>
    <row r="209" ht="15.75" customHeight="1">
      <c r="A209" s="1"/>
      <c r="B209" s="203"/>
      <c r="C209" s="204"/>
      <c r="D209" s="205"/>
      <c r="E209" s="206"/>
      <c r="F209" s="207"/>
      <c r="G209" s="208"/>
      <c r="H209" s="174">
        <f t="shared" si="1"/>
        <v>0</v>
      </c>
      <c r="I209" s="209"/>
      <c r="J209" s="209"/>
      <c r="K209" s="177">
        <f t="shared" si="2"/>
        <v>0</v>
      </c>
      <c r="L209" s="210"/>
    </row>
    <row r="210" ht="15.75" customHeight="1">
      <c r="A210" s="1"/>
      <c r="B210" s="203"/>
      <c r="C210" s="204"/>
      <c r="D210" s="205"/>
      <c r="E210" s="206"/>
      <c r="F210" s="207"/>
      <c r="G210" s="208"/>
      <c r="H210" s="174">
        <f t="shared" si="1"/>
        <v>0</v>
      </c>
      <c r="I210" s="209"/>
      <c r="J210" s="209"/>
      <c r="K210" s="177">
        <f t="shared" si="2"/>
        <v>0</v>
      </c>
      <c r="L210" s="210"/>
    </row>
    <row r="211" ht="15.75" customHeight="1">
      <c r="A211" s="1"/>
      <c r="B211" s="203"/>
      <c r="C211" s="204"/>
      <c r="D211" s="205"/>
      <c r="E211" s="206"/>
      <c r="F211" s="207"/>
      <c r="G211" s="208"/>
      <c r="H211" s="174">
        <f t="shared" si="1"/>
        <v>0</v>
      </c>
      <c r="I211" s="209"/>
      <c r="J211" s="209"/>
      <c r="K211" s="177">
        <f t="shared" si="2"/>
        <v>0</v>
      </c>
      <c r="L211" s="210"/>
    </row>
    <row r="212" ht="15.75" customHeight="1">
      <c r="A212" s="1"/>
      <c r="B212" s="203"/>
      <c r="C212" s="204"/>
      <c r="D212" s="205"/>
      <c r="E212" s="206"/>
      <c r="F212" s="207"/>
      <c r="G212" s="208"/>
      <c r="H212" s="174">
        <f t="shared" si="1"/>
        <v>0</v>
      </c>
      <c r="I212" s="209"/>
      <c r="J212" s="209"/>
      <c r="K212" s="177">
        <f t="shared" si="2"/>
        <v>0</v>
      </c>
      <c r="L212" s="210"/>
    </row>
    <row r="213" ht="15.75" customHeight="1">
      <c r="A213" s="1"/>
      <c r="B213" s="203"/>
      <c r="C213" s="204"/>
      <c r="D213" s="205"/>
      <c r="E213" s="206"/>
      <c r="F213" s="207"/>
      <c r="G213" s="208"/>
      <c r="H213" s="174">
        <f t="shared" si="1"/>
        <v>0</v>
      </c>
      <c r="I213" s="209"/>
      <c r="J213" s="209"/>
      <c r="K213" s="177">
        <f t="shared" si="2"/>
        <v>0</v>
      </c>
      <c r="L213" s="210"/>
    </row>
    <row r="214" ht="15.75" customHeight="1">
      <c r="A214" s="1"/>
      <c r="B214" s="203"/>
      <c r="C214" s="204"/>
      <c r="D214" s="205"/>
      <c r="E214" s="206"/>
      <c r="F214" s="207"/>
      <c r="G214" s="208"/>
      <c r="H214" s="174">
        <f t="shared" si="1"/>
        <v>0</v>
      </c>
      <c r="I214" s="209"/>
      <c r="J214" s="209"/>
      <c r="K214" s="177">
        <f t="shared" si="2"/>
        <v>0</v>
      </c>
      <c r="L214" s="210"/>
    </row>
    <row r="215" ht="15.75" customHeight="1">
      <c r="A215" s="1"/>
      <c r="B215" s="203"/>
      <c r="C215" s="204"/>
      <c r="D215" s="205"/>
      <c r="E215" s="206"/>
      <c r="F215" s="207"/>
      <c r="G215" s="208"/>
      <c r="H215" s="174">
        <f t="shared" si="1"/>
        <v>0</v>
      </c>
      <c r="I215" s="209"/>
      <c r="J215" s="209"/>
      <c r="K215" s="177">
        <f t="shared" si="2"/>
        <v>0</v>
      </c>
      <c r="L215" s="210"/>
    </row>
    <row r="216" ht="15.75" customHeight="1">
      <c r="A216" s="1"/>
      <c r="B216" s="203"/>
      <c r="C216" s="204"/>
      <c r="D216" s="205"/>
      <c r="E216" s="206"/>
      <c r="F216" s="207"/>
      <c r="G216" s="208"/>
      <c r="H216" s="174">
        <f t="shared" si="1"/>
        <v>0</v>
      </c>
      <c r="I216" s="209"/>
      <c r="J216" s="209"/>
      <c r="K216" s="177">
        <f t="shared" si="2"/>
        <v>0</v>
      </c>
      <c r="L216" s="210"/>
    </row>
    <row r="217" ht="15.75" customHeight="1">
      <c r="A217" s="1"/>
      <c r="B217" s="203"/>
      <c r="C217" s="204"/>
      <c r="D217" s="205"/>
      <c r="E217" s="206"/>
      <c r="F217" s="207"/>
      <c r="G217" s="208"/>
      <c r="H217" s="174">
        <f t="shared" si="1"/>
        <v>0</v>
      </c>
      <c r="I217" s="209"/>
      <c r="J217" s="209"/>
      <c r="K217" s="177">
        <f t="shared" si="2"/>
        <v>0</v>
      </c>
      <c r="L217" s="210"/>
    </row>
    <row r="218" ht="15.75" customHeight="1">
      <c r="A218" s="1"/>
      <c r="B218" s="203"/>
      <c r="C218" s="204"/>
      <c r="D218" s="205"/>
      <c r="E218" s="206"/>
      <c r="F218" s="207"/>
      <c r="G218" s="208"/>
      <c r="H218" s="174">
        <f t="shared" si="1"/>
        <v>0</v>
      </c>
      <c r="I218" s="209"/>
      <c r="J218" s="209"/>
      <c r="K218" s="177">
        <f t="shared" si="2"/>
        <v>0</v>
      </c>
      <c r="L218" s="210"/>
    </row>
    <row r="219" ht="15.75" customHeight="1">
      <c r="A219" s="1"/>
      <c r="B219" s="203"/>
      <c r="C219" s="204"/>
      <c r="D219" s="205"/>
      <c r="E219" s="206"/>
      <c r="F219" s="207"/>
      <c r="G219" s="208"/>
      <c r="H219" s="174">
        <f t="shared" si="1"/>
        <v>0</v>
      </c>
      <c r="I219" s="209"/>
      <c r="J219" s="209"/>
      <c r="K219" s="177">
        <f t="shared" si="2"/>
        <v>0</v>
      </c>
      <c r="L219" s="210"/>
    </row>
    <row r="220" ht="15.75" customHeight="1">
      <c r="A220" s="1"/>
      <c r="B220" s="203"/>
      <c r="C220" s="204"/>
      <c r="D220" s="205"/>
      <c r="E220" s="206"/>
      <c r="F220" s="207"/>
      <c r="G220" s="208"/>
      <c r="H220" s="174">
        <f t="shared" si="1"/>
        <v>0</v>
      </c>
      <c r="I220" s="209"/>
      <c r="J220" s="209"/>
      <c r="K220" s="177">
        <f t="shared" si="2"/>
        <v>0</v>
      </c>
      <c r="L220" s="210"/>
    </row>
    <row r="221" ht="15.75" customHeight="1">
      <c r="A221" s="1"/>
      <c r="B221" s="203"/>
      <c r="C221" s="204"/>
      <c r="D221" s="205"/>
      <c r="E221" s="206"/>
      <c r="F221" s="207"/>
      <c r="G221" s="208"/>
      <c r="H221" s="174">
        <f t="shared" si="1"/>
        <v>0</v>
      </c>
      <c r="I221" s="209"/>
      <c r="J221" s="209"/>
      <c r="K221" s="177">
        <f t="shared" si="2"/>
        <v>0</v>
      </c>
      <c r="L221" s="210"/>
    </row>
    <row r="222" ht="15.75" customHeight="1">
      <c r="A222" s="1"/>
      <c r="B222" s="203"/>
      <c r="C222" s="204"/>
      <c r="D222" s="205"/>
      <c r="E222" s="206"/>
      <c r="F222" s="207"/>
      <c r="G222" s="208"/>
      <c r="H222" s="174">
        <f t="shared" si="1"/>
        <v>0</v>
      </c>
      <c r="I222" s="209"/>
      <c r="J222" s="209"/>
      <c r="K222" s="177">
        <f t="shared" si="2"/>
        <v>0</v>
      </c>
      <c r="L222" s="210"/>
    </row>
    <row r="223" ht="15.75" customHeight="1">
      <c r="A223" s="1"/>
      <c r="B223" s="203"/>
      <c r="C223" s="204"/>
      <c r="D223" s="205"/>
      <c r="E223" s="206"/>
      <c r="F223" s="207"/>
      <c r="G223" s="208"/>
      <c r="H223" s="174">
        <f t="shared" si="1"/>
        <v>0</v>
      </c>
      <c r="I223" s="209"/>
      <c r="J223" s="209"/>
      <c r="K223" s="177">
        <f t="shared" si="2"/>
        <v>0</v>
      </c>
      <c r="L223" s="210"/>
    </row>
    <row r="224" ht="15.75" customHeight="1">
      <c r="A224" s="1"/>
      <c r="B224" s="203"/>
      <c r="C224" s="204"/>
      <c r="D224" s="205"/>
      <c r="E224" s="206"/>
      <c r="F224" s="207"/>
      <c r="G224" s="208"/>
      <c r="H224" s="174">
        <f t="shared" si="1"/>
        <v>0</v>
      </c>
      <c r="I224" s="209"/>
      <c r="J224" s="209"/>
      <c r="K224" s="177">
        <f t="shared" si="2"/>
        <v>0</v>
      </c>
      <c r="L224" s="210"/>
    </row>
    <row r="225" ht="15.75" customHeight="1">
      <c r="A225" s="1"/>
      <c r="B225" s="203"/>
      <c r="C225" s="204"/>
      <c r="D225" s="205"/>
      <c r="E225" s="206"/>
      <c r="F225" s="207"/>
      <c r="G225" s="208"/>
      <c r="H225" s="174">
        <f t="shared" si="1"/>
        <v>0</v>
      </c>
      <c r="I225" s="209"/>
      <c r="J225" s="209"/>
      <c r="K225" s="177">
        <f t="shared" si="2"/>
        <v>0</v>
      </c>
      <c r="L225" s="210"/>
    </row>
    <row r="226" ht="15.75" customHeight="1">
      <c r="A226" s="1"/>
      <c r="B226" s="203"/>
      <c r="C226" s="204"/>
      <c r="D226" s="205"/>
      <c r="E226" s="206"/>
      <c r="F226" s="207"/>
      <c r="G226" s="208"/>
      <c r="H226" s="174">
        <f t="shared" si="1"/>
        <v>0</v>
      </c>
      <c r="I226" s="209"/>
      <c r="J226" s="209"/>
      <c r="K226" s="177">
        <f t="shared" si="2"/>
        <v>0</v>
      </c>
      <c r="L226" s="210"/>
    </row>
    <row r="227" ht="15.75" customHeight="1">
      <c r="A227" s="1"/>
      <c r="B227" s="203"/>
      <c r="C227" s="204"/>
      <c r="D227" s="205"/>
      <c r="E227" s="206"/>
      <c r="F227" s="207"/>
      <c r="G227" s="208"/>
      <c r="H227" s="174">
        <f t="shared" si="1"/>
        <v>0</v>
      </c>
      <c r="I227" s="209"/>
      <c r="J227" s="209"/>
      <c r="K227" s="177">
        <f t="shared" si="2"/>
        <v>0</v>
      </c>
      <c r="L227" s="210"/>
    </row>
    <row r="228" ht="15.75" customHeight="1">
      <c r="A228" s="1"/>
      <c r="B228" s="203"/>
      <c r="C228" s="204"/>
      <c r="D228" s="205"/>
      <c r="E228" s="206"/>
      <c r="F228" s="207"/>
      <c r="G228" s="208"/>
      <c r="H228" s="174">
        <f t="shared" si="1"/>
        <v>0</v>
      </c>
      <c r="I228" s="209"/>
      <c r="J228" s="209"/>
      <c r="K228" s="177">
        <f t="shared" si="2"/>
        <v>0</v>
      </c>
      <c r="L228" s="210"/>
    </row>
    <row r="229" ht="15.75" customHeight="1">
      <c r="A229" s="1"/>
      <c r="B229" s="203"/>
      <c r="C229" s="204"/>
      <c r="D229" s="205"/>
      <c r="E229" s="206"/>
      <c r="F229" s="207"/>
      <c r="G229" s="208"/>
      <c r="H229" s="174">
        <f t="shared" si="1"/>
        <v>0</v>
      </c>
      <c r="I229" s="209"/>
      <c r="J229" s="209"/>
      <c r="K229" s="177">
        <f t="shared" si="2"/>
        <v>0</v>
      </c>
      <c r="L229" s="210"/>
    </row>
    <row r="230" ht="15.75" customHeight="1">
      <c r="A230" s="1"/>
      <c r="B230" s="203"/>
      <c r="C230" s="204"/>
      <c r="D230" s="205"/>
      <c r="E230" s="206"/>
      <c r="F230" s="207"/>
      <c r="G230" s="208"/>
      <c r="H230" s="174">
        <f t="shared" si="1"/>
        <v>0</v>
      </c>
      <c r="I230" s="209"/>
      <c r="J230" s="209"/>
      <c r="K230" s="177">
        <f t="shared" si="2"/>
        <v>0</v>
      </c>
      <c r="L230" s="210"/>
    </row>
    <row r="231" ht="15.75" customHeight="1">
      <c r="A231" s="1"/>
      <c r="B231" s="203"/>
      <c r="C231" s="204"/>
      <c r="D231" s="205"/>
      <c r="E231" s="206"/>
      <c r="F231" s="207"/>
      <c r="G231" s="208"/>
      <c r="H231" s="174">
        <f t="shared" si="1"/>
        <v>0</v>
      </c>
      <c r="I231" s="209"/>
      <c r="J231" s="209"/>
      <c r="K231" s="177">
        <f t="shared" si="2"/>
        <v>0</v>
      </c>
      <c r="L231" s="210"/>
    </row>
    <row r="232" ht="15.75" customHeight="1">
      <c r="A232" s="1"/>
      <c r="B232" s="203"/>
      <c r="C232" s="204"/>
      <c r="D232" s="205"/>
      <c r="E232" s="206"/>
      <c r="F232" s="207"/>
      <c r="G232" s="208"/>
      <c r="H232" s="174">
        <f t="shared" si="1"/>
        <v>0</v>
      </c>
      <c r="I232" s="209"/>
      <c r="J232" s="209"/>
      <c r="K232" s="177">
        <f t="shared" si="2"/>
        <v>0</v>
      </c>
      <c r="L232" s="210"/>
    </row>
    <row r="233" ht="15.75" customHeight="1">
      <c r="A233" s="1"/>
      <c r="B233" s="203"/>
      <c r="C233" s="204"/>
      <c r="D233" s="205"/>
      <c r="E233" s="206"/>
      <c r="F233" s="207"/>
      <c r="G233" s="208"/>
      <c r="H233" s="174">
        <f t="shared" si="1"/>
        <v>0</v>
      </c>
      <c r="I233" s="209"/>
      <c r="J233" s="209"/>
      <c r="K233" s="177">
        <f t="shared" si="2"/>
        <v>0</v>
      </c>
      <c r="L233" s="210"/>
    </row>
    <row r="234" ht="15.75" customHeight="1">
      <c r="A234" s="1"/>
      <c r="B234" s="203"/>
      <c r="C234" s="204"/>
      <c r="D234" s="205"/>
      <c r="E234" s="206"/>
      <c r="F234" s="207"/>
      <c r="G234" s="208"/>
      <c r="H234" s="174">
        <f t="shared" si="1"/>
        <v>0</v>
      </c>
      <c r="I234" s="209"/>
      <c r="J234" s="209"/>
      <c r="K234" s="177">
        <f t="shared" si="2"/>
        <v>0</v>
      </c>
      <c r="L234" s="210"/>
    </row>
    <row r="235" ht="15.75" customHeight="1">
      <c r="A235" s="1"/>
      <c r="B235" s="203"/>
      <c r="C235" s="204"/>
      <c r="D235" s="205"/>
      <c r="E235" s="206"/>
      <c r="F235" s="207"/>
      <c r="G235" s="208"/>
      <c r="H235" s="174">
        <f t="shared" si="1"/>
        <v>0</v>
      </c>
      <c r="I235" s="209"/>
      <c r="J235" s="209"/>
      <c r="K235" s="177">
        <f t="shared" si="2"/>
        <v>0</v>
      </c>
      <c r="L235" s="210"/>
    </row>
    <row r="236" ht="15.75" customHeight="1">
      <c r="A236" s="1"/>
      <c r="B236" s="203"/>
      <c r="C236" s="204"/>
      <c r="D236" s="205"/>
      <c r="E236" s="206"/>
      <c r="F236" s="207"/>
      <c r="G236" s="208"/>
      <c r="H236" s="174">
        <f t="shared" si="1"/>
        <v>0</v>
      </c>
      <c r="I236" s="209"/>
      <c r="J236" s="209"/>
      <c r="K236" s="177">
        <f t="shared" si="2"/>
        <v>0</v>
      </c>
      <c r="L236" s="210"/>
    </row>
    <row r="237" ht="15.75" customHeight="1">
      <c r="A237" s="1"/>
      <c r="B237" s="203"/>
      <c r="C237" s="204"/>
      <c r="D237" s="205"/>
      <c r="E237" s="206"/>
      <c r="F237" s="207"/>
      <c r="G237" s="208"/>
      <c r="H237" s="174">
        <f t="shared" si="1"/>
        <v>0</v>
      </c>
      <c r="I237" s="209"/>
      <c r="J237" s="209"/>
      <c r="K237" s="177">
        <f t="shared" si="2"/>
        <v>0</v>
      </c>
      <c r="L237" s="210"/>
    </row>
    <row r="238" ht="15.75" customHeight="1">
      <c r="A238" s="1"/>
      <c r="B238" s="203"/>
      <c r="C238" s="204"/>
      <c r="D238" s="205"/>
      <c r="E238" s="206"/>
      <c r="F238" s="207"/>
      <c r="G238" s="208"/>
      <c r="H238" s="174">
        <f t="shared" si="1"/>
        <v>0</v>
      </c>
      <c r="I238" s="209"/>
      <c r="J238" s="209"/>
      <c r="K238" s="177">
        <f t="shared" si="2"/>
        <v>0</v>
      </c>
      <c r="L238" s="210"/>
    </row>
    <row r="239" ht="15.75" customHeight="1">
      <c r="A239" s="1"/>
      <c r="B239" s="203"/>
      <c r="C239" s="204"/>
      <c r="D239" s="205"/>
      <c r="E239" s="206"/>
      <c r="F239" s="207"/>
      <c r="G239" s="208"/>
      <c r="H239" s="174">
        <f t="shared" si="1"/>
        <v>0</v>
      </c>
      <c r="I239" s="209"/>
      <c r="J239" s="209"/>
      <c r="K239" s="177">
        <f t="shared" si="2"/>
        <v>0</v>
      </c>
      <c r="L239" s="210"/>
    </row>
    <row r="240" ht="15.75" customHeight="1">
      <c r="A240" s="1"/>
      <c r="B240" s="203"/>
      <c r="C240" s="204"/>
      <c r="D240" s="205"/>
      <c r="E240" s="206"/>
      <c r="F240" s="207"/>
      <c r="G240" s="208"/>
      <c r="H240" s="174">
        <f t="shared" si="1"/>
        <v>0</v>
      </c>
      <c r="I240" s="209"/>
      <c r="J240" s="209"/>
      <c r="K240" s="177">
        <f t="shared" si="2"/>
        <v>0</v>
      </c>
      <c r="L240" s="210"/>
    </row>
    <row r="241" ht="15.75" customHeight="1">
      <c r="A241" s="1"/>
      <c r="B241" s="203"/>
      <c r="C241" s="204"/>
      <c r="D241" s="205"/>
      <c r="E241" s="206"/>
      <c r="F241" s="207"/>
      <c r="G241" s="208"/>
      <c r="H241" s="174">
        <f t="shared" si="1"/>
        <v>0</v>
      </c>
      <c r="I241" s="209"/>
      <c r="J241" s="209"/>
      <c r="K241" s="177">
        <f t="shared" si="2"/>
        <v>0</v>
      </c>
      <c r="L241" s="210"/>
    </row>
    <row r="242" ht="15.75" customHeight="1">
      <c r="A242" s="1"/>
      <c r="B242" s="203"/>
      <c r="C242" s="204"/>
      <c r="D242" s="205"/>
      <c r="E242" s="206"/>
      <c r="F242" s="207"/>
      <c r="G242" s="208"/>
      <c r="H242" s="174">
        <f t="shared" si="1"/>
        <v>0</v>
      </c>
      <c r="I242" s="209"/>
      <c r="J242" s="209"/>
      <c r="K242" s="177">
        <f t="shared" si="2"/>
        <v>0</v>
      </c>
      <c r="L242" s="210"/>
    </row>
    <row r="243" ht="15.75" customHeight="1">
      <c r="A243" s="1"/>
      <c r="B243" s="203"/>
      <c r="C243" s="204"/>
      <c r="D243" s="205"/>
      <c r="E243" s="206"/>
      <c r="F243" s="207"/>
      <c r="G243" s="208"/>
      <c r="H243" s="174">
        <f t="shared" si="1"/>
        <v>0</v>
      </c>
      <c r="I243" s="209"/>
      <c r="J243" s="209"/>
      <c r="K243" s="177">
        <f t="shared" si="2"/>
        <v>0</v>
      </c>
      <c r="L243" s="210"/>
    </row>
    <row r="244" ht="15.75" customHeight="1">
      <c r="A244" s="1"/>
      <c r="B244" s="203"/>
      <c r="C244" s="204"/>
      <c r="D244" s="205"/>
      <c r="E244" s="206"/>
      <c r="F244" s="207"/>
      <c r="G244" s="208"/>
      <c r="H244" s="174">
        <f t="shared" si="1"/>
        <v>0</v>
      </c>
      <c r="I244" s="209"/>
      <c r="J244" s="209"/>
      <c r="K244" s="177">
        <f t="shared" si="2"/>
        <v>0</v>
      </c>
      <c r="L244" s="210"/>
    </row>
    <row r="245" ht="15.75" customHeight="1">
      <c r="A245" s="1"/>
      <c r="B245" s="203"/>
      <c r="C245" s="204"/>
      <c r="D245" s="205"/>
      <c r="E245" s="206"/>
      <c r="F245" s="207"/>
      <c r="G245" s="208"/>
      <c r="H245" s="174">
        <f t="shared" si="1"/>
        <v>0</v>
      </c>
      <c r="I245" s="209"/>
      <c r="J245" s="209"/>
      <c r="K245" s="177">
        <f t="shared" si="2"/>
        <v>0</v>
      </c>
      <c r="L245" s="210"/>
    </row>
    <row r="246" ht="15.75" customHeight="1">
      <c r="A246" s="1"/>
      <c r="B246" s="203"/>
      <c r="C246" s="204"/>
      <c r="D246" s="205"/>
      <c r="E246" s="206"/>
      <c r="F246" s="207"/>
      <c r="G246" s="208"/>
      <c r="H246" s="174">
        <f t="shared" si="1"/>
        <v>0</v>
      </c>
      <c r="I246" s="209"/>
      <c r="J246" s="209"/>
      <c r="K246" s="177">
        <f t="shared" si="2"/>
        <v>0</v>
      </c>
      <c r="L246" s="210"/>
    </row>
    <row r="247" ht="15.75" customHeight="1">
      <c r="A247" s="1"/>
      <c r="B247" s="203"/>
      <c r="C247" s="204"/>
      <c r="D247" s="205"/>
      <c r="E247" s="206"/>
      <c r="F247" s="207"/>
      <c r="G247" s="208"/>
      <c r="H247" s="174">
        <f t="shared" si="1"/>
        <v>0</v>
      </c>
      <c r="I247" s="209"/>
      <c r="J247" s="209"/>
      <c r="K247" s="177">
        <f t="shared" si="2"/>
        <v>0</v>
      </c>
      <c r="L247" s="210"/>
    </row>
    <row r="248" ht="15.75" customHeight="1">
      <c r="A248" s="1"/>
      <c r="B248" s="203"/>
      <c r="C248" s="204"/>
      <c r="D248" s="205"/>
      <c r="E248" s="206"/>
      <c r="F248" s="207"/>
      <c r="G248" s="208"/>
      <c r="H248" s="174">
        <f t="shared" si="1"/>
        <v>0</v>
      </c>
      <c r="I248" s="209"/>
      <c r="J248" s="209"/>
      <c r="K248" s="177">
        <f t="shared" si="2"/>
        <v>0</v>
      </c>
      <c r="L248" s="210"/>
    </row>
    <row r="249" ht="15.75" customHeight="1">
      <c r="A249" s="1"/>
      <c r="B249" s="203"/>
      <c r="C249" s="204"/>
      <c r="D249" s="205"/>
      <c r="E249" s="206"/>
      <c r="F249" s="207"/>
      <c r="G249" s="208"/>
      <c r="H249" s="174">
        <f t="shared" si="1"/>
        <v>0</v>
      </c>
      <c r="I249" s="209"/>
      <c r="J249" s="209"/>
      <c r="K249" s="177">
        <f t="shared" si="2"/>
        <v>0</v>
      </c>
      <c r="L249" s="210"/>
    </row>
    <row r="250" ht="15.75" customHeight="1">
      <c r="A250" s="1"/>
      <c r="B250" s="203"/>
      <c r="C250" s="204"/>
      <c r="D250" s="205"/>
      <c r="E250" s="206"/>
      <c r="F250" s="207"/>
      <c r="G250" s="208"/>
      <c r="H250" s="174">
        <f t="shared" si="1"/>
        <v>0</v>
      </c>
      <c r="I250" s="209"/>
      <c r="J250" s="209"/>
      <c r="K250" s="177">
        <f t="shared" si="2"/>
        <v>0</v>
      </c>
      <c r="L250" s="210"/>
    </row>
    <row r="251" ht="15.75" customHeight="1">
      <c r="A251" s="1"/>
      <c r="B251" s="203"/>
      <c r="C251" s="204"/>
      <c r="D251" s="205"/>
      <c r="E251" s="206"/>
      <c r="F251" s="207"/>
      <c r="G251" s="208"/>
      <c r="H251" s="174">
        <f t="shared" si="1"/>
        <v>0</v>
      </c>
      <c r="I251" s="209"/>
      <c r="J251" s="209"/>
      <c r="K251" s="177">
        <f t="shared" si="2"/>
        <v>0</v>
      </c>
      <c r="L251" s="210"/>
    </row>
    <row r="252" ht="15.75" customHeight="1">
      <c r="A252" s="1"/>
      <c r="B252" s="203"/>
      <c r="C252" s="204"/>
      <c r="D252" s="205"/>
      <c r="E252" s="206"/>
      <c r="F252" s="207"/>
      <c r="G252" s="208"/>
      <c r="H252" s="174">
        <f t="shared" si="1"/>
        <v>0</v>
      </c>
      <c r="I252" s="209"/>
      <c r="J252" s="209"/>
      <c r="K252" s="177">
        <f t="shared" si="2"/>
        <v>0</v>
      </c>
      <c r="L252" s="210"/>
    </row>
    <row r="253" ht="15.75" customHeight="1">
      <c r="A253" s="1"/>
      <c r="B253" s="203"/>
      <c r="C253" s="204"/>
      <c r="D253" s="205"/>
      <c r="E253" s="206"/>
      <c r="F253" s="207"/>
      <c r="G253" s="208"/>
      <c r="H253" s="174">
        <f t="shared" si="1"/>
        <v>0</v>
      </c>
      <c r="I253" s="209"/>
      <c r="J253" s="209"/>
      <c r="K253" s="177">
        <f t="shared" si="2"/>
        <v>0</v>
      </c>
      <c r="L253" s="210"/>
    </row>
    <row r="254" ht="15.75" customHeight="1">
      <c r="A254" s="1"/>
      <c r="B254" s="203"/>
      <c r="C254" s="204"/>
      <c r="D254" s="205"/>
      <c r="E254" s="206"/>
      <c r="F254" s="207"/>
      <c r="G254" s="208"/>
      <c r="H254" s="174">
        <f t="shared" si="1"/>
        <v>0</v>
      </c>
      <c r="I254" s="209"/>
      <c r="J254" s="209"/>
      <c r="K254" s="177">
        <f t="shared" si="2"/>
        <v>0</v>
      </c>
      <c r="L254" s="210"/>
    </row>
    <row r="255" ht="15.75" customHeight="1">
      <c r="A255" s="1"/>
      <c r="B255" s="203"/>
      <c r="C255" s="204"/>
      <c r="D255" s="205"/>
      <c r="E255" s="206"/>
      <c r="F255" s="207"/>
      <c r="G255" s="208"/>
      <c r="H255" s="174">
        <f t="shared" si="1"/>
        <v>0</v>
      </c>
      <c r="I255" s="209"/>
      <c r="J255" s="209"/>
      <c r="K255" s="177">
        <f t="shared" si="2"/>
        <v>0</v>
      </c>
      <c r="L255" s="210"/>
    </row>
    <row r="256" ht="15.75" customHeight="1">
      <c r="A256" s="1"/>
      <c r="B256" s="203"/>
      <c r="C256" s="204"/>
      <c r="D256" s="205"/>
      <c r="E256" s="206"/>
      <c r="F256" s="207"/>
      <c r="G256" s="208"/>
      <c r="H256" s="174">
        <f t="shared" si="1"/>
        <v>0</v>
      </c>
      <c r="I256" s="209"/>
      <c r="J256" s="209"/>
      <c r="K256" s="177">
        <f t="shared" si="2"/>
        <v>0</v>
      </c>
      <c r="L256" s="210"/>
    </row>
    <row r="257" ht="15.75" customHeight="1">
      <c r="A257" s="1"/>
      <c r="B257" s="203"/>
      <c r="C257" s="204"/>
      <c r="D257" s="205"/>
      <c r="E257" s="206"/>
      <c r="F257" s="207"/>
      <c r="G257" s="208"/>
      <c r="H257" s="174">
        <f t="shared" si="1"/>
        <v>0</v>
      </c>
      <c r="I257" s="209"/>
      <c r="J257" s="209"/>
      <c r="K257" s="177">
        <f t="shared" si="2"/>
        <v>0</v>
      </c>
      <c r="L257" s="210"/>
    </row>
    <row r="258" ht="15.75" customHeight="1">
      <c r="A258" s="1"/>
      <c r="B258" s="203"/>
      <c r="C258" s="204"/>
      <c r="D258" s="205"/>
      <c r="E258" s="206"/>
      <c r="F258" s="207"/>
      <c r="G258" s="208"/>
      <c r="H258" s="174">
        <f t="shared" si="1"/>
        <v>0</v>
      </c>
      <c r="I258" s="209"/>
      <c r="J258" s="209"/>
      <c r="K258" s="177">
        <f t="shared" si="2"/>
        <v>0</v>
      </c>
      <c r="L258" s="210"/>
    </row>
    <row r="259" ht="15.75" customHeight="1">
      <c r="A259" s="1"/>
      <c r="B259" s="203"/>
      <c r="C259" s="204"/>
      <c r="D259" s="205"/>
      <c r="E259" s="206"/>
      <c r="F259" s="207"/>
      <c r="G259" s="208"/>
      <c r="H259" s="174">
        <f t="shared" si="1"/>
        <v>0</v>
      </c>
      <c r="I259" s="209"/>
      <c r="J259" s="209"/>
      <c r="K259" s="177">
        <f t="shared" si="2"/>
        <v>0</v>
      </c>
      <c r="L259" s="210"/>
    </row>
    <row r="260" ht="15.75" customHeight="1">
      <c r="A260" s="1"/>
      <c r="B260" s="203"/>
      <c r="C260" s="204"/>
      <c r="D260" s="205"/>
      <c r="E260" s="206"/>
      <c r="F260" s="207"/>
      <c r="G260" s="208"/>
      <c r="H260" s="174">
        <f t="shared" si="1"/>
        <v>0</v>
      </c>
      <c r="I260" s="209"/>
      <c r="J260" s="209"/>
      <c r="K260" s="177">
        <f t="shared" si="2"/>
        <v>0</v>
      </c>
      <c r="L260" s="210"/>
    </row>
    <row r="261" ht="15.75" customHeight="1">
      <c r="A261" s="1"/>
      <c r="B261" s="203"/>
      <c r="C261" s="204"/>
      <c r="D261" s="205"/>
      <c r="E261" s="206"/>
      <c r="F261" s="207"/>
      <c r="G261" s="208"/>
      <c r="H261" s="174">
        <f t="shared" si="1"/>
        <v>0</v>
      </c>
      <c r="I261" s="209"/>
      <c r="J261" s="209"/>
      <c r="K261" s="177">
        <f t="shared" si="2"/>
        <v>0</v>
      </c>
      <c r="L261" s="210"/>
    </row>
    <row r="262" ht="15.75" customHeight="1">
      <c r="A262" s="1"/>
      <c r="B262" s="203"/>
      <c r="C262" s="204"/>
      <c r="D262" s="205"/>
      <c r="E262" s="206"/>
      <c r="F262" s="207"/>
      <c r="G262" s="208"/>
      <c r="H262" s="174">
        <f t="shared" si="1"/>
        <v>0</v>
      </c>
      <c r="I262" s="209"/>
      <c r="J262" s="209"/>
      <c r="K262" s="177">
        <f t="shared" si="2"/>
        <v>0</v>
      </c>
      <c r="L262" s="210"/>
    </row>
    <row r="263" ht="15.75" customHeight="1">
      <c r="A263" s="1"/>
      <c r="B263" s="203"/>
      <c r="C263" s="204"/>
      <c r="D263" s="205"/>
      <c r="E263" s="206"/>
      <c r="F263" s="207"/>
      <c r="G263" s="208"/>
      <c r="H263" s="174">
        <f t="shared" si="1"/>
        <v>0</v>
      </c>
      <c r="I263" s="209"/>
      <c r="J263" s="209"/>
      <c r="K263" s="177">
        <f t="shared" si="2"/>
        <v>0</v>
      </c>
      <c r="L263" s="210"/>
    </row>
    <row r="264" ht="15.75" customHeight="1">
      <c r="A264" s="1"/>
      <c r="B264" s="203"/>
      <c r="C264" s="204"/>
      <c r="D264" s="205"/>
      <c r="E264" s="206"/>
      <c r="F264" s="207"/>
      <c r="G264" s="208"/>
      <c r="H264" s="174">
        <f t="shared" si="1"/>
        <v>0</v>
      </c>
      <c r="I264" s="209"/>
      <c r="J264" s="209"/>
      <c r="K264" s="177">
        <f t="shared" si="2"/>
        <v>0</v>
      </c>
      <c r="L264" s="210"/>
    </row>
    <row r="265" ht="15.75" customHeight="1">
      <c r="A265" s="1"/>
      <c r="B265" s="203"/>
      <c r="C265" s="204"/>
      <c r="D265" s="205"/>
      <c r="E265" s="206"/>
      <c r="F265" s="207"/>
      <c r="G265" s="208"/>
      <c r="H265" s="174">
        <f t="shared" si="1"/>
        <v>0</v>
      </c>
      <c r="I265" s="209"/>
      <c r="J265" s="209"/>
      <c r="K265" s="177">
        <f t="shared" si="2"/>
        <v>0</v>
      </c>
      <c r="L265" s="210"/>
    </row>
    <row r="266" ht="15.75" customHeight="1">
      <c r="A266" s="1"/>
      <c r="B266" s="203"/>
      <c r="C266" s="204"/>
      <c r="D266" s="205"/>
      <c r="E266" s="206"/>
      <c r="F266" s="207"/>
      <c r="G266" s="208"/>
      <c r="H266" s="174">
        <f t="shared" si="1"/>
        <v>0</v>
      </c>
      <c r="I266" s="209"/>
      <c r="J266" s="209"/>
      <c r="K266" s="177">
        <f t="shared" si="2"/>
        <v>0</v>
      </c>
      <c r="L266" s="210"/>
    </row>
    <row r="267" ht="15.75" customHeight="1">
      <c r="A267" s="1"/>
      <c r="B267" s="203"/>
      <c r="C267" s="204"/>
      <c r="D267" s="205"/>
      <c r="E267" s="206"/>
      <c r="F267" s="207"/>
      <c r="G267" s="208"/>
      <c r="H267" s="174">
        <f t="shared" si="1"/>
        <v>0</v>
      </c>
      <c r="I267" s="209"/>
      <c r="J267" s="209"/>
      <c r="K267" s="177">
        <f t="shared" si="2"/>
        <v>0</v>
      </c>
      <c r="L267" s="210"/>
    </row>
    <row r="268" ht="15.75" customHeight="1">
      <c r="A268" s="1"/>
      <c r="B268" s="203"/>
      <c r="C268" s="204"/>
      <c r="D268" s="205"/>
      <c r="E268" s="206"/>
      <c r="F268" s="207"/>
      <c r="G268" s="208"/>
      <c r="H268" s="174">
        <f t="shared" si="1"/>
        <v>0</v>
      </c>
      <c r="I268" s="209"/>
      <c r="J268" s="209"/>
      <c r="K268" s="177">
        <f t="shared" si="2"/>
        <v>0</v>
      </c>
      <c r="L268" s="210"/>
    </row>
    <row r="269" ht="15.75" customHeight="1">
      <c r="A269" s="1"/>
      <c r="B269" s="203"/>
      <c r="C269" s="204"/>
      <c r="D269" s="205"/>
      <c r="E269" s="206"/>
      <c r="F269" s="207"/>
      <c r="G269" s="208"/>
      <c r="H269" s="174">
        <f t="shared" si="1"/>
        <v>0</v>
      </c>
      <c r="I269" s="209"/>
      <c r="J269" s="209"/>
      <c r="K269" s="177">
        <f t="shared" si="2"/>
        <v>0</v>
      </c>
      <c r="L269" s="210"/>
    </row>
    <row r="270" ht="15.75" customHeight="1">
      <c r="A270" s="1"/>
      <c r="B270" s="203"/>
      <c r="C270" s="204"/>
      <c r="D270" s="205"/>
      <c r="E270" s="206"/>
      <c r="F270" s="207"/>
      <c r="G270" s="208"/>
      <c r="H270" s="174">
        <f t="shared" si="1"/>
        <v>0</v>
      </c>
      <c r="I270" s="209"/>
      <c r="J270" s="209"/>
      <c r="K270" s="177">
        <f t="shared" si="2"/>
        <v>0</v>
      </c>
      <c r="L270" s="210"/>
    </row>
    <row r="271" ht="15.75" customHeight="1">
      <c r="A271" s="1"/>
      <c r="B271" s="203"/>
      <c r="C271" s="204"/>
      <c r="D271" s="205"/>
      <c r="E271" s="206"/>
      <c r="F271" s="207"/>
      <c r="G271" s="208"/>
      <c r="H271" s="174">
        <f t="shared" si="1"/>
        <v>0</v>
      </c>
      <c r="I271" s="209"/>
      <c r="J271" s="209"/>
      <c r="K271" s="177">
        <f t="shared" si="2"/>
        <v>0</v>
      </c>
      <c r="L271" s="210"/>
    </row>
    <row r="272" ht="15.75" customHeight="1">
      <c r="A272" s="1"/>
      <c r="B272" s="203"/>
      <c r="C272" s="204"/>
      <c r="D272" s="205"/>
      <c r="E272" s="206"/>
      <c r="F272" s="207"/>
      <c r="G272" s="208"/>
      <c r="H272" s="174">
        <f t="shared" si="1"/>
        <v>0</v>
      </c>
      <c r="I272" s="209"/>
      <c r="J272" s="209"/>
      <c r="K272" s="177">
        <f t="shared" si="2"/>
        <v>0</v>
      </c>
      <c r="L272" s="210"/>
    </row>
    <row r="273" ht="15.75" customHeight="1">
      <c r="A273" s="1"/>
      <c r="B273" s="203"/>
      <c r="C273" s="204"/>
      <c r="D273" s="205"/>
      <c r="E273" s="206"/>
      <c r="F273" s="207"/>
      <c r="G273" s="208"/>
      <c r="H273" s="174">
        <f t="shared" si="1"/>
        <v>0</v>
      </c>
      <c r="I273" s="209"/>
      <c r="J273" s="209"/>
      <c r="K273" s="177">
        <f t="shared" si="2"/>
        <v>0</v>
      </c>
      <c r="L273" s="210"/>
    </row>
    <row r="274" ht="15.75" customHeight="1">
      <c r="A274" s="1"/>
      <c r="B274" s="203"/>
      <c r="C274" s="204"/>
      <c r="D274" s="205"/>
      <c r="E274" s="206"/>
      <c r="F274" s="207"/>
      <c r="G274" s="208"/>
      <c r="H274" s="174">
        <f t="shared" si="1"/>
        <v>0</v>
      </c>
      <c r="I274" s="209"/>
      <c r="J274" s="209"/>
      <c r="K274" s="177">
        <f t="shared" si="2"/>
        <v>0</v>
      </c>
      <c r="L274" s="210"/>
    </row>
    <row r="275" ht="15.75" customHeight="1">
      <c r="A275" s="1"/>
      <c r="B275" s="203"/>
      <c r="C275" s="204"/>
      <c r="D275" s="205"/>
      <c r="E275" s="206"/>
      <c r="F275" s="207"/>
      <c r="G275" s="208"/>
      <c r="H275" s="174">
        <f t="shared" si="1"/>
        <v>0</v>
      </c>
      <c r="I275" s="209"/>
      <c r="J275" s="209"/>
      <c r="K275" s="177">
        <f t="shared" si="2"/>
        <v>0</v>
      </c>
      <c r="L275" s="210"/>
    </row>
    <row r="276" ht="15.75" customHeight="1">
      <c r="A276" s="1"/>
      <c r="B276" s="203"/>
      <c r="C276" s="204"/>
      <c r="D276" s="205"/>
      <c r="E276" s="206"/>
      <c r="F276" s="207"/>
      <c r="G276" s="208"/>
      <c r="H276" s="174">
        <f t="shared" si="1"/>
        <v>0</v>
      </c>
      <c r="I276" s="209"/>
      <c r="J276" s="209"/>
      <c r="K276" s="177">
        <f t="shared" si="2"/>
        <v>0</v>
      </c>
      <c r="L276" s="210"/>
    </row>
    <row r="277" ht="15.75" customHeight="1">
      <c r="A277" s="1"/>
      <c r="B277" s="203"/>
      <c r="C277" s="204"/>
      <c r="D277" s="205"/>
      <c r="E277" s="206"/>
      <c r="F277" s="207"/>
      <c r="G277" s="208"/>
      <c r="H277" s="174">
        <f t="shared" si="1"/>
        <v>0</v>
      </c>
      <c r="I277" s="209"/>
      <c r="J277" s="209"/>
      <c r="K277" s="177">
        <f t="shared" si="2"/>
        <v>0</v>
      </c>
      <c r="L277" s="210"/>
    </row>
    <row r="278" ht="15.75" customHeight="1">
      <c r="A278" s="1"/>
      <c r="B278" s="203"/>
      <c r="C278" s="204"/>
      <c r="D278" s="205"/>
      <c r="E278" s="206"/>
      <c r="F278" s="207"/>
      <c r="G278" s="208"/>
      <c r="H278" s="174">
        <f t="shared" si="1"/>
        <v>0</v>
      </c>
      <c r="I278" s="209"/>
      <c r="J278" s="209"/>
      <c r="K278" s="177">
        <f t="shared" si="2"/>
        <v>0</v>
      </c>
      <c r="L278" s="210"/>
    </row>
    <row r="279" ht="15.75" customHeight="1">
      <c r="A279" s="1"/>
      <c r="B279" s="203"/>
      <c r="C279" s="204"/>
      <c r="D279" s="205"/>
      <c r="E279" s="206"/>
      <c r="F279" s="207"/>
      <c r="G279" s="208"/>
      <c r="H279" s="174">
        <f t="shared" si="1"/>
        <v>0</v>
      </c>
      <c r="I279" s="209"/>
      <c r="J279" s="209"/>
      <c r="K279" s="177">
        <f t="shared" si="2"/>
        <v>0</v>
      </c>
      <c r="L279" s="210"/>
    </row>
    <row r="280" ht="15.75" customHeight="1">
      <c r="A280" s="1"/>
      <c r="B280" s="203"/>
      <c r="C280" s="204"/>
      <c r="D280" s="205"/>
      <c r="E280" s="206"/>
      <c r="F280" s="207"/>
      <c r="G280" s="208"/>
      <c r="H280" s="174">
        <f t="shared" si="1"/>
        <v>0</v>
      </c>
      <c r="I280" s="209"/>
      <c r="J280" s="209"/>
      <c r="K280" s="177">
        <f t="shared" si="2"/>
        <v>0</v>
      </c>
      <c r="L280" s="210"/>
    </row>
    <row r="281" ht="15.75" customHeight="1">
      <c r="A281" s="1"/>
      <c r="B281" s="203"/>
      <c r="C281" s="204"/>
      <c r="D281" s="205"/>
      <c r="E281" s="206"/>
      <c r="F281" s="207"/>
      <c r="G281" s="208"/>
      <c r="H281" s="174">
        <f t="shared" si="1"/>
        <v>0</v>
      </c>
      <c r="I281" s="209"/>
      <c r="J281" s="209"/>
      <c r="K281" s="177">
        <f t="shared" si="2"/>
        <v>0</v>
      </c>
      <c r="L281" s="210"/>
    </row>
    <row r="282" ht="15.75" customHeight="1">
      <c r="A282" s="1"/>
      <c r="B282" s="203"/>
      <c r="C282" s="204"/>
      <c r="D282" s="205"/>
      <c r="E282" s="206"/>
      <c r="F282" s="207"/>
      <c r="G282" s="208"/>
      <c r="H282" s="174">
        <f t="shared" si="1"/>
        <v>0</v>
      </c>
      <c r="I282" s="209"/>
      <c r="J282" s="209"/>
      <c r="K282" s="177">
        <f t="shared" si="2"/>
        <v>0</v>
      </c>
      <c r="L282" s="210"/>
    </row>
    <row r="283" ht="15.75" customHeight="1">
      <c r="A283" s="1"/>
      <c r="B283" s="203"/>
      <c r="C283" s="204"/>
      <c r="D283" s="205"/>
      <c r="E283" s="206"/>
      <c r="F283" s="207"/>
      <c r="G283" s="208"/>
      <c r="H283" s="174">
        <f t="shared" si="1"/>
        <v>0</v>
      </c>
      <c r="I283" s="209"/>
      <c r="J283" s="209"/>
      <c r="K283" s="177">
        <f t="shared" si="2"/>
        <v>0</v>
      </c>
      <c r="L283" s="210"/>
    </row>
    <row r="284" ht="15.75" customHeight="1">
      <c r="A284" s="1"/>
      <c r="B284" s="203"/>
      <c r="C284" s="204"/>
      <c r="D284" s="205"/>
      <c r="E284" s="206"/>
      <c r="F284" s="207"/>
      <c r="G284" s="208"/>
      <c r="H284" s="174">
        <f t="shared" si="1"/>
        <v>0</v>
      </c>
      <c r="I284" s="209"/>
      <c r="J284" s="209"/>
      <c r="K284" s="177">
        <f t="shared" si="2"/>
        <v>0</v>
      </c>
      <c r="L284" s="210"/>
    </row>
    <row r="285" ht="15.75" customHeight="1">
      <c r="A285" s="1"/>
      <c r="B285" s="203"/>
      <c r="C285" s="204"/>
      <c r="D285" s="205"/>
      <c r="E285" s="206"/>
      <c r="F285" s="207"/>
      <c r="G285" s="208"/>
      <c r="H285" s="174">
        <f t="shared" si="1"/>
        <v>0</v>
      </c>
      <c r="I285" s="209"/>
      <c r="J285" s="209"/>
      <c r="K285" s="177">
        <f t="shared" si="2"/>
        <v>0</v>
      </c>
      <c r="L285" s="210"/>
    </row>
    <row r="286" ht="15.75" customHeight="1">
      <c r="A286" s="1"/>
      <c r="B286" s="203"/>
      <c r="C286" s="204"/>
      <c r="D286" s="205"/>
      <c r="E286" s="206"/>
      <c r="F286" s="207"/>
      <c r="G286" s="208"/>
      <c r="H286" s="174">
        <f t="shared" si="1"/>
        <v>0</v>
      </c>
      <c r="I286" s="209"/>
      <c r="J286" s="209"/>
      <c r="K286" s="177">
        <f t="shared" si="2"/>
        <v>0</v>
      </c>
      <c r="L286" s="210"/>
    </row>
    <row r="287" ht="15.75" customHeight="1">
      <c r="A287" s="1"/>
      <c r="B287" s="203"/>
      <c r="C287" s="204"/>
      <c r="D287" s="205"/>
      <c r="E287" s="206"/>
      <c r="F287" s="207"/>
      <c r="G287" s="208"/>
      <c r="H287" s="174">
        <f t="shared" si="1"/>
        <v>0</v>
      </c>
      <c r="I287" s="209"/>
      <c r="J287" s="209"/>
      <c r="K287" s="177">
        <f t="shared" si="2"/>
        <v>0</v>
      </c>
      <c r="L287" s="210"/>
    </row>
    <row r="288" ht="15.75" customHeight="1">
      <c r="A288" s="1"/>
      <c r="B288" s="203"/>
      <c r="C288" s="204"/>
      <c r="D288" s="205"/>
      <c r="E288" s="206"/>
      <c r="F288" s="207"/>
      <c r="G288" s="208"/>
      <c r="H288" s="174">
        <f t="shared" si="1"/>
        <v>0</v>
      </c>
      <c r="I288" s="209"/>
      <c r="J288" s="209"/>
      <c r="K288" s="177">
        <f t="shared" si="2"/>
        <v>0</v>
      </c>
      <c r="L288" s="210"/>
    </row>
    <row r="289" ht="15.75" customHeight="1">
      <c r="A289" s="1"/>
      <c r="B289" s="203"/>
      <c r="C289" s="204"/>
      <c r="D289" s="205"/>
      <c r="E289" s="206"/>
      <c r="F289" s="207"/>
      <c r="G289" s="208"/>
      <c r="H289" s="174">
        <f t="shared" si="1"/>
        <v>0</v>
      </c>
      <c r="I289" s="209"/>
      <c r="J289" s="209"/>
      <c r="K289" s="177">
        <f t="shared" si="2"/>
        <v>0</v>
      </c>
      <c r="L289" s="210"/>
    </row>
    <row r="290" ht="15.75" customHeight="1">
      <c r="A290" s="1"/>
      <c r="B290" s="203"/>
      <c r="C290" s="204"/>
      <c r="D290" s="205"/>
      <c r="E290" s="206"/>
      <c r="F290" s="207"/>
      <c r="G290" s="208"/>
      <c r="H290" s="174">
        <f t="shared" si="1"/>
        <v>0</v>
      </c>
      <c r="I290" s="209"/>
      <c r="J290" s="209"/>
      <c r="K290" s="177">
        <f t="shared" si="2"/>
        <v>0</v>
      </c>
      <c r="L290" s="210"/>
    </row>
    <row r="291" ht="15.75" customHeight="1">
      <c r="A291" s="1"/>
      <c r="B291" s="203"/>
      <c r="C291" s="204"/>
      <c r="D291" s="205"/>
      <c r="E291" s="206"/>
      <c r="F291" s="207"/>
      <c r="G291" s="208"/>
      <c r="H291" s="174">
        <f t="shared" si="1"/>
        <v>0</v>
      </c>
      <c r="I291" s="209"/>
      <c r="J291" s="209"/>
      <c r="K291" s="177">
        <f t="shared" si="2"/>
        <v>0</v>
      </c>
      <c r="L291" s="210"/>
    </row>
    <row r="292" ht="15.75" customHeight="1">
      <c r="A292" s="1"/>
      <c r="B292" s="203"/>
      <c r="C292" s="204"/>
      <c r="D292" s="205"/>
      <c r="E292" s="206"/>
      <c r="F292" s="207"/>
      <c r="G292" s="208"/>
      <c r="H292" s="174">
        <f t="shared" si="1"/>
        <v>0</v>
      </c>
      <c r="I292" s="209"/>
      <c r="J292" s="209"/>
      <c r="K292" s="177">
        <f t="shared" si="2"/>
        <v>0</v>
      </c>
      <c r="L292" s="210"/>
    </row>
    <row r="293" ht="15.75" customHeight="1">
      <c r="A293" s="1"/>
      <c r="B293" s="203"/>
      <c r="C293" s="204"/>
      <c r="D293" s="205"/>
      <c r="E293" s="206"/>
      <c r="F293" s="207"/>
      <c r="G293" s="208"/>
      <c r="H293" s="174">
        <f t="shared" si="1"/>
        <v>0</v>
      </c>
      <c r="I293" s="209"/>
      <c r="J293" s="209"/>
      <c r="K293" s="177">
        <f t="shared" si="2"/>
        <v>0</v>
      </c>
      <c r="L293" s="210"/>
    </row>
    <row r="294" ht="15.75" customHeight="1">
      <c r="A294" s="1"/>
      <c r="B294" s="203"/>
      <c r="C294" s="204"/>
      <c r="D294" s="205"/>
      <c r="E294" s="206"/>
      <c r="F294" s="207"/>
      <c r="G294" s="208"/>
      <c r="H294" s="174">
        <f t="shared" si="1"/>
        <v>0</v>
      </c>
      <c r="I294" s="209"/>
      <c r="J294" s="209"/>
      <c r="K294" s="177">
        <f t="shared" si="2"/>
        <v>0</v>
      </c>
      <c r="L294" s="210"/>
    </row>
    <row r="295" ht="15.75" customHeight="1">
      <c r="A295" s="1"/>
      <c r="B295" s="203"/>
      <c r="C295" s="204"/>
      <c r="D295" s="205"/>
      <c r="E295" s="206"/>
      <c r="F295" s="207"/>
      <c r="G295" s="208"/>
      <c r="H295" s="174">
        <f t="shared" si="1"/>
        <v>0</v>
      </c>
      <c r="I295" s="209"/>
      <c r="J295" s="209"/>
      <c r="K295" s="177">
        <f t="shared" si="2"/>
        <v>0</v>
      </c>
      <c r="L295" s="210"/>
    </row>
    <row r="296" ht="15.75" customHeight="1">
      <c r="A296" s="1"/>
      <c r="B296" s="203"/>
      <c r="C296" s="204"/>
      <c r="D296" s="205"/>
      <c r="E296" s="206"/>
      <c r="F296" s="207"/>
      <c r="G296" s="208"/>
      <c r="H296" s="174">
        <f t="shared" si="1"/>
        <v>0</v>
      </c>
      <c r="I296" s="209"/>
      <c r="J296" s="209"/>
      <c r="K296" s="177">
        <f t="shared" si="2"/>
        <v>0</v>
      </c>
      <c r="L296" s="210"/>
    </row>
    <row r="297" ht="15.75" customHeight="1">
      <c r="A297" s="1"/>
      <c r="B297" s="203"/>
      <c r="C297" s="204"/>
      <c r="D297" s="205"/>
      <c r="E297" s="206"/>
      <c r="F297" s="207"/>
      <c r="G297" s="208"/>
      <c r="H297" s="174">
        <f t="shared" si="1"/>
        <v>0</v>
      </c>
      <c r="I297" s="209"/>
      <c r="J297" s="209"/>
      <c r="K297" s="177">
        <f t="shared" si="2"/>
        <v>0</v>
      </c>
      <c r="L297" s="210"/>
    </row>
    <row r="298" ht="15.75" customHeight="1">
      <c r="A298" s="1"/>
      <c r="B298" s="203"/>
      <c r="C298" s="204"/>
      <c r="D298" s="205"/>
      <c r="E298" s="206"/>
      <c r="F298" s="207"/>
      <c r="G298" s="208"/>
      <c r="H298" s="174">
        <f t="shared" si="1"/>
        <v>0</v>
      </c>
      <c r="I298" s="209"/>
      <c r="J298" s="209"/>
      <c r="K298" s="177">
        <f t="shared" si="2"/>
        <v>0</v>
      </c>
      <c r="L298" s="210"/>
    </row>
    <row r="299" ht="15.75" customHeight="1">
      <c r="A299" s="1"/>
      <c r="B299" s="203"/>
      <c r="C299" s="204"/>
      <c r="D299" s="205"/>
      <c r="E299" s="206"/>
      <c r="F299" s="207"/>
      <c r="G299" s="208"/>
      <c r="H299" s="174">
        <f t="shared" si="1"/>
        <v>0</v>
      </c>
      <c r="I299" s="209"/>
      <c r="J299" s="209"/>
      <c r="K299" s="177">
        <f t="shared" si="2"/>
        <v>0</v>
      </c>
      <c r="L299" s="210"/>
    </row>
    <row r="300" ht="15.75" customHeight="1">
      <c r="A300" s="1"/>
      <c r="B300" s="203"/>
      <c r="C300" s="204"/>
      <c r="D300" s="205"/>
      <c r="E300" s="206"/>
      <c r="F300" s="207"/>
      <c r="G300" s="208"/>
      <c r="H300" s="174">
        <f t="shared" si="1"/>
        <v>0</v>
      </c>
      <c r="I300" s="209"/>
      <c r="J300" s="209"/>
      <c r="K300" s="177">
        <f t="shared" si="2"/>
        <v>0</v>
      </c>
      <c r="L300" s="210"/>
    </row>
    <row r="301" ht="15.75" customHeight="1">
      <c r="A301" s="1"/>
      <c r="B301" s="203"/>
      <c r="C301" s="204"/>
      <c r="D301" s="205"/>
      <c r="E301" s="206"/>
      <c r="F301" s="207"/>
      <c r="G301" s="208"/>
      <c r="H301" s="174">
        <f t="shared" si="1"/>
        <v>0</v>
      </c>
      <c r="I301" s="209"/>
      <c r="J301" s="209"/>
      <c r="K301" s="177">
        <f t="shared" si="2"/>
        <v>0</v>
      </c>
      <c r="L301" s="210"/>
    </row>
    <row r="302" ht="15.75" customHeight="1">
      <c r="A302" s="1"/>
      <c r="B302" s="203"/>
      <c r="C302" s="204"/>
      <c r="D302" s="205"/>
      <c r="E302" s="206"/>
      <c r="F302" s="207"/>
      <c r="G302" s="208"/>
      <c r="H302" s="174">
        <f t="shared" si="1"/>
        <v>0</v>
      </c>
      <c r="I302" s="209"/>
      <c r="J302" s="209"/>
      <c r="K302" s="177">
        <f t="shared" si="2"/>
        <v>0</v>
      </c>
      <c r="L302" s="210"/>
    </row>
    <row r="303" ht="15.75" customHeight="1">
      <c r="A303" s="1"/>
      <c r="B303" s="203"/>
      <c r="C303" s="204"/>
      <c r="D303" s="205"/>
      <c r="E303" s="206"/>
      <c r="F303" s="207"/>
      <c r="G303" s="208"/>
      <c r="H303" s="174">
        <f t="shared" si="1"/>
        <v>0</v>
      </c>
      <c r="I303" s="209"/>
      <c r="J303" s="209"/>
      <c r="K303" s="177">
        <f t="shared" si="2"/>
        <v>0</v>
      </c>
      <c r="L303" s="210"/>
    </row>
    <row r="304" ht="15.75" customHeight="1">
      <c r="A304" s="1"/>
      <c r="B304" s="203"/>
      <c r="C304" s="204"/>
      <c r="D304" s="205"/>
      <c r="E304" s="206"/>
      <c r="F304" s="207"/>
      <c r="G304" s="208"/>
      <c r="H304" s="174">
        <f t="shared" si="1"/>
        <v>0</v>
      </c>
      <c r="I304" s="209"/>
      <c r="J304" s="209"/>
      <c r="K304" s="177">
        <f t="shared" si="2"/>
        <v>0</v>
      </c>
      <c r="L304" s="210"/>
    </row>
    <row r="305" ht="15.75" customHeight="1">
      <c r="A305" s="1"/>
      <c r="B305" s="203"/>
      <c r="C305" s="204"/>
      <c r="D305" s="205"/>
      <c r="E305" s="206"/>
      <c r="F305" s="207"/>
      <c r="G305" s="208"/>
      <c r="H305" s="174">
        <f t="shared" si="1"/>
        <v>0</v>
      </c>
      <c r="I305" s="209"/>
      <c r="J305" s="209"/>
      <c r="K305" s="177">
        <f t="shared" si="2"/>
        <v>0</v>
      </c>
      <c r="L305" s="210"/>
    </row>
    <row r="306" ht="15.75" customHeight="1">
      <c r="A306" s="1"/>
      <c r="B306" s="203"/>
      <c r="C306" s="204"/>
      <c r="D306" s="205"/>
      <c r="E306" s="206"/>
      <c r="F306" s="207"/>
      <c r="G306" s="208"/>
      <c r="H306" s="174">
        <f t="shared" si="1"/>
        <v>0</v>
      </c>
      <c r="I306" s="209"/>
      <c r="J306" s="209"/>
      <c r="K306" s="177">
        <f t="shared" si="2"/>
        <v>0</v>
      </c>
      <c r="L306" s="210"/>
    </row>
    <row r="307" ht="15.75" customHeight="1">
      <c r="A307" s="1"/>
      <c r="B307" s="203"/>
      <c r="C307" s="204"/>
      <c r="D307" s="205"/>
      <c r="E307" s="206"/>
      <c r="F307" s="207"/>
      <c r="G307" s="208"/>
      <c r="H307" s="174">
        <f t="shared" si="1"/>
        <v>0</v>
      </c>
      <c r="I307" s="209"/>
      <c r="J307" s="209"/>
      <c r="K307" s="177">
        <f t="shared" si="2"/>
        <v>0</v>
      </c>
      <c r="L307" s="210"/>
    </row>
    <row r="308" ht="15.75" customHeight="1">
      <c r="A308" s="1"/>
      <c r="B308" s="203"/>
      <c r="C308" s="204"/>
      <c r="D308" s="205"/>
      <c r="E308" s="206"/>
      <c r="F308" s="207"/>
      <c r="G308" s="208"/>
      <c r="H308" s="174">
        <f t="shared" si="1"/>
        <v>0</v>
      </c>
      <c r="I308" s="209"/>
      <c r="J308" s="209"/>
      <c r="K308" s="177">
        <f t="shared" si="2"/>
        <v>0</v>
      </c>
      <c r="L308" s="210"/>
    </row>
    <row r="309" ht="15.75" customHeight="1">
      <c r="A309" s="1"/>
      <c r="B309" s="203"/>
      <c r="C309" s="204"/>
      <c r="D309" s="205"/>
      <c r="E309" s="206"/>
      <c r="F309" s="207"/>
      <c r="G309" s="208"/>
      <c r="H309" s="174">
        <f t="shared" si="1"/>
        <v>0</v>
      </c>
      <c r="I309" s="209"/>
      <c r="J309" s="209"/>
      <c r="K309" s="177">
        <f t="shared" si="2"/>
        <v>0</v>
      </c>
      <c r="L309" s="210"/>
    </row>
    <row r="310" ht="15.75" customHeight="1">
      <c r="A310" s="1"/>
      <c r="B310" s="203"/>
      <c r="C310" s="204"/>
      <c r="D310" s="205"/>
      <c r="E310" s="206"/>
      <c r="F310" s="207"/>
      <c r="G310" s="208"/>
      <c r="H310" s="174">
        <f t="shared" si="1"/>
        <v>0</v>
      </c>
      <c r="I310" s="209"/>
      <c r="J310" s="209"/>
      <c r="K310" s="177">
        <f t="shared" si="2"/>
        <v>0</v>
      </c>
      <c r="L310" s="210"/>
    </row>
    <row r="311" ht="15.75" customHeight="1">
      <c r="A311" s="1"/>
      <c r="B311" s="203"/>
      <c r="C311" s="204"/>
      <c r="D311" s="205"/>
      <c r="E311" s="206"/>
      <c r="F311" s="207"/>
      <c r="G311" s="208"/>
      <c r="H311" s="174">
        <f t="shared" si="1"/>
        <v>0</v>
      </c>
      <c r="I311" s="209"/>
      <c r="J311" s="209"/>
      <c r="K311" s="177">
        <f t="shared" si="2"/>
        <v>0</v>
      </c>
      <c r="L311" s="210"/>
    </row>
    <row r="312" ht="15.75" customHeight="1">
      <c r="A312" s="1"/>
      <c r="B312" s="203"/>
      <c r="C312" s="204"/>
      <c r="D312" s="205"/>
      <c r="E312" s="206"/>
      <c r="F312" s="207"/>
      <c r="G312" s="208"/>
      <c r="H312" s="174">
        <f t="shared" si="1"/>
        <v>0</v>
      </c>
      <c r="I312" s="209"/>
      <c r="J312" s="209"/>
      <c r="K312" s="177">
        <f t="shared" si="2"/>
        <v>0</v>
      </c>
      <c r="L312" s="210"/>
    </row>
    <row r="313" ht="15.75" customHeight="1">
      <c r="A313" s="1"/>
      <c r="B313" s="203"/>
      <c r="C313" s="204"/>
      <c r="D313" s="205"/>
      <c r="E313" s="206"/>
      <c r="F313" s="207"/>
      <c r="G313" s="208"/>
      <c r="H313" s="174">
        <f t="shared" si="1"/>
        <v>0</v>
      </c>
      <c r="I313" s="209"/>
      <c r="J313" s="209"/>
      <c r="K313" s="177">
        <f t="shared" si="2"/>
        <v>0</v>
      </c>
      <c r="L313" s="210"/>
    </row>
    <row r="314" ht="15.75" customHeight="1">
      <c r="A314" s="1"/>
      <c r="B314" s="203"/>
      <c r="C314" s="204"/>
      <c r="D314" s="205"/>
      <c r="E314" s="206"/>
      <c r="F314" s="207"/>
      <c r="G314" s="208"/>
      <c r="H314" s="174">
        <f t="shared" si="1"/>
        <v>0</v>
      </c>
      <c r="I314" s="209"/>
      <c r="J314" s="209"/>
      <c r="K314" s="177">
        <f t="shared" si="2"/>
        <v>0</v>
      </c>
      <c r="L314" s="210"/>
    </row>
    <row r="315" ht="15.75" customHeight="1">
      <c r="A315" s="1"/>
      <c r="B315" s="203"/>
      <c r="C315" s="204"/>
      <c r="D315" s="205"/>
      <c r="E315" s="206"/>
      <c r="F315" s="207"/>
      <c r="G315" s="208"/>
      <c r="H315" s="174">
        <f t="shared" si="1"/>
        <v>0</v>
      </c>
      <c r="I315" s="209"/>
      <c r="J315" s="209"/>
      <c r="K315" s="177">
        <f t="shared" si="2"/>
        <v>0</v>
      </c>
      <c r="L315" s="210"/>
    </row>
    <row r="316" ht="15.75" customHeight="1">
      <c r="A316" s="1"/>
      <c r="B316" s="203"/>
      <c r="C316" s="204"/>
      <c r="D316" s="205"/>
      <c r="E316" s="206"/>
      <c r="F316" s="207"/>
      <c r="G316" s="208"/>
      <c r="H316" s="174">
        <f t="shared" si="1"/>
        <v>0</v>
      </c>
      <c r="I316" s="209"/>
      <c r="J316" s="209"/>
      <c r="K316" s="177">
        <f t="shared" si="2"/>
        <v>0</v>
      </c>
      <c r="L316" s="210"/>
    </row>
    <row r="317" ht="15.75" customHeight="1">
      <c r="A317" s="1"/>
      <c r="B317" s="203"/>
      <c r="C317" s="204"/>
      <c r="D317" s="205"/>
      <c r="E317" s="206"/>
      <c r="F317" s="207"/>
      <c r="G317" s="208"/>
      <c r="H317" s="174">
        <f t="shared" si="1"/>
        <v>0</v>
      </c>
      <c r="I317" s="209"/>
      <c r="J317" s="209"/>
      <c r="K317" s="177">
        <f t="shared" si="2"/>
        <v>0</v>
      </c>
      <c r="L317" s="210"/>
    </row>
    <row r="318" ht="15.75" customHeight="1">
      <c r="A318" s="1"/>
      <c r="B318" s="203"/>
      <c r="C318" s="204"/>
      <c r="D318" s="205"/>
      <c r="E318" s="206"/>
      <c r="F318" s="207"/>
      <c r="G318" s="208"/>
      <c r="H318" s="174">
        <f t="shared" si="1"/>
        <v>0</v>
      </c>
      <c r="I318" s="209"/>
      <c r="J318" s="209"/>
      <c r="K318" s="177">
        <f t="shared" si="2"/>
        <v>0</v>
      </c>
      <c r="L318" s="210"/>
    </row>
    <row r="319" ht="15.75" customHeight="1">
      <c r="A319" s="1"/>
      <c r="B319" s="203"/>
      <c r="C319" s="204"/>
      <c r="D319" s="205"/>
      <c r="E319" s="206"/>
      <c r="F319" s="207"/>
      <c r="G319" s="208"/>
      <c r="H319" s="174">
        <f t="shared" si="1"/>
        <v>0</v>
      </c>
      <c r="I319" s="209"/>
      <c r="J319" s="209"/>
      <c r="K319" s="177">
        <f t="shared" si="2"/>
        <v>0</v>
      </c>
      <c r="L319" s="210"/>
    </row>
    <row r="320" ht="15.75" customHeight="1">
      <c r="A320" s="1"/>
      <c r="B320" s="203"/>
      <c r="C320" s="204"/>
      <c r="D320" s="205"/>
      <c r="E320" s="206"/>
      <c r="F320" s="207"/>
      <c r="G320" s="208"/>
      <c r="H320" s="174">
        <f t="shared" si="1"/>
        <v>0</v>
      </c>
      <c r="I320" s="209"/>
      <c r="J320" s="209"/>
      <c r="K320" s="177">
        <f t="shared" si="2"/>
        <v>0</v>
      </c>
      <c r="L320" s="210"/>
    </row>
    <row r="321" ht="15.75" customHeight="1">
      <c r="A321" s="1"/>
      <c r="B321" s="203"/>
      <c r="C321" s="204"/>
      <c r="D321" s="205"/>
      <c r="E321" s="206"/>
      <c r="F321" s="207"/>
      <c r="G321" s="208"/>
      <c r="H321" s="174">
        <f t="shared" si="1"/>
        <v>0</v>
      </c>
      <c r="I321" s="209"/>
      <c r="J321" s="209"/>
      <c r="K321" s="177">
        <f t="shared" si="2"/>
        <v>0</v>
      </c>
      <c r="L321" s="210"/>
    </row>
    <row r="322" ht="15.75" customHeight="1">
      <c r="A322" s="1"/>
      <c r="B322" s="203"/>
      <c r="C322" s="204"/>
      <c r="D322" s="205"/>
      <c r="E322" s="206"/>
      <c r="F322" s="207"/>
      <c r="G322" s="208"/>
      <c r="H322" s="174">
        <f t="shared" si="1"/>
        <v>0</v>
      </c>
      <c r="I322" s="209"/>
      <c r="J322" s="209"/>
      <c r="K322" s="177">
        <f t="shared" si="2"/>
        <v>0</v>
      </c>
      <c r="L322" s="210"/>
    </row>
    <row r="323" ht="15.75" customHeight="1">
      <c r="A323" s="1"/>
      <c r="B323" s="203"/>
      <c r="C323" s="204"/>
      <c r="D323" s="205"/>
      <c r="E323" s="206"/>
      <c r="F323" s="207"/>
      <c r="G323" s="208"/>
      <c r="H323" s="174">
        <f t="shared" si="1"/>
        <v>0</v>
      </c>
      <c r="I323" s="209"/>
      <c r="J323" s="209"/>
      <c r="K323" s="177">
        <f t="shared" si="2"/>
        <v>0</v>
      </c>
      <c r="L323" s="210"/>
    </row>
    <row r="324" ht="15.75" customHeight="1">
      <c r="A324" s="1"/>
      <c r="B324" s="203"/>
      <c r="C324" s="204"/>
      <c r="D324" s="205"/>
      <c r="E324" s="206"/>
      <c r="F324" s="207"/>
      <c r="G324" s="208"/>
      <c r="H324" s="174">
        <f t="shared" si="1"/>
        <v>0</v>
      </c>
      <c r="I324" s="209"/>
      <c r="J324" s="209"/>
      <c r="K324" s="177">
        <f t="shared" si="2"/>
        <v>0</v>
      </c>
      <c r="L324" s="210"/>
    </row>
    <row r="325" ht="15.75" customHeight="1">
      <c r="A325" s="1"/>
      <c r="B325" s="203"/>
      <c r="C325" s="204"/>
      <c r="D325" s="205"/>
      <c r="E325" s="206"/>
      <c r="F325" s="207"/>
      <c r="G325" s="208"/>
      <c r="H325" s="174">
        <f t="shared" si="1"/>
        <v>0</v>
      </c>
      <c r="I325" s="209"/>
      <c r="J325" s="209"/>
      <c r="K325" s="177">
        <f t="shared" si="2"/>
        <v>0</v>
      </c>
      <c r="L325" s="210"/>
    </row>
    <row r="326" ht="15.75" customHeight="1">
      <c r="A326" s="1"/>
      <c r="B326" s="203"/>
      <c r="C326" s="204"/>
      <c r="D326" s="205"/>
      <c r="E326" s="206"/>
      <c r="F326" s="207"/>
      <c r="G326" s="208"/>
      <c r="H326" s="174">
        <f t="shared" si="1"/>
        <v>0</v>
      </c>
      <c r="I326" s="209"/>
      <c r="J326" s="209"/>
      <c r="K326" s="177">
        <f t="shared" si="2"/>
        <v>0</v>
      </c>
      <c r="L326" s="210"/>
    </row>
    <row r="327" ht="15.75" customHeight="1">
      <c r="A327" s="1"/>
      <c r="B327" s="203"/>
      <c r="C327" s="204"/>
      <c r="D327" s="205"/>
      <c r="E327" s="206"/>
      <c r="F327" s="207"/>
      <c r="G327" s="208"/>
      <c r="H327" s="174">
        <f t="shared" si="1"/>
        <v>0</v>
      </c>
      <c r="I327" s="209"/>
      <c r="J327" s="209"/>
      <c r="K327" s="177">
        <f t="shared" si="2"/>
        <v>0</v>
      </c>
      <c r="L327" s="210"/>
    </row>
    <row r="328" ht="15.75" customHeight="1">
      <c r="A328" s="1"/>
      <c r="B328" s="203"/>
      <c r="C328" s="204"/>
      <c r="D328" s="205"/>
      <c r="E328" s="206"/>
      <c r="F328" s="207"/>
      <c r="G328" s="208"/>
      <c r="H328" s="174">
        <f t="shared" si="1"/>
        <v>0</v>
      </c>
      <c r="I328" s="209"/>
      <c r="J328" s="209"/>
      <c r="K328" s="177">
        <f t="shared" si="2"/>
        <v>0</v>
      </c>
      <c r="L328" s="210"/>
    </row>
    <row r="329" ht="15.75" customHeight="1">
      <c r="A329" s="1"/>
      <c r="B329" s="203"/>
      <c r="C329" s="204"/>
      <c r="D329" s="205"/>
      <c r="E329" s="206"/>
      <c r="F329" s="207"/>
      <c r="G329" s="208"/>
      <c r="H329" s="174">
        <f t="shared" si="1"/>
        <v>0</v>
      </c>
      <c r="I329" s="209"/>
      <c r="J329" s="209"/>
      <c r="K329" s="177">
        <f t="shared" si="2"/>
        <v>0</v>
      </c>
      <c r="L329" s="210"/>
    </row>
    <row r="330" ht="15.75" customHeight="1">
      <c r="A330" s="1"/>
      <c r="B330" s="203"/>
      <c r="C330" s="204"/>
      <c r="D330" s="205"/>
      <c r="E330" s="206"/>
      <c r="F330" s="207"/>
      <c r="G330" s="208"/>
      <c r="H330" s="174">
        <f t="shared" si="1"/>
        <v>0</v>
      </c>
      <c r="I330" s="209"/>
      <c r="J330" s="209"/>
      <c r="K330" s="177">
        <f t="shared" si="2"/>
        <v>0</v>
      </c>
      <c r="L330" s="210"/>
    </row>
    <row r="331" ht="15.75" customHeight="1">
      <c r="A331" s="1"/>
      <c r="B331" s="203"/>
      <c r="C331" s="204"/>
      <c r="D331" s="205"/>
      <c r="E331" s="206"/>
      <c r="F331" s="207"/>
      <c r="G331" s="208"/>
      <c r="H331" s="174">
        <f t="shared" si="1"/>
        <v>0</v>
      </c>
      <c r="I331" s="209"/>
      <c r="J331" s="209"/>
      <c r="K331" s="177">
        <f t="shared" si="2"/>
        <v>0</v>
      </c>
      <c r="L331" s="210"/>
    </row>
    <row r="332" ht="15.75" customHeight="1">
      <c r="A332" s="1"/>
      <c r="B332" s="203"/>
      <c r="C332" s="204"/>
      <c r="D332" s="205"/>
      <c r="E332" s="206"/>
      <c r="F332" s="207"/>
      <c r="G332" s="208"/>
      <c r="H332" s="174">
        <f t="shared" si="1"/>
        <v>0</v>
      </c>
      <c r="I332" s="209"/>
      <c r="J332" s="209"/>
      <c r="K332" s="177">
        <f t="shared" si="2"/>
        <v>0</v>
      </c>
      <c r="L332" s="210"/>
    </row>
    <row r="333" ht="15.75" customHeight="1">
      <c r="A333" s="1"/>
      <c r="B333" s="203"/>
      <c r="C333" s="204"/>
      <c r="D333" s="205"/>
      <c r="E333" s="206"/>
      <c r="F333" s="207"/>
      <c r="G333" s="208"/>
      <c r="H333" s="174">
        <f t="shared" si="1"/>
        <v>0</v>
      </c>
      <c r="I333" s="209"/>
      <c r="J333" s="209"/>
      <c r="K333" s="177">
        <f t="shared" si="2"/>
        <v>0</v>
      </c>
      <c r="L333" s="210"/>
    </row>
    <row r="334" ht="15.75" customHeight="1">
      <c r="A334" s="1"/>
      <c r="B334" s="203"/>
      <c r="C334" s="204"/>
      <c r="D334" s="205"/>
      <c r="E334" s="206"/>
      <c r="F334" s="207"/>
      <c r="G334" s="208"/>
      <c r="H334" s="174">
        <f t="shared" si="1"/>
        <v>0</v>
      </c>
      <c r="I334" s="209"/>
      <c r="J334" s="209"/>
      <c r="K334" s="177">
        <f t="shared" si="2"/>
        <v>0</v>
      </c>
      <c r="L334" s="210"/>
    </row>
    <row r="335" ht="15.75" customHeight="1">
      <c r="A335" s="1"/>
      <c r="B335" s="203"/>
      <c r="C335" s="204"/>
      <c r="D335" s="205"/>
      <c r="E335" s="206"/>
      <c r="F335" s="207"/>
      <c r="G335" s="208"/>
      <c r="H335" s="174">
        <f t="shared" si="1"/>
        <v>0</v>
      </c>
      <c r="I335" s="209"/>
      <c r="J335" s="209"/>
      <c r="K335" s="177">
        <f t="shared" si="2"/>
        <v>0</v>
      </c>
      <c r="L335" s="210"/>
    </row>
    <row r="336" ht="15.75" customHeight="1">
      <c r="A336" s="1"/>
      <c r="B336" s="203"/>
      <c r="C336" s="204"/>
      <c r="D336" s="205"/>
      <c r="E336" s="206"/>
      <c r="F336" s="207"/>
      <c r="G336" s="208"/>
      <c r="H336" s="174">
        <f t="shared" si="1"/>
        <v>0</v>
      </c>
      <c r="I336" s="209"/>
      <c r="J336" s="209"/>
      <c r="K336" s="177">
        <f t="shared" si="2"/>
        <v>0</v>
      </c>
      <c r="L336" s="210"/>
    </row>
    <row r="337" ht="15.75" customHeight="1">
      <c r="A337" s="1"/>
      <c r="B337" s="203"/>
      <c r="C337" s="204"/>
      <c r="D337" s="205"/>
      <c r="E337" s="206"/>
      <c r="F337" s="207"/>
      <c r="G337" s="208"/>
      <c r="H337" s="174">
        <f t="shared" si="1"/>
        <v>0</v>
      </c>
      <c r="I337" s="209"/>
      <c r="J337" s="209"/>
      <c r="K337" s="177">
        <f t="shared" si="2"/>
        <v>0</v>
      </c>
      <c r="L337" s="210"/>
    </row>
    <row r="338" ht="15.75" customHeight="1">
      <c r="A338" s="1"/>
      <c r="B338" s="203"/>
      <c r="C338" s="204"/>
      <c r="D338" s="205"/>
      <c r="E338" s="206"/>
      <c r="F338" s="207"/>
      <c r="G338" s="208"/>
      <c r="H338" s="174">
        <f t="shared" si="1"/>
        <v>0</v>
      </c>
      <c r="I338" s="209"/>
      <c r="J338" s="209"/>
      <c r="K338" s="177">
        <f t="shared" si="2"/>
        <v>0</v>
      </c>
      <c r="L338" s="210"/>
    </row>
    <row r="339" ht="15.75" customHeight="1">
      <c r="A339" s="1"/>
      <c r="B339" s="203"/>
      <c r="C339" s="204"/>
      <c r="D339" s="205"/>
      <c r="E339" s="206"/>
      <c r="F339" s="207"/>
      <c r="G339" s="208"/>
      <c r="H339" s="174">
        <f t="shared" si="1"/>
        <v>0</v>
      </c>
      <c r="I339" s="209"/>
      <c r="J339" s="209"/>
      <c r="K339" s="177">
        <f t="shared" si="2"/>
        <v>0</v>
      </c>
      <c r="L339" s="210"/>
    </row>
    <row r="340" ht="15.75" customHeight="1">
      <c r="A340" s="1"/>
      <c r="B340" s="203"/>
      <c r="C340" s="204"/>
      <c r="D340" s="205"/>
      <c r="E340" s="206"/>
      <c r="F340" s="207"/>
      <c r="G340" s="208"/>
      <c r="H340" s="174">
        <f t="shared" si="1"/>
        <v>0</v>
      </c>
      <c r="I340" s="209"/>
      <c r="J340" s="209"/>
      <c r="K340" s="177">
        <f t="shared" si="2"/>
        <v>0</v>
      </c>
      <c r="L340" s="210"/>
    </row>
    <row r="341" ht="15.75" customHeight="1">
      <c r="A341" s="1"/>
      <c r="B341" s="203"/>
      <c r="C341" s="204"/>
      <c r="D341" s="205"/>
      <c r="E341" s="206"/>
      <c r="F341" s="207"/>
      <c r="G341" s="208"/>
      <c r="H341" s="174">
        <f t="shared" si="1"/>
        <v>0</v>
      </c>
      <c r="I341" s="209"/>
      <c r="J341" s="209"/>
      <c r="K341" s="177">
        <f t="shared" si="2"/>
        <v>0</v>
      </c>
      <c r="L341" s="210"/>
    </row>
    <row r="342" ht="15.75" customHeight="1">
      <c r="A342" s="1"/>
      <c r="B342" s="203"/>
      <c r="C342" s="204"/>
      <c r="D342" s="205"/>
      <c r="E342" s="206"/>
      <c r="F342" s="207"/>
      <c r="G342" s="208"/>
      <c r="H342" s="174">
        <f t="shared" si="1"/>
        <v>0</v>
      </c>
      <c r="I342" s="209"/>
      <c r="J342" s="209"/>
      <c r="K342" s="177">
        <f t="shared" si="2"/>
        <v>0</v>
      </c>
      <c r="L342" s="210"/>
    </row>
    <row r="343" ht="15.75" customHeight="1">
      <c r="A343" s="1"/>
      <c r="B343" s="203"/>
      <c r="C343" s="204"/>
      <c r="D343" s="205"/>
      <c r="E343" s="206"/>
      <c r="F343" s="207"/>
      <c r="G343" s="208"/>
      <c r="H343" s="174">
        <f t="shared" si="1"/>
        <v>0</v>
      </c>
      <c r="I343" s="209"/>
      <c r="J343" s="209"/>
      <c r="K343" s="177">
        <f t="shared" si="2"/>
        <v>0</v>
      </c>
      <c r="L343" s="210"/>
    </row>
    <row r="344" ht="15.75" customHeight="1">
      <c r="A344" s="1"/>
      <c r="B344" s="203"/>
      <c r="C344" s="204"/>
      <c r="D344" s="205"/>
      <c r="E344" s="206"/>
      <c r="F344" s="207"/>
      <c r="G344" s="208"/>
      <c r="H344" s="174">
        <f t="shared" si="1"/>
        <v>0</v>
      </c>
      <c r="I344" s="209"/>
      <c r="J344" s="209"/>
      <c r="K344" s="177">
        <f t="shared" si="2"/>
        <v>0</v>
      </c>
      <c r="L344" s="210"/>
    </row>
    <row r="345" ht="15.75" customHeight="1">
      <c r="A345" s="1"/>
      <c r="B345" s="203"/>
      <c r="C345" s="204"/>
      <c r="D345" s="205"/>
      <c r="E345" s="206"/>
      <c r="F345" s="207"/>
      <c r="G345" s="208"/>
      <c r="H345" s="174">
        <f t="shared" si="1"/>
        <v>0</v>
      </c>
      <c r="I345" s="209"/>
      <c r="J345" s="209"/>
      <c r="K345" s="177">
        <f t="shared" si="2"/>
        <v>0</v>
      </c>
      <c r="L345" s="210"/>
    </row>
    <row r="346" ht="15.75" customHeight="1">
      <c r="A346" s="1"/>
      <c r="B346" s="203"/>
      <c r="C346" s="204"/>
      <c r="D346" s="205"/>
      <c r="E346" s="206"/>
      <c r="F346" s="207"/>
      <c r="G346" s="208"/>
      <c r="H346" s="174">
        <f t="shared" si="1"/>
        <v>0</v>
      </c>
      <c r="I346" s="209"/>
      <c r="J346" s="209"/>
      <c r="K346" s="177">
        <f t="shared" si="2"/>
        <v>0</v>
      </c>
      <c r="L346" s="210"/>
    </row>
    <row r="347" ht="15.75" customHeight="1">
      <c r="A347" s="1"/>
      <c r="B347" s="203"/>
      <c r="C347" s="204"/>
      <c r="D347" s="205"/>
      <c r="E347" s="206"/>
      <c r="F347" s="207"/>
      <c r="G347" s="208"/>
      <c r="H347" s="174">
        <f t="shared" si="1"/>
        <v>0</v>
      </c>
      <c r="I347" s="209"/>
      <c r="J347" s="209"/>
      <c r="K347" s="177">
        <f t="shared" si="2"/>
        <v>0</v>
      </c>
      <c r="L347" s="210"/>
    </row>
    <row r="348" ht="15.75" customHeight="1">
      <c r="A348" s="1"/>
      <c r="B348" s="203"/>
      <c r="C348" s="204"/>
      <c r="D348" s="205"/>
      <c r="E348" s="206"/>
      <c r="F348" s="207"/>
      <c r="G348" s="208"/>
      <c r="H348" s="174">
        <f t="shared" si="1"/>
        <v>0</v>
      </c>
      <c r="I348" s="209"/>
      <c r="J348" s="209"/>
      <c r="K348" s="177">
        <f t="shared" si="2"/>
        <v>0</v>
      </c>
      <c r="L348" s="210"/>
    </row>
    <row r="349" ht="15.75" customHeight="1">
      <c r="A349" s="1"/>
      <c r="B349" s="203"/>
      <c r="C349" s="204"/>
      <c r="D349" s="205"/>
      <c r="E349" s="206"/>
      <c r="F349" s="207"/>
      <c r="G349" s="208"/>
      <c r="H349" s="174">
        <f t="shared" si="1"/>
        <v>0</v>
      </c>
      <c r="I349" s="209"/>
      <c r="J349" s="209"/>
      <c r="K349" s="177">
        <f t="shared" si="2"/>
        <v>0</v>
      </c>
      <c r="L349" s="210"/>
    </row>
    <row r="350" ht="15.75" customHeight="1">
      <c r="A350" s="1"/>
      <c r="B350" s="203"/>
      <c r="C350" s="204"/>
      <c r="D350" s="205"/>
      <c r="E350" s="206"/>
      <c r="F350" s="207"/>
      <c r="G350" s="208"/>
      <c r="H350" s="174">
        <f t="shared" si="1"/>
        <v>0</v>
      </c>
      <c r="I350" s="209"/>
      <c r="J350" s="209"/>
      <c r="K350" s="177">
        <f t="shared" si="2"/>
        <v>0</v>
      </c>
      <c r="L350" s="210"/>
    </row>
    <row r="351" ht="15.75" customHeight="1">
      <c r="A351" s="1"/>
      <c r="B351" s="203"/>
      <c r="C351" s="204"/>
      <c r="D351" s="205"/>
      <c r="E351" s="206"/>
      <c r="F351" s="207"/>
      <c r="G351" s="208"/>
      <c r="H351" s="174">
        <f t="shared" si="1"/>
        <v>0</v>
      </c>
      <c r="I351" s="209"/>
      <c r="J351" s="209"/>
      <c r="K351" s="177">
        <f t="shared" si="2"/>
        <v>0</v>
      </c>
      <c r="L351" s="210"/>
    </row>
    <row r="352" ht="15.75" customHeight="1">
      <c r="A352" s="1"/>
      <c r="B352" s="203"/>
      <c r="C352" s="204"/>
      <c r="D352" s="205"/>
      <c r="E352" s="206"/>
      <c r="F352" s="207"/>
      <c r="G352" s="208"/>
      <c r="H352" s="174">
        <f t="shared" si="1"/>
        <v>0</v>
      </c>
      <c r="I352" s="209"/>
      <c r="J352" s="209"/>
      <c r="K352" s="177">
        <f t="shared" si="2"/>
        <v>0</v>
      </c>
      <c r="L352" s="210"/>
    </row>
    <row r="353" ht="15.75" customHeight="1">
      <c r="A353" s="1"/>
      <c r="B353" s="203"/>
      <c r="C353" s="204"/>
      <c r="D353" s="205"/>
      <c r="E353" s="206"/>
      <c r="F353" s="207"/>
      <c r="G353" s="208"/>
      <c r="H353" s="174">
        <f t="shared" si="1"/>
        <v>0</v>
      </c>
      <c r="I353" s="209"/>
      <c r="J353" s="209"/>
      <c r="K353" s="177">
        <f t="shared" si="2"/>
        <v>0</v>
      </c>
      <c r="L353" s="210"/>
    </row>
    <row r="354" ht="15.75" customHeight="1">
      <c r="A354" s="1"/>
      <c r="B354" s="203"/>
      <c r="C354" s="204"/>
      <c r="D354" s="205"/>
      <c r="E354" s="206"/>
      <c r="F354" s="207"/>
      <c r="G354" s="208"/>
      <c r="H354" s="174">
        <f t="shared" si="1"/>
        <v>0</v>
      </c>
      <c r="I354" s="209"/>
      <c r="J354" s="209"/>
      <c r="K354" s="177">
        <f t="shared" si="2"/>
        <v>0</v>
      </c>
      <c r="L354" s="210"/>
    </row>
    <row r="355" ht="15.75" customHeight="1">
      <c r="A355" s="1"/>
      <c r="B355" s="203"/>
      <c r="C355" s="204"/>
      <c r="D355" s="205"/>
      <c r="E355" s="206"/>
      <c r="F355" s="207"/>
      <c r="G355" s="208"/>
      <c r="H355" s="174">
        <f t="shared" si="1"/>
        <v>0</v>
      </c>
      <c r="I355" s="209"/>
      <c r="J355" s="209"/>
      <c r="K355" s="177">
        <f t="shared" si="2"/>
        <v>0</v>
      </c>
      <c r="L355" s="210"/>
    </row>
    <row r="356" ht="15.75" customHeight="1">
      <c r="A356" s="1"/>
      <c r="B356" s="203"/>
      <c r="C356" s="204"/>
      <c r="D356" s="205"/>
      <c r="E356" s="206"/>
      <c r="F356" s="207"/>
      <c r="G356" s="208"/>
      <c r="H356" s="174">
        <f t="shared" si="1"/>
        <v>0</v>
      </c>
      <c r="I356" s="209"/>
      <c r="J356" s="209"/>
      <c r="K356" s="177">
        <f t="shared" si="2"/>
        <v>0</v>
      </c>
      <c r="L356" s="210"/>
    </row>
    <row r="357" ht="15.75" customHeight="1">
      <c r="A357" s="1"/>
      <c r="B357" s="203"/>
      <c r="C357" s="204"/>
      <c r="D357" s="205"/>
      <c r="E357" s="206"/>
      <c r="F357" s="207"/>
      <c r="G357" s="208"/>
      <c r="H357" s="174">
        <f t="shared" si="1"/>
        <v>0</v>
      </c>
      <c r="I357" s="209"/>
      <c r="J357" s="209"/>
      <c r="K357" s="177">
        <f t="shared" si="2"/>
        <v>0</v>
      </c>
      <c r="L357" s="210"/>
    </row>
    <row r="358" ht="15.75" customHeight="1">
      <c r="A358" s="1"/>
      <c r="B358" s="203"/>
      <c r="C358" s="204"/>
      <c r="D358" s="205"/>
      <c r="E358" s="206"/>
      <c r="F358" s="207"/>
      <c r="G358" s="208"/>
      <c r="H358" s="174">
        <f t="shared" si="1"/>
        <v>0</v>
      </c>
      <c r="I358" s="209"/>
      <c r="J358" s="209"/>
      <c r="K358" s="177">
        <f t="shared" si="2"/>
        <v>0</v>
      </c>
      <c r="L358" s="210"/>
    </row>
    <row r="359" ht="15.75" customHeight="1">
      <c r="A359" s="1"/>
      <c r="B359" s="203"/>
      <c r="C359" s="204"/>
      <c r="D359" s="205"/>
      <c r="E359" s="206"/>
      <c r="F359" s="207"/>
      <c r="G359" s="208"/>
      <c r="H359" s="174">
        <f t="shared" si="1"/>
        <v>0</v>
      </c>
      <c r="I359" s="209"/>
      <c r="J359" s="209"/>
      <c r="K359" s="177">
        <f t="shared" si="2"/>
        <v>0</v>
      </c>
      <c r="L359" s="210"/>
    </row>
    <row r="360" ht="15.75" customHeight="1">
      <c r="A360" s="1"/>
      <c r="B360" s="203"/>
      <c r="C360" s="204"/>
      <c r="D360" s="205"/>
      <c r="E360" s="206"/>
      <c r="F360" s="207"/>
      <c r="G360" s="208"/>
      <c r="H360" s="174">
        <f t="shared" si="1"/>
        <v>0</v>
      </c>
      <c r="I360" s="209"/>
      <c r="J360" s="209"/>
      <c r="K360" s="177">
        <f t="shared" si="2"/>
        <v>0</v>
      </c>
      <c r="L360" s="210"/>
    </row>
    <row r="361" ht="15.75" customHeight="1">
      <c r="A361" s="1"/>
      <c r="B361" s="203"/>
      <c r="C361" s="204"/>
      <c r="D361" s="205"/>
      <c r="E361" s="206"/>
      <c r="F361" s="207"/>
      <c r="G361" s="208"/>
      <c r="H361" s="174">
        <f t="shared" si="1"/>
        <v>0</v>
      </c>
      <c r="I361" s="209"/>
      <c r="J361" s="209"/>
      <c r="K361" s="177">
        <f t="shared" si="2"/>
        <v>0</v>
      </c>
      <c r="L361" s="210"/>
    </row>
    <row r="362" ht="15.75" customHeight="1">
      <c r="A362" s="1"/>
      <c r="B362" s="203"/>
      <c r="C362" s="204"/>
      <c r="D362" s="205"/>
      <c r="E362" s="206"/>
      <c r="F362" s="207"/>
      <c r="G362" s="208"/>
      <c r="H362" s="174">
        <f t="shared" si="1"/>
        <v>0</v>
      </c>
      <c r="I362" s="209"/>
      <c r="J362" s="209"/>
      <c r="K362" s="177">
        <f t="shared" si="2"/>
        <v>0</v>
      </c>
      <c r="L362" s="210"/>
    </row>
    <row r="363" ht="15.75" customHeight="1">
      <c r="A363" s="1"/>
      <c r="B363" s="203"/>
      <c r="C363" s="204"/>
      <c r="D363" s="205"/>
      <c r="E363" s="206"/>
      <c r="F363" s="207"/>
      <c r="G363" s="208"/>
      <c r="H363" s="174">
        <f t="shared" si="1"/>
        <v>0</v>
      </c>
      <c r="I363" s="209"/>
      <c r="J363" s="209"/>
      <c r="K363" s="177">
        <f t="shared" si="2"/>
        <v>0</v>
      </c>
      <c r="L363" s="210"/>
    </row>
    <row r="364" ht="15.75" customHeight="1">
      <c r="A364" s="1"/>
      <c r="B364" s="203"/>
      <c r="C364" s="204"/>
      <c r="D364" s="205"/>
      <c r="E364" s="206"/>
      <c r="F364" s="207"/>
      <c r="G364" s="208"/>
      <c r="H364" s="174">
        <f t="shared" si="1"/>
        <v>0</v>
      </c>
      <c r="I364" s="209"/>
      <c r="J364" s="209"/>
      <c r="K364" s="177">
        <f t="shared" si="2"/>
        <v>0</v>
      </c>
      <c r="L364" s="210"/>
    </row>
    <row r="365" ht="15.75" customHeight="1">
      <c r="A365" s="1"/>
      <c r="B365" s="203"/>
      <c r="C365" s="204"/>
      <c r="D365" s="205"/>
      <c r="E365" s="206"/>
      <c r="F365" s="207"/>
      <c r="G365" s="208"/>
      <c r="H365" s="174">
        <f t="shared" si="1"/>
        <v>0</v>
      </c>
      <c r="I365" s="209"/>
      <c r="J365" s="209"/>
      <c r="K365" s="177">
        <f t="shared" si="2"/>
        <v>0</v>
      </c>
      <c r="L365" s="210"/>
    </row>
    <row r="366" ht="15.75" customHeight="1">
      <c r="A366" s="1"/>
      <c r="B366" s="203"/>
      <c r="C366" s="204"/>
      <c r="D366" s="205"/>
      <c r="E366" s="206"/>
      <c r="F366" s="207"/>
      <c r="G366" s="208"/>
      <c r="H366" s="174">
        <f t="shared" si="1"/>
        <v>0</v>
      </c>
      <c r="I366" s="209"/>
      <c r="J366" s="209"/>
      <c r="K366" s="177">
        <f t="shared" si="2"/>
        <v>0</v>
      </c>
      <c r="L366" s="210"/>
    </row>
    <row r="367" ht="15.75" customHeight="1">
      <c r="A367" s="1"/>
      <c r="B367" s="203"/>
      <c r="C367" s="204"/>
      <c r="D367" s="205"/>
      <c r="E367" s="206"/>
      <c r="F367" s="207"/>
      <c r="G367" s="208"/>
      <c r="H367" s="174">
        <f t="shared" si="1"/>
        <v>0</v>
      </c>
      <c r="I367" s="209"/>
      <c r="J367" s="209"/>
      <c r="K367" s="177">
        <f t="shared" si="2"/>
        <v>0</v>
      </c>
      <c r="L367" s="210"/>
    </row>
    <row r="368" ht="15.75" customHeight="1">
      <c r="A368" s="1"/>
      <c r="B368" s="203"/>
      <c r="C368" s="204"/>
      <c r="D368" s="205"/>
      <c r="E368" s="206"/>
      <c r="F368" s="207"/>
      <c r="G368" s="208"/>
      <c r="H368" s="174">
        <f t="shared" si="1"/>
        <v>0</v>
      </c>
      <c r="I368" s="209"/>
      <c r="J368" s="209"/>
      <c r="K368" s="177">
        <f t="shared" si="2"/>
        <v>0</v>
      </c>
      <c r="L368" s="210"/>
    </row>
    <row r="369" ht="15.75" customHeight="1">
      <c r="A369" s="1"/>
      <c r="B369" s="203"/>
      <c r="C369" s="204"/>
      <c r="D369" s="205"/>
      <c r="E369" s="206"/>
      <c r="F369" s="207"/>
      <c r="G369" s="208"/>
      <c r="H369" s="174">
        <f t="shared" si="1"/>
        <v>0</v>
      </c>
      <c r="I369" s="209"/>
      <c r="J369" s="209"/>
      <c r="K369" s="177">
        <f t="shared" si="2"/>
        <v>0</v>
      </c>
      <c r="L369" s="210"/>
    </row>
    <row r="370" ht="15.75" customHeight="1">
      <c r="A370" s="1"/>
      <c r="B370" s="203"/>
      <c r="C370" s="204"/>
      <c r="D370" s="205"/>
      <c r="E370" s="206"/>
      <c r="F370" s="207"/>
      <c r="G370" s="208"/>
      <c r="H370" s="174">
        <f t="shared" si="1"/>
        <v>0</v>
      </c>
      <c r="I370" s="209"/>
      <c r="J370" s="209"/>
      <c r="K370" s="177">
        <f t="shared" si="2"/>
        <v>0</v>
      </c>
      <c r="L370" s="210"/>
    </row>
    <row r="371" ht="15.75" customHeight="1">
      <c r="A371" s="1"/>
      <c r="B371" s="203"/>
      <c r="C371" s="204"/>
      <c r="D371" s="205"/>
      <c r="E371" s="206"/>
      <c r="F371" s="207"/>
      <c r="G371" s="208"/>
      <c r="H371" s="174">
        <f t="shared" si="1"/>
        <v>0</v>
      </c>
      <c r="I371" s="209"/>
      <c r="J371" s="209"/>
      <c r="K371" s="177">
        <f t="shared" si="2"/>
        <v>0</v>
      </c>
      <c r="L371" s="210"/>
    </row>
    <row r="372" ht="15.75" customHeight="1">
      <c r="A372" s="1"/>
      <c r="B372" s="203"/>
      <c r="C372" s="204"/>
      <c r="D372" s="205"/>
      <c r="E372" s="206"/>
      <c r="F372" s="207"/>
      <c r="G372" s="208"/>
      <c r="H372" s="174">
        <f t="shared" si="1"/>
        <v>0</v>
      </c>
      <c r="I372" s="209"/>
      <c r="J372" s="209"/>
      <c r="K372" s="177">
        <f t="shared" si="2"/>
        <v>0</v>
      </c>
      <c r="L372" s="210"/>
    </row>
    <row r="373" ht="15.75" customHeight="1">
      <c r="A373" s="1"/>
      <c r="B373" s="203"/>
      <c r="C373" s="204"/>
      <c r="D373" s="205"/>
      <c r="E373" s="206"/>
      <c r="F373" s="207"/>
      <c r="G373" s="208"/>
      <c r="H373" s="174">
        <f t="shared" si="1"/>
        <v>0</v>
      </c>
      <c r="I373" s="209"/>
      <c r="J373" s="209"/>
      <c r="K373" s="177">
        <f t="shared" si="2"/>
        <v>0</v>
      </c>
      <c r="L373" s="210"/>
    </row>
    <row r="374" ht="15.75" customHeight="1">
      <c r="A374" s="1"/>
      <c r="B374" s="203"/>
      <c r="C374" s="204"/>
      <c r="D374" s="205"/>
      <c r="E374" s="206"/>
      <c r="F374" s="207"/>
      <c r="G374" s="208"/>
      <c r="H374" s="174">
        <f t="shared" si="1"/>
        <v>0</v>
      </c>
      <c r="I374" s="209"/>
      <c r="J374" s="209"/>
      <c r="K374" s="177">
        <f t="shared" si="2"/>
        <v>0</v>
      </c>
      <c r="L374" s="210"/>
    </row>
    <row r="375" ht="15.75" customHeight="1">
      <c r="A375" s="1"/>
      <c r="B375" s="203"/>
      <c r="C375" s="204"/>
      <c r="D375" s="205"/>
      <c r="E375" s="206"/>
      <c r="F375" s="207"/>
      <c r="G375" s="208"/>
      <c r="H375" s="174">
        <f t="shared" si="1"/>
        <v>0</v>
      </c>
      <c r="I375" s="209"/>
      <c r="J375" s="209"/>
      <c r="K375" s="177">
        <f t="shared" si="2"/>
        <v>0</v>
      </c>
      <c r="L375" s="210"/>
    </row>
    <row r="376" ht="15.75" customHeight="1">
      <c r="A376" s="1"/>
      <c r="B376" s="203"/>
      <c r="C376" s="204"/>
      <c r="D376" s="205"/>
      <c r="E376" s="206"/>
      <c r="F376" s="207"/>
      <c r="G376" s="208"/>
      <c r="H376" s="174">
        <f t="shared" si="1"/>
        <v>0</v>
      </c>
      <c r="I376" s="209"/>
      <c r="J376" s="209"/>
      <c r="K376" s="177">
        <f t="shared" si="2"/>
        <v>0</v>
      </c>
      <c r="L376" s="210"/>
    </row>
    <row r="377" ht="15.75" customHeight="1">
      <c r="A377" s="1"/>
      <c r="B377" s="203"/>
      <c r="C377" s="204"/>
      <c r="D377" s="205"/>
      <c r="E377" s="206"/>
      <c r="F377" s="207"/>
      <c r="G377" s="208"/>
      <c r="H377" s="174">
        <f t="shared" si="1"/>
        <v>0</v>
      </c>
      <c r="I377" s="209"/>
      <c r="J377" s="209"/>
      <c r="K377" s="177">
        <f t="shared" si="2"/>
        <v>0</v>
      </c>
      <c r="L377" s="210"/>
    </row>
    <row r="378" ht="15.75" customHeight="1">
      <c r="A378" s="1"/>
      <c r="B378" s="203"/>
      <c r="C378" s="204"/>
      <c r="D378" s="205"/>
      <c r="E378" s="206"/>
      <c r="F378" s="207"/>
      <c r="G378" s="208"/>
      <c r="H378" s="174">
        <f t="shared" si="1"/>
        <v>0</v>
      </c>
      <c r="I378" s="209"/>
      <c r="J378" s="209"/>
      <c r="K378" s="177">
        <f t="shared" si="2"/>
        <v>0</v>
      </c>
      <c r="L378" s="210"/>
    </row>
    <row r="379" ht="15.75" customHeight="1">
      <c r="A379" s="1"/>
      <c r="B379" s="203"/>
      <c r="C379" s="204"/>
      <c r="D379" s="205"/>
      <c r="E379" s="206"/>
      <c r="F379" s="207"/>
      <c r="G379" s="208"/>
      <c r="H379" s="174">
        <f t="shared" si="1"/>
        <v>0</v>
      </c>
      <c r="I379" s="209"/>
      <c r="J379" s="209"/>
      <c r="K379" s="177">
        <f t="shared" si="2"/>
        <v>0</v>
      </c>
      <c r="L379" s="210"/>
    </row>
    <row r="380" ht="15.75" customHeight="1">
      <c r="A380" s="1"/>
      <c r="B380" s="203"/>
      <c r="C380" s="204"/>
      <c r="D380" s="205"/>
      <c r="E380" s="206"/>
      <c r="F380" s="207"/>
      <c r="G380" s="208"/>
      <c r="H380" s="174">
        <f t="shared" si="1"/>
        <v>0</v>
      </c>
      <c r="I380" s="209"/>
      <c r="J380" s="209"/>
      <c r="K380" s="177">
        <f t="shared" si="2"/>
        <v>0</v>
      </c>
      <c r="L380" s="210"/>
    </row>
    <row r="381" ht="15.75" customHeight="1">
      <c r="A381" s="1"/>
      <c r="B381" s="203"/>
      <c r="C381" s="204"/>
      <c r="D381" s="205"/>
      <c r="E381" s="206"/>
      <c r="F381" s="207"/>
      <c r="G381" s="208"/>
      <c r="H381" s="174">
        <f t="shared" si="1"/>
        <v>0</v>
      </c>
      <c r="I381" s="209"/>
      <c r="J381" s="209"/>
      <c r="K381" s="177">
        <f t="shared" si="2"/>
        <v>0</v>
      </c>
      <c r="L381" s="210"/>
    </row>
    <row r="382" ht="15.75" customHeight="1">
      <c r="A382" s="1"/>
      <c r="B382" s="203"/>
      <c r="C382" s="204"/>
      <c r="D382" s="205"/>
      <c r="E382" s="206"/>
      <c r="F382" s="207"/>
      <c r="G382" s="208"/>
      <c r="H382" s="174">
        <f t="shared" si="1"/>
        <v>0</v>
      </c>
      <c r="I382" s="209"/>
      <c r="J382" s="209"/>
      <c r="K382" s="177">
        <f t="shared" si="2"/>
        <v>0</v>
      </c>
      <c r="L382" s="210"/>
    </row>
    <row r="383" ht="15.75" customHeight="1">
      <c r="A383" s="1"/>
      <c r="B383" s="203"/>
      <c r="C383" s="204"/>
      <c r="D383" s="205"/>
      <c r="E383" s="206"/>
      <c r="F383" s="207"/>
      <c r="G383" s="208"/>
      <c r="H383" s="174">
        <f t="shared" si="1"/>
        <v>0</v>
      </c>
      <c r="I383" s="209"/>
      <c r="J383" s="209"/>
      <c r="K383" s="177">
        <f t="shared" si="2"/>
        <v>0</v>
      </c>
      <c r="L383" s="210"/>
    </row>
    <row r="384" ht="15.75" customHeight="1">
      <c r="A384" s="1"/>
      <c r="B384" s="203"/>
      <c r="C384" s="204"/>
      <c r="D384" s="205"/>
      <c r="E384" s="206"/>
      <c r="F384" s="207"/>
      <c r="G384" s="208"/>
      <c r="H384" s="174">
        <f t="shared" si="1"/>
        <v>0</v>
      </c>
      <c r="I384" s="209"/>
      <c r="J384" s="209"/>
      <c r="K384" s="177">
        <f t="shared" si="2"/>
        <v>0</v>
      </c>
      <c r="L384" s="210"/>
    </row>
    <row r="385" ht="15.75" customHeight="1">
      <c r="A385" s="1"/>
      <c r="B385" s="203"/>
      <c r="C385" s="204"/>
      <c r="D385" s="205"/>
      <c r="E385" s="206"/>
      <c r="F385" s="207"/>
      <c r="G385" s="208"/>
      <c r="H385" s="174">
        <f t="shared" si="1"/>
        <v>0</v>
      </c>
      <c r="I385" s="209"/>
      <c r="J385" s="209"/>
      <c r="K385" s="177">
        <f t="shared" si="2"/>
        <v>0</v>
      </c>
      <c r="L385" s="210"/>
    </row>
    <row r="386" ht="15.75" customHeight="1">
      <c r="A386" s="1"/>
      <c r="B386" s="203"/>
      <c r="C386" s="204"/>
      <c r="D386" s="205"/>
      <c r="E386" s="206"/>
      <c r="F386" s="207"/>
      <c r="G386" s="208"/>
      <c r="H386" s="174">
        <f t="shared" si="1"/>
        <v>0</v>
      </c>
      <c r="I386" s="209"/>
      <c r="J386" s="209"/>
      <c r="K386" s="177">
        <f t="shared" si="2"/>
        <v>0</v>
      </c>
      <c r="L386" s="210"/>
    </row>
    <row r="387" ht="15.75" customHeight="1">
      <c r="A387" s="1"/>
      <c r="B387" s="203"/>
      <c r="C387" s="204"/>
      <c r="D387" s="205"/>
      <c r="E387" s="206"/>
      <c r="F387" s="207"/>
      <c r="G387" s="208"/>
      <c r="H387" s="174">
        <f t="shared" si="1"/>
        <v>0</v>
      </c>
      <c r="I387" s="209"/>
      <c r="J387" s="209"/>
      <c r="K387" s="177">
        <f t="shared" si="2"/>
        <v>0</v>
      </c>
      <c r="L387" s="210"/>
    </row>
    <row r="388" ht="15.75" customHeight="1">
      <c r="A388" s="1"/>
      <c r="B388" s="203"/>
      <c r="C388" s="204"/>
      <c r="D388" s="205"/>
      <c r="E388" s="206"/>
      <c r="F388" s="207"/>
      <c r="G388" s="208"/>
      <c r="H388" s="174">
        <f t="shared" si="1"/>
        <v>0</v>
      </c>
      <c r="I388" s="209"/>
      <c r="J388" s="209"/>
      <c r="K388" s="177">
        <f t="shared" si="2"/>
        <v>0</v>
      </c>
      <c r="L388" s="210"/>
    </row>
    <row r="389" ht="15.75" customHeight="1">
      <c r="A389" s="1"/>
      <c r="B389" s="203"/>
      <c r="C389" s="204"/>
      <c r="D389" s="205"/>
      <c r="E389" s="206"/>
      <c r="F389" s="207"/>
      <c r="G389" s="208"/>
      <c r="H389" s="174">
        <f t="shared" si="1"/>
        <v>0</v>
      </c>
      <c r="I389" s="209"/>
      <c r="J389" s="209"/>
      <c r="K389" s="177">
        <f t="shared" si="2"/>
        <v>0</v>
      </c>
      <c r="L389" s="210"/>
    </row>
    <row r="390" ht="15.75" customHeight="1">
      <c r="A390" s="1"/>
      <c r="B390" s="203"/>
      <c r="C390" s="204"/>
      <c r="D390" s="205"/>
      <c r="E390" s="206"/>
      <c r="F390" s="207"/>
      <c r="G390" s="208"/>
      <c r="H390" s="174">
        <f t="shared" si="1"/>
        <v>0</v>
      </c>
      <c r="I390" s="209"/>
      <c r="J390" s="209"/>
      <c r="K390" s="177">
        <f t="shared" si="2"/>
        <v>0</v>
      </c>
      <c r="L390" s="210"/>
    </row>
    <row r="391" ht="15.75" customHeight="1">
      <c r="A391" s="1"/>
      <c r="B391" s="203"/>
      <c r="C391" s="204"/>
      <c r="D391" s="205"/>
      <c r="E391" s="206"/>
      <c r="F391" s="207"/>
      <c r="G391" s="208"/>
      <c r="H391" s="174">
        <f t="shared" si="1"/>
        <v>0</v>
      </c>
      <c r="I391" s="209"/>
      <c r="J391" s="209"/>
      <c r="K391" s="177">
        <f t="shared" si="2"/>
        <v>0</v>
      </c>
      <c r="L391" s="210"/>
    </row>
    <row r="392" ht="15.75" customHeight="1">
      <c r="A392" s="1"/>
      <c r="B392" s="203"/>
      <c r="C392" s="204"/>
      <c r="D392" s="205"/>
      <c r="E392" s="206"/>
      <c r="F392" s="207"/>
      <c r="G392" s="208"/>
      <c r="H392" s="174">
        <f t="shared" si="1"/>
        <v>0</v>
      </c>
      <c r="I392" s="209"/>
      <c r="J392" s="209"/>
      <c r="K392" s="177">
        <f t="shared" si="2"/>
        <v>0</v>
      </c>
      <c r="L392" s="210"/>
    </row>
    <row r="393" ht="15.75" customHeight="1">
      <c r="A393" s="1"/>
      <c r="B393" s="203"/>
      <c r="C393" s="204"/>
      <c r="D393" s="205"/>
      <c r="E393" s="206"/>
      <c r="F393" s="207"/>
      <c r="G393" s="208"/>
      <c r="H393" s="174">
        <f t="shared" si="1"/>
        <v>0</v>
      </c>
      <c r="I393" s="209"/>
      <c r="J393" s="209"/>
      <c r="K393" s="177">
        <f t="shared" si="2"/>
        <v>0</v>
      </c>
      <c r="L393" s="210"/>
    </row>
    <row r="394" ht="15.75" customHeight="1">
      <c r="A394" s="1"/>
      <c r="B394" s="203"/>
      <c r="C394" s="204"/>
      <c r="D394" s="205"/>
      <c r="E394" s="206"/>
      <c r="F394" s="207"/>
      <c r="G394" s="208"/>
      <c r="H394" s="174">
        <f t="shared" si="1"/>
        <v>0</v>
      </c>
      <c r="I394" s="209"/>
      <c r="J394" s="209"/>
      <c r="K394" s="177">
        <f t="shared" si="2"/>
        <v>0</v>
      </c>
      <c r="L394" s="210"/>
    </row>
    <row r="395" ht="15.75" customHeight="1">
      <c r="A395" s="1"/>
      <c r="B395" s="203"/>
      <c r="C395" s="204"/>
      <c r="D395" s="205"/>
      <c r="E395" s="206"/>
      <c r="F395" s="207"/>
      <c r="G395" s="208"/>
      <c r="H395" s="174">
        <f t="shared" si="1"/>
        <v>0</v>
      </c>
      <c r="I395" s="209"/>
      <c r="J395" s="209"/>
      <c r="K395" s="177">
        <f t="shared" si="2"/>
        <v>0</v>
      </c>
      <c r="L395" s="210"/>
    </row>
    <row r="396" ht="15.75" customHeight="1">
      <c r="A396" s="1"/>
      <c r="B396" s="203"/>
      <c r="C396" s="204"/>
      <c r="D396" s="205"/>
      <c r="E396" s="206"/>
      <c r="F396" s="207"/>
      <c r="G396" s="208"/>
      <c r="H396" s="174">
        <f t="shared" si="1"/>
        <v>0</v>
      </c>
      <c r="I396" s="209"/>
      <c r="J396" s="209"/>
      <c r="K396" s="177">
        <f t="shared" si="2"/>
        <v>0</v>
      </c>
      <c r="L396" s="210"/>
    </row>
    <row r="397" ht="15.75" customHeight="1">
      <c r="A397" s="1"/>
      <c r="B397" s="203"/>
      <c r="C397" s="204"/>
      <c r="D397" s="205"/>
      <c r="E397" s="206"/>
      <c r="F397" s="207"/>
      <c r="G397" s="208"/>
      <c r="H397" s="174">
        <f t="shared" si="1"/>
        <v>0</v>
      </c>
      <c r="I397" s="209"/>
      <c r="J397" s="209"/>
      <c r="K397" s="177">
        <f t="shared" si="2"/>
        <v>0</v>
      </c>
      <c r="L397" s="210"/>
    </row>
    <row r="398" ht="15.75" customHeight="1">
      <c r="A398" s="1"/>
      <c r="B398" s="203"/>
      <c r="C398" s="204"/>
      <c r="D398" s="205"/>
      <c r="E398" s="206"/>
      <c r="F398" s="207"/>
      <c r="G398" s="208"/>
      <c r="H398" s="174">
        <f t="shared" si="1"/>
        <v>0</v>
      </c>
      <c r="I398" s="209"/>
      <c r="J398" s="209"/>
      <c r="K398" s="177">
        <f t="shared" si="2"/>
        <v>0</v>
      </c>
      <c r="L398" s="210"/>
    </row>
    <row r="399" ht="15.75" customHeight="1">
      <c r="A399" s="1"/>
      <c r="B399" s="203"/>
      <c r="C399" s="204"/>
      <c r="D399" s="205"/>
      <c r="E399" s="206"/>
      <c r="F399" s="207"/>
      <c r="G399" s="208"/>
      <c r="H399" s="174">
        <f t="shared" si="1"/>
        <v>0</v>
      </c>
      <c r="I399" s="209"/>
      <c r="J399" s="209"/>
      <c r="K399" s="177">
        <f t="shared" si="2"/>
        <v>0</v>
      </c>
      <c r="L399" s="210"/>
    </row>
    <row r="400" ht="15.75" customHeight="1">
      <c r="A400" s="1"/>
      <c r="B400" s="203"/>
      <c r="C400" s="204"/>
      <c r="D400" s="205"/>
      <c r="E400" s="206"/>
      <c r="F400" s="207"/>
      <c r="G400" s="208"/>
      <c r="H400" s="174">
        <f t="shared" si="1"/>
        <v>0</v>
      </c>
      <c r="I400" s="209"/>
      <c r="J400" s="209"/>
      <c r="K400" s="177">
        <f t="shared" si="2"/>
        <v>0</v>
      </c>
      <c r="L400" s="210"/>
    </row>
    <row r="401" ht="15.75" customHeight="1">
      <c r="A401" s="1"/>
      <c r="B401" s="203"/>
      <c r="C401" s="204"/>
      <c r="D401" s="205"/>
      <c r="E401" s="206"/>
      <c r="F401" s="207"/>
      <c r="G401" s="208"/>
      <c r="H401" s="174">
        <f t="shared" si="1"/>
        <v>0</v>
      </c>
      <c r="I401" s="209"/>
      <c r="J401" s="209"/>
      <c r="K401" s="177">
        <f t="shared" si="2"/>
        <v>0</v>
      </c>
      <c r="L401" s="210"/>
    </row>
    <row r="402" ht="15.75" customHeight="1">
      <c r="A402" s="1"/>
      <c r="B402" s="203"/>
      <c r="C402" s="204"/>
      <c r="D402" s="205"/>
      <c r="E402" s="206"/>
      <c r="F402" s="207"/>
      <c r="G402" s="208"/>
      <c r="H402" s="174">
        <f t="shared" si="1"/>
        <v>0</v>
      </c>
      <c r="I402" s="209"/>
      <c r="J402" s="209"/>
      <c r="K402" s="177">
        <f t="shared" si="2"/>
        <v>0</v>
      </c>
      <c r="L402" s="210"/>
    </row>
    <row r="403" ht="15.75" customHeight="1">
      <c r="A403" s="1"/>
      <c r="B403" s="203"/>
      <c r="C403" s="204"/>
      <c r="D403" s="205"/>
      <c r="E403" s="206"/>
      <c r="F403" s="207"/>
      <c r="G403" s="208"/>
      <c r="H403" s="174">
        <f t="shared" si="1"/>
        <v>0</v>
      </c>
      <c r="I403" s="209"/>
      <c r="J403" s="209"/>
      <c r="K403" s="177">
        <f t="shared" si="2"/>
        <v>0</v>
      </c>
      <c r="L403" s="210"/>
    </row>
    <row r="404" ht="15.75" customHeight="1">
      <c r="A404" s="1"/>
      <c r="B404" s="203"/>
      <c r="C404" s="204"/>
      <c r="D404" s="205"/>
      <c r="E404" s="206"/>
      <c r="F404" s="207"/>
      <c r="G404" s="208"/>
      <c r="H404" s="174">
        <f t="shared" si="1"/>
        <v>0</v>
      </c>
      <c r="I404" s="209"/>
      <c r="J404" s="209"/>
      <c r="K404" s="177">
        <f t="shared" si="2"/>
        <v>0</v>
      </c>
      <c r="L404" s="210"/>
    </row>
    <row r="405" ht="15.75" customHeight="1">
      <c r="A405" s="1"/>
      <c r="B405" s="203"/>
      <c r="C405" s="204"/>
      <c r="D405" s="205"/>
      <c r="E405" s="206"/>
      <c r="F405" s="207"/>
      <c r="G405" s="208"/>
      <c r="H405" s="174">
        <f t="shared" si="1"/>
        <v>0</v>
      </c>
      <c r="I405" s="209"/>
      <c r="J405" s="209"/>
      <c r="K405" s="177">
        <f t="shared" si="2"/>
        <v>0</v>
      </c>
      <c r="L405" s="210"/>
    </row>
    <row r="406" ht="15.75" customHeight="1">
      <c r="A406" s="1"/>
      <c r="B406" s="203"/>
      <c r="C406" s="204"/>
      <c r="D406" s="205"/>
      <c r="E406" s="206"/>
      <c r="F406" s="207"/>
      <c r="G406" s="208"/>
      <c r="H406" s="174">
        <f t="shared" si="1"/>
        <v>0</v>
      </c>
      <c r="I406" s="209"/>
      <c r="J406" s="209"/>
      <c r="K406" s="177">
        <f t="shared" si="2"/>
        <v>0</v>
      </c>
      <c r="L406" s="210"/>
    </row>
    <row r="407" ht="15.75" customHeight="1">
      <c r="A407" s="1"/>
      <c r="B407" s="203"/>
      <c r="C407" s="204"/>
      <c r="D407" s="205"/>
      <c r="E407" s="206"/>
      <c r="F407" s="207"/>
      <c r="G407" s="208"/>
      <c r="H407" s="174">
        <f t="shared" si="1"/>
        <v>0</v>
      </c>
      <c r="I407" s="209"/>
      <c r="J407" s="209"/>
      <c r="K407" s="177">
        <f t="shared" si="2"/>
        <v>0</v>
      </c>
      <c r="L407" s="210"/>
    </row>
    <row r="408" ht="15.75" customHeight="1">
      <c r="A408" s="1"/>
      <c r="B408" s="203"/>
      <c r="C408" s="204"/>
      <c r="D408" s="205"/>
      <c r="E408" s="206"/>
      <c r="F408" s="207"/>
      <c r="G408" s="208"/>
      <c r="H408" s="174">
        <f t="shared" si="1"/>
        <v>0</v>
      </c>
      <c r="I408" s="209"/>
      <c r="J408" s="209"/>
      <c r="K408" s="177">
        <f t="shared" si="2"/>
        <v>0</v>
      </c>
      <c r="L408" s="210"/>
    </row>
    <row r="409" ht="15.75" customHeight="1">
      <c r="A409" s="1"/>
      <c r="B409" s="203"/>
      <c r="C409" s="204"/>
      <c r="D409" s="205"/>
      <c r="E409" s="206"/>
      <c r="F409" s="207"/>
      <c r="G409" s="208"/>
      <c r="H409" s="174">
        <f t="shared" si="1"/>
        <v>0</v>
      </c>
      <c r="I409" s="209"/>
      <c r="J409" s="209"/>
      <c r="K409" s="177">
        <f t="shared" si="2"/>
        <v>0</v>
      </c>
      <c r="L409" s="210"/>
    </row>
    <row r="410" ht="15.75" customHeight="1">
      <c r="A410" s="1"/>
      <c r="B410" s="203"/>
      <c r="C410" s="204"/>
      <c r="D410" s="205"/>
      <c r="E410" s="206"/>
      <c r="F410" s="207"/>
      <c r="G410" s="208"/>
      <c r="H410" s="174">
        <f t="shared" si="1"/>
        <v>0</v>
      </c>
      <c r="I410" s="209"/>
      <c r="J410" s="209"/>
      <c r="K410" s="177">
        <f t="shared" si="2"/>
        <v>0</v>
      </c>
      <c r="L410" s="210"/>
    </row>
    <row r="411" ht="15.75" customHeight="1">
      <c r="A411" s="1"/>
      <c r="B411" s="203"/>
      <c r="C411" s="204"/>
      <c r="D411" s="205"/>
      <c r="E411" s="206"/>
      <c r="F411" s="207"/>
      <c r="G411" s="208"/>
      <c r="H411" s="174">
        <f t="shared" si="1"/>
        <v>0</v>
      </c>
      <c r="I411" s="209"/>
      <c r="J411" s="209"/>
      <c r="K411" s="177">
        <f t="shared" si="2"/>
        <v>0</v>
      </c>
      <c r="L411" s="210"/>
    </row>
    <row r="412" ht="15.75" customHeight="1">
      <c r="A412" s="1"/>
      <c r="B412" s="203"/>
      <c r="C412" s="204"/>
      <c r="D412" s="205"/>
      <c r="E412" s="206"/>
      <c r="F412" s="207"/>
      <c r="G412" s="208"/>
      <c r="H412" s="174">
        <f t="shared" si="1"/>
        <v>0</v>
      </c>
      <c r="I412" s="209"/>
      <c r="J412" s="209"/>
      <c r="K412" s="177">
        <f t="shared" si="2"/>
        <v>0</v>
      </c>
      <c r="L412" s="210"/>
    </row>
    <row r="413" ht="15.75" customHeight="1">
      <c r="A413" s="1"/>
      <c r="B413" s="203"/>
      <c r="C413" s="204"/>
      <c r="D413" s="205"/>
      <c r="E413" s="206"/>
      <c r="F413" s="207"/>
      <c r="G413" s="208"/>
      <c r="H413" s="174">
        <f t="shared" si="1"/>
        <v>0</v>
      </c>
      <c r="I413" s="209"/>
      <c r="J413" s="209"/>
      <c r="K413" s="177">
        <f t="shared" si="2"/>
        <v>0</v>
      </c>
      <c r="L413" s="210"/>
    </row>
    <row r="414" ht="15.75" customHeight="1">
      <c r="A414" s="1"/>
      <c r="B414" s="203"/>
      <c r="C414" s="204"/>
      <c r="D414" s="205"/>
      <c r="E414" s="206"/>
      <c r="F414" s="207"/>
      <c r="G414" s="208"/>
      <c r="H414" s="174">
        <f t="shared" si="1"/>
        <v>0</v>
      </c>
      <c r="I414" s="209"/>
      <c r="J414" s="209"/>
      <c r="K414" s="177">
        <f t="shared" si="2"/>
        <v>0</v>
      </c>
      <c r="L414" s="210"/>
    </row>
    <row r="415" ht="15.75" customHeight="1">
      <c r="A415" s="1"/>
      <c r="B415" s="203"/>
      <c r="C415" s="204"/>
      <c r="D415" s="205"/>
      <c r="E415" s="206"/>
      <c r="F415" s="207"/>
      <c r="G415" s="208"/>
      <c r="H415" s="174">
        <f t="shared" si="1"/>
        <v>0</v>
      </c>
      <c r="I415" s="209"/>
      <c r="J415" s="209"/>
      <c r="K415" s="177">
        <f t="shared" si="2"/>
        <v>0</v>
      </c>
      <c r="L415" s="210"/>
    </row>
    <row r="416" ht="15.75" customHeight="1">
      <c r="A416" s="1"/>
      <c r="B416" s="203"/>
      <c r="C416" s="204"/>
      <c r="D416" s="205"/>
      <c r="E416" s="206"/>
      <c r="F416" s="207"/>
      <c r="G416" s="208"/>
      <c r="H416" s="174">
        <f t="shared" si="1"/>
        <v>0</v>
      </c>
      <c r="I416" s="209"/>
      <c r="J416" s="209"/>
      <c r="K416" s="177">
        <f t="shared" si="2"/>
        <v>0</v>
      </c>
      <c r="L416" s="210"/>
    </row>
    <row r="417" ht="15.75" customHeight="1">
      <c r="A417" s="1"/>
      <c r="B417" s="203"/>
      <c r="C417" s="204"/>
      <c r="D417" s="205"/>
      <c r="E417" s="206"/>
      <c r="F417" s="207"/>
      <c r="G417" s="208"/>
      <c r="H417" s="174">
        <f t="shared" si="1"/>
        <v>0</v>
      </c>
      <c r="I417" s="209"/>
      <c r="J417" s="209"/>
      <c r="K417" s="177">
        <f t="shared" si="2"/>
        <v>0</v>
      </c>
      <c r="L417" s="210"/>
    </row>
    <row r="418" ht="15.75" customHeight="1">
      <c r="A418" s="1"/>
      <c r="B418" s="203"/>
      <c r="C418" s="204"/>
      <c r="D418" s="205"/>
      <c r="E418" s="206"/>
      <c r="F418" s="207"/>
      <c r="G418" s="208"/>
      <c r="H418" s="174">
        <f t="shared" si="1"/>
        <v>0</v>
      </c>
      <c r="I418" s="209"/>
      <c r="J418" s="209"/>
      <c r="K418" s="177">
        <f t="shared" si="2"/>
        <v>0</v>
      </c>
      <c r="L418" s="210"/>
    </row>
    <row r="419" ht="15.75" customHeight="1">
      <c r="A419" s="1"/>
      <c r="B419" s="203"/>
      <c r="C419" s="204"/>
      <c r="D419" s="205"/>
      <c r="E419" s="206"/>
      <c r="F419" s="207"/>
      <c r="G419" s="208"/>
      <c r="H419" s="174">
        <f t="shared" si="1"/>
        <v>0</v>
      </c>
      <c r="I419" s="209"/>
      <c r="J419" s="209"/>
      <c r="K419" s="177">
        <f t="shared" si="2"/>
        <v>0</v>
      </c>
      <c r="L419" s="210"/>
    </row>
    <row r="420" ht="15.75" customHeight="1">
      <c r="A420" s="1"/>
      <c r="B420" s="203"/>
      <c r="C420" s="204"/>
      <c r="D420" s="205"/>
      <c r="E420" s="206"/>
      <c r="F420" s="207"/>
      <c r="G420" s="208"/>
      <c r="H420" s="174">
        <f t="shared" si="1"/>
        <v>0</v>
      </c>
      <c r="I420" s="209"/>
      <c r="J420" s="209"/>
      <c r="K420" s="177">
        <f t="shared" si="2"/>
        <v>0</v>
      </c>
      <c r="L420" s="210"/>
    </row>
    <row r="421" ht="15.75" customHeight="1">
      <c r="A421" s="1"/>
      <c r="B421" s="203"/>
      <c r="C421" s="204"/>
      <c r="D421" s="205"/>
      <c r="E421" s="206"/>
      <c r="F421" s="207"/>
      <c r="G421" s="208"/>
      <c r="H421" s="174">
        <f t="shared" si="1"/>
        <v>0</v>
      </c>
      <c r="I421" s="209"/>
      <c r="J421" s="209"/>
      <c r="K421" s="177">
        <f t="shared" si="2"/>
        <v>0</v>
      </c>
      <c r="L421" s="210"/>
    </row>
    <row r="422" ht="15.75" customHeight="1">
      <c r="A422" s="1"/>
      <c r="B422" s="203"/>
      <c r="C422" s="204"/>
      <c r="D422" s="205"/>
      <c r="E422" s="206"/>
      <c r="F422" s="207"/>
      <c r="G422" s="208"/>
      <c r="H422" s="174">
        <f t="shared" si="1"/>
        <v>0</v>
      </c>
      <c r="I422" s="209"/>
      <c r="J422" s="209"/>
      <c r="K422" s="177">
        <f t="shared" si="2"/>
        <v>0</v>
      </c>
      <c r="L422" s="210"/>
    </row>
    <row r="423" ht="15.75" customHeight="1">
      <c r="A423" s="1"/>
      <c r="B423" s="203"/>
      <c r="C423" s="204"/>
      <c r="D423" s="205"/>
      <c r="E423" s="206"/>
      <c r="F423" s="207"/>
      <c r="G423" s="208"/>
      <c r="H423" s="174">
        <f t="shared" si="1"/>
        <v>0</v>
      </c>
      <c r="I423" s="209"/>
      <c r="J423" s="209"/>
      <c r="K423" s="177">
        <f t="shared" si="2"/>
        <v>0</v>
      </c>
      <c r="L423" s="210"/>
    </row>
    <row r="424" ht="15.75" customHeight="1">
      <c r="A424" s="1"/>
      <c r="B424" s="203"/>
      <c r="C424" s="204"/>
      <c r="D424" s="205"/>
      <c r="E424" s="206"/>
      <c r="F424" s="207"/>
      <c r="G424" s="208"/>
      <c r="H424" s="174">
        <f t="shared" si="1"/>
        <v>0</v>
      </c>
      <c r="I424" s="209"/>
      <c r="J424" s="209"/>
      <c r="K424" s="177">
        <f t="shared" si="2"/>
        <v>0</v>
      </c>
      <c r="L424" s="210"/>
    </row>
    <row r="425" ht="15.75" customHeight="1">
      <c r="A425" s="1"/>
      <c r="B425" s="203"/>
      <c r="C425" s="204"/>
      <c r="D425" s="205"/>
      <c r="E425" s="206"/>
      <c r="F425" s="207"/>
      <c r="G425" s="208"/>
      <c r="H425" s="174">
        <f t="shared" si="1"/>
        <v>0</v>
      </c>
      <c r="I425" s="209"/>
      <c r="J425" s="209"/>
      <c r="K425" s="177">
        <f t="shared" si="2"/>
        <v>0</v>
      </c>
      <c r="L425" s="210"/>
    </row>
    <row r="426" ht="15.75" customHeight="1">
      <c r="A426" s="1"/>
      <c r="B426" s="203"/>
      <c r="C426" s="204"/>
      <c r="D426" s="205"/>
      <c r="E426" s="206"/>
      <c r="F426" s="207"/>
      <c r="G426" s="208"/>
      <c r="H426" s="174">
        <f t="shared" si="1"/>
        <v>0</v>
      </c>
      <c r="I426" s="209"/>
      <c r="J426" s="209"/>
      <c r="K426" s="177">
        <f t="shared" si="2"/>
        <v>0</v>
      </c>
      <c r="L426" s="210"/>
    </row>
    <row r="427" ht="15.75" customHeight="1">
      <c r="A427" s="1"/>
      <c r="B427" s="203"/>
      <c r="C427" s="204"/>
      <c r="D427" s="205"/>
      <c r="E427" s="206"/>
      <c r="F427" s="207"/>
      <c r="G427" s="208"/>
      <c r="H427" s="174">
        <f t="shared" si="1"/>
        <v>0</v>
      </c>
      <c r="I427" s="209"/>
      <c r="J427" s="209"/>
      <c r="K427" s="177">
        <f t="shared" si="2"/>
        <v>0</v>
      </c>
      <c r="L427" s="210"/>
    </row>
    <row r="428" ht="15.75" customHeight="1">
      <c r="A428" s="1"/>
      <c r="B428" s="203"/>
      <c r="C428" s="204"/>
      <c r="D428" s="205"/>
      <c r="E428" s="206"/>
      <c r="F428" s="207"/>
      <c r="G428" s="208"/>
      <c r="H428" s="174">
        <f t="shared" si="1"/>
        <v>0</v>
      </c>
      <c r="I428" s="209"/>
      <c r="J428" s="209"/>
      <c r="K428" s="177">
        <f t="shared" si="2"/>
        <v>0</v>
      </c>
      <c r="L428" s="210"/>
    </row>
    <row r="429" ht="15.75" customHeight="1">
      <c r="A429" s="1"/>
      <c r="B429" s="203"/>
      <c r="C429" s="204"/>
      <c r="D429" s="205"/>
      <c r="E429" s="206"/>
      <c r="F429" s="207"/>
      <c r="G429" s="208"/>
      <c r="H429" s="174">
        <f t="shared" si="1"/>
        <v>0</v>
      </c>
      <c r="I429" s="209"/>
      <c r="J429" s="209"/>
      <c r="K429" s="177">
        <f t="shared" si="2"/>
        <v>0</v>
      </c>
      <c r="L429" s="210"/>
    </row>
    <row r="430" ht="15.75" customHeight="1">
      <c r="A430" s="1"/>
      <c r="B430" s="203"/>
      <c r="C430" s="204"/>
      <c r="D430" s="205"/>
      <c r="E430" s="206"/>
      <c r="F430" s="207"/>
      <c r="G430" s="208"/>
      <c r="H430" s="174">
        <f t="shared" si="1"/>
        <v>0</v>
      </c>
      <c r="I430" s="209"/>
      <c r="J430" s="209"/>
      <c r="K430" s="177">
        <f t="shared" si="2"/>
        <v>0</v>
      </c>
      <c r="L430" s="210"/>
    </row>
    <row r="431" ht="15.75" customHeight="1">
      <c r="A431" s="1"/>
      <c r="B431" s="203"/>
      <c r="C431" s="204"/>
      <c r="D431" s="205"/>
      <c r="E431" s="206"/>
      <c r="F431" s="207"/>
      <c r="G431" s="208"/>
      <c r="H431" s="174">
        <f t="shared" si="1"/>
        <v>0</v>
      </c>
      <c r="I431" s="209"/>
      <c r="J431" s="209"/>
      <c r="K431" s="177">
        <f t="shared" si="2"/>
        <v>0</v>
      </c>
      <c r="L431" s="210"/>
    </row>
    <row r="432" ht="15.75" customHeight="1">
      <c r="A432" s="1"/>
      <c r="B432" s="203"/>
      <c r="C432" s="204"/>
      <c r="D432" s="205"/>
      <c r="E432" s="206"/>
      <c r="F432" s="207"/>
      <c r="G432" s="208"/>
      <c r="H432" s="174">
        <f t="shared" si="1"/>
        <v>0</v>
      </c>
      <c r="I432" s="209"/>
      <c r="J432" s="209"/>
      <c r="K432" s="177">
        <f t="shared" si="2"/>
        <v>0</v>
      </c>
      <c r="L432" s="210"/>
    </row>
    <row r="433" ht="15.75" customHeight="1">
      <c r="A433" s="1"/>
      <c r="B433" s="203"/>
      <c r="C433" s="204"/>
      <c r="D433" s="205"/>
      <c r="E433" s="206"/>
      <c r="F433" s="207"/>
      <c r="G433" s="208"/>
      <c r="H433" s="174">
        <f t="shared" si="1"/>
        <v>0</v>
      </c>
      <c r="I433" s="209"/>
      <c r="J433" s="209"/>
      <c r="K433" s="177">
        <f t="shared" si="2"/>
        <v>0</v>
      </c>
      <c r="L433" s="210"/>
    </row>
    <row r="434" ht="15.75" customHeight="1">
      <c r="A434" s="1"/>
      <c r="B434" s="203"/>
      <c r="C434" s="204"/>
      <c r="D434" s="205"/>
      <c r="E434" s="206"/>
      <c r="F434" s="207"/>
      <c r="G434" s="208"/>
      <c r="H434" s="174">
        <f t="shared" si="1"/>
        <v>0</v>
      </c>
      <c r="I434" s="209"/>
      <c r="J434" s="209"/>
      <c r="K434" s="177">
        <f t="shared" si="2"/>
        <v>0</v>
      </c>
      <c r="L434" s="210"/>
    </row>
    <row r="435" ht="15.75" customHeight="1">
      <c r="A435" s="1"/>
      <c r="B435" s="203"/>
      <c r="C435" s="204"/>
      <c r="D435" s="205"/>
      <c r="E435" s="206"/>
      <c r="F435" s="207"/>
      <c r="G435" s="208"/>
      <c r="H435" s="174">
        <f t="shared" si="1"/>
        <v>0</v>
      </c>
      <c r="I435" s="209"/>
      <c r="J435" s="209"/>
      <c r="K435" s="177">
        <f t="shared" si="2"/>
        <v>0</v>
      </c>
      <c r="L435" s="210"/>
    </row>
    <row r="436" ht="15.75" customHeight="1">
      <c r="A436" s="1"/>
      <c r="B436" s="203"/>
      <c r="C436" s="204"/>
      <c r="D436" s="205"/>
      <c r="E436" s="206"/>
      <c r="F436" s="207"/>
      <c r="G436" s="208"/>
      <c r="H436" s="174">
        <f t="shared" si="1"/>
        <v>0</v>
      </c>
      <c r="I436" s="209"/>
      <c r="J436" s="209"/>
      <c r="K436" s="177">
        <f t="shared" si="2"/>
        <v>0</v>
      </c>
      <c r="L436" s="210"/>
    </row>
    <row r="437" ht="15.75" customHeight="1">
      <c r="A437" s="1"/>
      <c r="B437" s="203"/>
      <c r="C437" s="204"/>
      <c r="D437" s="205"/>
      <c r="E437" s="206"/>
      <c r="F437" s="207"/>
      <c r="G437" s="208"/>
      <c r="H437" s="174">
        <f t="shared" si="1"/>
        <v>0</v>
      </c>
      <c r="I437" s="209"/>
      <c r="J437" s="209"/>
      <c r="K437" s="177">
        <f t="shared" si="2"/>
        <v>0</v>
      </c>
      <c r="L437" s="210"/>
    </row>
    <row r="438" ht="15.75" customHeight="1">
      <c r="A438" s="1"/>
      <c r="B438" s="203"/>
      <c r="C438" s="204"/>
      <c r="D438" s="205"/>
      <c r="E438" s="206"/>
      <c r="F438" s="207"/>
      <c r="G438" s="208"/>
      <c r="H438" s="174">
        <f t="shared" si="1"/>
        <v>0</v>
      </c>
      <c r="I438" s="209"/>
      <c r="J438" s="209"/>
      <c r="K438" s="177">
        <f t="shared" si="2"/>
        <v>0</v>
      </c>
      <c r="L438" s="210"/>
    </row>
    <row r="439" ht="15.75" customHeight="1">
      <c r="A439" s="1"/>
      <c r="B439" s="203"/>
      <c r="C439" s="204"/>
      <c r="D439" s="205"/>
      <c r="E439" s="206"/>
      <c r="F439" s="207"/>
      <c r="G439" s="208"/>
      <c r="H439" s="174">
        <f t="shared" si="1"/>
        <v>0</v>
      </c>
      <c r="I439" s="209"/>
      <c r="J439" s="209"/>
      <c r="K439" s="177">
        <f t="shared" si="2"/>
        <v>0</v>
      </c>
      <c r="L439" s="210"/>
    </row>
    <row r="440" ht="15.75" customHeight="1">
      <c r="A440" s="1"/>
      <c r="B440" s="203"/>
      <c r="C440" s="204"/>
      <c r="D440" s="205"/>
      <c r="E440" s="206"/>
      <c r="F440" s="207"/>
      <c r="G440" s="208"/>
      <c r="H440" s="174">
        <f t="shared" si="1"/>
        <v>0</v>
      </c>
      <c r="I440" s="209"/>
      <c r="J440" s="209"/>
      <c r="K440" s="177">
        <f t="shared" si="2"/>
        <v>0</v>
      </c>
      <c r="L440" s="210"/>
    </row>
    <row r="441" ht="15.75" customHeight="1">
      <c r="A441" s="1"/>
      <c r="B441" s="203"/>
      <c r="C441" s="204"/>
      <c r="D441" s="205"/>
      <c r="E441" s="206"/>
      <c r="F441" s="207"/>
      <c r="G441" s="208"/>
      <c r="H441" s="174">
        <f t="shared" si="1"/>
        <v>0</v>
      </c>
      <c r="I441" s="209"/>
      <c r="J441" s="209"/>
      <c r="K441" s="177">
        <f t="shared" si="2"/>
        <v>0</v>
      </c>
      <c r="L441" s="210"/>
    </row>
    <row r="442" ht="15.75" customHeight="1">
      <c r="A442" s="1"/>
      <c r="B442" s="203"/>
      <c r="C442" s="204"/>
      <c r="D442" s="205"/>
      <c r="E442" s="206"/>
      <c r="F442" s="207"/>
      <c r="G442" s="208"/>
      <c r="H442" s="174">
        <f t="shared" si="1"/>
        <v>0</v>
      </c>
      <c r="I442" s="209"/>
      <c r="J442" s="209"/>
      <c r="K442" s="177">
        <f t="shared" si="2"/>
        <v>0</v>
      </c>
      <c r="L442" s="210"/>
    </row>
    <row r="443" ht="15.75" customHeight="1">
      <c r="A443" s="1"/>
      <c r="B443" s="203"/>
      <c r="C443" s="204"/>
      <c r="D443" s="205"/>
      <c r="E443" s="206"/>
      <c r="F443" s="207"/>
      <c r="G443" s="208"/>
      <c r="H443" s="174">
        <f t="shared" si="1"/>
        <v>0</v>
      </c>
      <c r="I443" s="209"/>
      <c r="J443" s="209"/>
      <c r="K443" s="177">
        <f t="shared" si="2"/>
        <v>0</v>
      </c>
      <c r="L443" s="210"/>
    </row>
    <row r="444" ht="15.75" customHeight="1">
      <c r="A444" s="1"/>
      <c r="B444" s="203"/>
      <c r="C444" s="204"/>
      <c r="D444" s="205"/>
      <c r="E444" s="206"/>
      <c r="F444" s="207"/>
      <c r="G444" s="208"/>
      <c r="H444" s="174">
        <f t="shared" si="1"/>
        <v>0</v>
      </c>
      <c r="I444" s="209"/>
      <c r="J444" s="209"/>
      <c r="K444" s="177">
        <f t="shared" si="2"/>
        <v>0</v>
      </c>
      <c r="L444" s="210"/>
    </row>
    <row r="445" ht="15.75" customHeight="1">
      <c r="A445" s="1"/>
      <c r="B445" s="203"/>
      <c r="C445" s="204"/>
      <c r="D445" s="205"/>
      <c r="E445" s="206"/>
      <c r="F445" s="207"/>
      <c r="G445" s="208"/>
      <c r="H445" s="174">
        <f t="shared" si="1"/>
        <v>0</v>
      </c>
      <c r="I445" s="209"/>
      <c r="J445" s="209"/>
      <c r="K445" s="177">
        <f t="shared" si="2"/>
        <v>0</v>
      </c>
      <c r="L445" s="210"/>
    </row>
    <row r="446" ht="15.75" customHeight="1">
      <c r="A446" s="1"/>
      <c r="B446" s="203"/>
      <c r="C446" s="204"/>
      <c r="D446" s="205"/>
      <c r="E446" s="206"/>
      <c r="F446" s="207"/>
      <c r="G446" s="208"/>
      <c r="H446" s="174">
        <f t="shared" si="1"/>
        <v>0</v>
      </c>
      <c r="I446" s="209"/>
      <c r="J446" s="209"/>
      <c r="K446" s="177">
        <f t="shared" si="2"/>
        <v>0</v>
      </c>
      <c r="L446" s="210"/>
    </row>
    <row r="447" ht="15.75" customHeight="1">
      <c r="A447" s="1"/>
      <c r="B447" s="203"/>
      <c r="C447" s="204"/>
      <c r="D447" s="205"/>
      <c r="E447" s="206"/>
      <c r="F447" s="207"/>
      <c r="G447" s="208"/>
      <c r="H447" s="174">
        <f t="shared" si="1"/>
        <v>0</v>
      </c>
      <c r="I447" s="209"/>
      <c r="J447" s="209"/>
      <c r="K447" s="177">
        <f t="shared" si="2"/>
        <v>0</v>
      </c>
      <c r="L447" s="210"/>
    </row>
    <row r="448" ht="15.75" customHeight="1">
      <c r="A448" s="1"/>
      <c r="B448" s="203"/>
      <c r="C448" s="204"/>
      <c r="D448" s="205"/>
      <c r="E448" s="206"/>
      <c r="F448" s="207"/>
      <c r="G448" s="208"/>
      <c r="H448" s="174">
        <f t="shared" si="1"/>
        <v>0</v>
      </c>
      <c r="I448" s="209"/>
      <c r="J448" s="209"/>
      <c r="K448" s="177">
        <f t="shared" si="2"/>
        <v>0</v>
      </c>
      <c r="L448" s="210"/>
    </row>
    <row r="449" ht="15.75" customHeight="1">
      <c r="A449" s="1"/>
      <c r="B449" s="203"/>
      <c r="C449" s="204"/>
      <c r="D449" s="205"/>
      <c r="E449" s="206"/>
      <c r="F449" s="207"/>
      <c r="G449" s="208"/>
      <c r="H449" s="174">
        <f t="shared" si="1"/>
        <v>0</v>
      </c>
      <c r="I449" s="209"/>
      <c r="J449" s="209"/>
      <c r="K449" s="177">
        <f t="shared" si="2"/>
        <v>0</v>
      </c>
      <c r="L449" s="210"/>
    </row>
    <row r="450" ht="15.75" customHeight="1">
      <c r="A450" s="1"/>
      <c r="B450" s="203"/>
      <c r="C450" s="204"/>
      <c r="D450" s="205"/>
      <c r="E450" s="206"/>
      <c r="F450" s="207"/>
      <c r="G450" s="208"/>
      <c r="H450" s="174">
        <f t="shared" si="1"/>
        <v>0</v>
      </c>
      <c r="I450" s="209"/>
      <c r="J450" s="209"/>
      <c r="K450" s="177">
        <f t="shared" si="2"/>
        <v>0</v>
      </c>
      <c r="L450" s="210"/>
    </row>
    <row r="451" ht="15.75" customHeight="1">
      <c r="A451" s="1"/>
      <c r="B451" s="203"/>
      <c r="C451" s="204"/>
      <c r="D451" s="205"/>
      <c r="E451" s="206"/>
      <c r="F451" s="207"/>
      <c r="G451" s="208"/>
      <c r="H451" s="174">
        <f t="shared" si="1"/>
        <v>0</v>
      </c>
      <c r="I451" s="209"/>
      <c r="J451" s="209"/>
      <c r="K451" s="177">
        <f t="shared" si="2"/>
        <v>0</v>
      </c>
      <c r="L451" s="210"/>
    </row>
    <row r="452" ht="15.75" customHeight="1">
      <c r="A452" s="1"/>
      <c r="B452" s="203"/>
      <c r="C452" s="204"/>
      <c r="D452" s="205"/>
      <c r="E452" s="206"/>
      <c r="F452" s="207"/>
      <c r="G452" s="208"/>
      <c r="H452" s="174">
        <f t="shared" si="1"/>
        <v>0</v>
      </c>
      <c r="I452" s="209"/>
      <c r="J452" s="209"/>
      <c r="K452" s="177">
        <f t="shared" si="2"/>
        <v>0</v>
      </c>
      <c r="L452" s="210"/>
    </row>
    <row r="453" ht="15.75" customHeight="1">
      <c r="A453" s="1"/>
      <c r="B453" s="203"/>
      <c r="C453" s="204"/>
      <c r="D453" s="205"/>
      <c r="E453" s="206"/>
      <c r="F453" s="207"/>
      <c r="G453" s="208"/>
      <c r="H453" s="174">
        <f t="shared" si="1"/>
        <v>0</v>
      </c>
      <c r="I453" s="209"/>
      <c r="J453" s="209"/>
      <c r="K453" s="177">
        <f t="shared" si="2"/>
        <v>0</v>
      </c>
      <c r="L453" s="210"/>
    </row>
    <row r="454" ht="15.75" customHeight="1">
      <c r="A454" s="1"/>
      <c r="B454" s="203"/>
      <c r="C454" s="204"/>
      <c r="D454" s="205"/>
      <c r="E454" s="206"/>
      <c r="F454" s="207"/>
      <c r="G454" s="208"/>
      <c r="H454" s="174">
        <f t="shared" si="1"/>
        <v>0</v>
      </c>
      <c r="I454" s="209"/>
      <c r="J454" s="209"/>
      <c r="K454" s="177">
        <f t="shared" si="2"/>
        <v>0</v>
      </c>
      <c r="L454" s="210"/>
    </row>
    <row r="455" ht="15.75" customHeight="1">
      <c r="A455" s="1"/>
      <c r="B455" s="203"/>
      <c r="C455" s="204"/>
      <c r="D455" s="205"/>
      <c r="E455" s="206"/>
      <c r="F455" s="207"/>
      <c r="G455" s="208"/>
      <c r="H455" s="174">
        <f t="shared" si="1"/>
        <v>0</v>
      </c>
      <c r="I455" s="209"/>
      <c r="J455" s="209"/>
      <c r="K455" s="177">
        <f t="shared" si="2"/>
        <v>0</v>
      </c>
      <c r="L455" s="210"/>
    </row>
    <row r="456" ht="15.75" customHeight="1">
      <c r="A456" s="1"/>
      <c r="B456" s="203"/>
      <c r="C456" s="204"/>
      <c r="D456" s="205"/>
      <c r="E456" s="206"/>
      <c r="F456" s="207"/>
      <c r="G456" s="208"/>
      <c r="H456" s="174">
        <f t="shared" si="1"/>
        <v>0</v>
      </c>
      <c r="I456" s="209"/>
      <c r="J456" s="209"/>
      <c r="K456" s="177">
        <f t="shared" si="2"/>
        <v>0</v>
      </c>
      <c r="L456" s="210"/>
    </row>
    <row r="457" ht="15.75" customHeight="1">
      <c r="A457" s="1"/>
      <c r="B457" s="203"/>
      <c r="C457" s="204"/>
      <c r="D457" s="205"/>
      <c r="E457" s="206"/>
      <c r="F457" s="207"/>
      <c r="G457" s="208"/>
      <c r="H457" s="174">
        <f t="shared" si="1"/>
        <v>0</v>
      </c>
      <c r="I457" s="209"/>
      <c r="J457" s="209"/>
      <c r="K457" s="177">
        <f t="shared" si="2"/>
        <v>0</v>
      </c>
      <c r="L457" s="210"/>
    </row>
    <row r="458" ht="15.75" customHeight="1">
      <c r="A458" s="1"/>
      <c r="B458" s="203"/>
      <c r="C458" s="204"/>
      <c r="D458" s="205"/>
      <c r="E458" s="206"/>
      <c r="F458" s="207"/>
      <c r="G458" s="208"/>
      <c r="H458" s="174">
        <f t="shared" si="1"/>
        <v>0</v>
      </c>
      <c r="I458" s="209"/>
      <c r="J458" s="209"/>
      <c r="K458" s="177">
        <f t="shared" si="2"/>
        <v>0</v>
      </c>
      <c r="L458" s="210"/>
    </row>
    <row r="459" ht="15.75" customHeight="1">
      <c r="A459" s="1"/>
      <c r="B459" s="203"/>
      <c r="C459" s="204"/>
      <c r="D459" s="205"/>
      <c r="E459" s="206"/>
      <c r="F459" s="207"/>
      <c r="G459" s="208"/>
      <c r="H459" s="174">
        <f t="shared" si="1"/>
        <v>0</v>
      </c>
      <c r="I459" s="209"/>
      <c r="J459" s="209"/>
      <c r="K459" s="177">
        <f t="shared" si="2"/>
        <v>0</v>
      </c>
      <c r="L459" s="210"/>
    </row>
    <row r="460" ht="15.75" customHeight="1">
      <c r="A460" s="1"/>
      <c r="B460" s="203"/>
      <c r="C460" s="204"/>
      <c r="D460" s="205"/>
      <c r="E460" s="206"/>
      <c r="F460" s="207"/>
      <c r="G460" s="208"/>
      <c r="H460" s="174">
        <f t="shared" si="1"/>
        <v>0</v>
      </c>
      <c r="I460" s="209"/>
      <c r="J460" s="209"/>
      <c r="K460" s="177">
        <f t="shared" si="2"/>
        <v>0</v>
      </c>
      <c r="L460" s="210"/>
    </row>
    <row r="461" ht="15.75" customHeight="1">
      <c r="A461" s="1"/>
      <c r="B461" s="203"/>
      <c r="C461" s="204"/>
      <c r="D461" s="205"/>
      <c r="E461" s="206"/>
      <c r="F461" s="207"/>
      <c r="G461" s="208"/>
      <c r="H461" s="174">
        <f t="shared" si="1"/>
        <v>0</v>
      </c>
      <c r="I461" s="209"/>
      <c r="J461" s="209"/>
      <c r="K461" s="177">
        <f t="shared" si="2"/>
        <v>0</v>
      </c>
      <c r="L461" s="210"/>
    </row>
    <row r="462" ht="15.75" customHeight="1">
      <c r="A462" s="1"/>
      <c r="B462" s="203"/>
      <c r="C462" s="204"/>
      <c r="D462" s="205"/>
      <c r="E462" s="206"/>
      <c r="F462" s="207"/>
      <c r="G462" s="208"/>
      <c r="H462" s="174">
        <f t="shared" si="1"/>
        <v>0</v>
      </c>
      <c r="I462" s="209"/>
      <c r="J462" s="209"/>
      <c r="K462" s="177">
        <f t="shared" si="2"/>
        <v>0</v>
      </c>
      <c r="L462" s="210"/>
    </row>
    <row r="463" ht="15.75" customHeight="1">
      <c r="A463" s="1"/>
      <c r="B463" s="203"/>
      <c r="C463" s="204"/>
      <c r="D463" s="205"/>
      <c r="E463" s="206"/>
      <c r="F463" s="207"/>
      <c r="G463" s="208"/>
      <c r="H463" s="174">
        <f t="shared" si="1"/>
        <v>0</v>
      </c>
      <c r="I463" s="209"/>
      <c r="J463" s="209"/>
      <c r="K463" s="177">
        <f t="shared" si="2"/>
        <v>0</v>
      </c>
      <c r="L463" s="210"/>
    </row>
    <row r="464" ht="15.75" customHeight="1">
      <c r="A464" s="1"/>
      <c r="B464" s="203"/>
      <c r="C464" s="204"/>
      <c r="D464" s="205"/>
      <c r="E464" s="206"/>
      <c r="F464" s="207"/>
      <c r="G464" s="208"/>
      <c r="H464" s="174">
        <f t="shared" si="1"/>
        <v>0</v>
      </c>
      <c r="I464" s="209"/>
      <c r="J464" s="209"/>
      <c r="K464" s="177">
        <f t="shared" si="2"/>
        <v>0</v>
      </c>
      <c r="L464" s="210"/>
    </row>
    <row r="465" ht="15.75" customHeight="1">
      <c r="A465" s="1"/>
      <c r="B465" s="203"/>
      <c r="C465" s="204"/>
      <c r="D465" s="205"/>
      <c r="E465" s="206"/>
      <c r="F465" s="207"/>
      <c r="G465" s="208"/>
      <c r="H465" s="174">
        <f t="shared" si="1"/>
        <v>0</v>
      </c>
      <c r="I465" s="209"/>
      <c r="J465" s="209"/>
      <c r="K465" s="177">
        <f t="shared" si="2"/>
        <v>0</v>
      </c>
      <c r="L465" s="210"/>
    </row>
    <row r="466" ht="15.75" customHeight="1">
      <c r="A466" s="1"/>
      <c r="B466" s="203"/>
      <c r="C466" s="204"/>
      <c r="D466" s="205"/>
      <c r="E466" s="206"/>
      <c r="F466" s="207"/>
      <c r="G466" s="208"/>
      <c r="H466" s="174">
        <f t="shared" si="1"/>
        <v>0</v>
      </c>
      <c r="I466" s="209"/>
      <c r="J466" s="209"/>
      <c r="K466" s="177">
        <f t="shared" si="2"/>
        <v>0</v>
      </c>
      <c r="L466" s="210"/>
    </row>
    <row r="467" ht="15.75" customHeight="1">
      <c r="A467" s="1"/>
      <c r="B467" s="203"/>
      <c r="C467" s="204"/>
      <c r="D467" s="205"/>
      <c r="E467" s="206"/>
      <c r="F467" s="207"/>
      <c r="G467" s="208"/>
      <c r="H467" s="174">
        <f t="shared" si="1"/>
        <v>0</v>
      </c>
      <c r="I467" s="209"/>
      <c r="J467" s="209"/>
      <c r="K467" s="177">
        <f t="shared" si="2"/>
        <v>0</v>
      </c>
      <c r="L467" s="210"/>
    </row>
    <row r="468" ht="15.75" customHeight="1">
      <c r="A468" s="1"/>
      <c r="B468" s="203"/>
      <c r="C468" s="204"/>
      <c r="D468" s="205"/>
      <c r="E468" s="206"/>
      <c r="F468" s="207"/>
      <c r="G468" s="208"/>
      <c r="H468" s="174">
        <f t="shared" si="1"/>
        <v>0</v>
      </c>
      <c r="I468" s="209"/>
      <c r="J468" s="209"/>
      <c r="K468" s="177">
        <f t="shared" si="2"/>
        <v>0</v>
      </c>
      <c r="L468" s="210"/>
    </row>
    <row r="469" ht="15.75" customHeight="1">
      <c r="A469" s="1"/>
      <c r="B469" s="203"/>
      <c r="C469" s="204"/>
      <c r="D469" s="205"/>
      <c r="E469" s="206"/>
      <c r="F469" s="207"/>
      <c r="G469" s="208"/>
      <c r="H469" s="174">
        <f t="shared" si="1"/>
        <v>0</v>
      </c>
      <c r="I469" s="209"/>
      <c r="J469" s="209"/>
      <c r="K469" s="177">
        <f t="shared" si="2"/>
        <v>0</v>
      </c>
      <c r="L469" s="210"/>
    </row>
    <row r="470" ht="15.75" customHeight="1">
      <c r="A470" s="1"/>
      <c r="B470" s="203"/>
      <c r="C470" s="204"/>
      <c r="D470" s="205"/>
      <c r="E470" s="206"/>
      <c r="F470" s="207"/>
      <c r="G470" s="208"/>
      <c r="H470" s="174">
        <f t="shared" si="1"/>
        <v>0</v>
      </c>
      <c r="I470" s="209"/>
      <c r="J470" s="209"/>
      <c r="K470" s="177">
        <f t="shared" si="2"/>
        <v>0</v>
      </c>
      <c r="L470" s="210"/>
    </row>
    <row r="471" ht="15.75" customHeight="1">
      <c r="A471" s="1"/>
      <c r="B471" s="203"/>
      <c r="C471" s="204"/>
      <c r="D471" s="205"/>
      <c r="E471" s="206"/>
      <c r="F471" s="207"/>
      <c r="G471" s="208"/>
      <c r="H471" s="174">
        <f t="shared" si="1"/>
        <v>0</v>
      </c>
      <c r="I471" s="209"/>
      <c r="J471" s="209"/>
      <c r="K471" s="177">
        <f t="shared" si="2"/>
        <v>0</v>
      </c>
      <c r="L471" s="210"/>
    </row>
    <row r="472" ht="15.75" customHeight="1">
      <c r="A472" s="1"/>
      <c r="B472" s="203"/>
      <c r="C472" s="204"/>
      <c r="D472" s="205"/>
      <c r="E472" s="206"/>
      <c r="F472" s="207"/>
      <c r="G472" s="208"/>
      <c r="H472" s="174">
        <f t="shared" si="1"/>
        <v>0</v>
      </c>
      <c r="I472" s="209"/>
      <c r="J472" s="209"/>
      <c r="K472" s="177">
        <f t="shared" si="2"/>
        <v>0</v>
      </c>
      <c r="L472" s="210"/>
    </row>
    <row r="473" ht="15.75" customHeight="1">
      <c r="A473" s="1"/>
      <c r="B473" s="203"/>
      <c r="C473" s="204"/>
      <c r="D473" s="205"/>
      <c r="E473" s="206"/>
      <c r="F473" s="207"/>
      <c r="G473" s="208"/>
      <c r="H473" s="174">
        <f t="shared" si="1"/>
        <v>0</v>
      </c>
      <c r="I473" s="209"/>
      <c r="J473" s="209"/>
      <c r="K473" s="177">
        <f t="shared" si="2"/>
        <v>0</v>
      </c>
      <c r="L473" s="210"/>
    </row>
    <row r="474" ht="15.75" customHeight="1">
      <c r="A474" s="1"/>
      <c r="B474" s="203"/>
      <c r="C474" s="204"/>
      <c r="D474" s="205"/>
      <c r="E474" s="206"/>
      <c r="F474" s="207"/>
      <c r="G474" s="208"/>
      <c r="H474" s="174">
        <f t="shared" si="1"/>
        <v>0</v>
      </c>
      <c r="I474" s="209"/>
      <c r="J474" s="209"/>
      <c r="K474" s="177">
        <f t="shared" si="2"/>
        <v>0</v>
      </c>
      <c r="L474" s="210"/>
    </row>
    <row r="475" ht="15.75" customHeight="1">
      <c r="A475" s="1"/>
      <c r="B475" s="203"/>
      <c r="C475" s="204"/>
      <c r="D475" s="205"/>
      <c r="E475" s="206"/>
      <c r="F475" s="207"/>
      <c r="G475" s="208"/>
      <c r="H475" s="174">
        <f t="shared" si="1"/>
        <v>0</v>
      </c>
      <c r="I475" s="209"/>
      <c r="J475" s="209"/>
      <c r="K475" s="177">
        <f t="shared" si="2"/>
        <v>0</v>
      </c>
      <c r="L475" s="210"/>
    </row>
    <row r="476" ht="15.75" customHeight="1">
      <c r="A476" s="1"/>
      <c r="B476" s="203"/>
      <c r="C476" s="204"/>
      <c r="D476" s="205"/>
      <c r="E476" s="206"/>
      <c r="F476" s="207"/>
      <c r="G476" s="208"/>
      <c r="H476" s="174">
        <f t="shared" si="1"/>
        <v>0</v>
      </c>
      <c r="I476" s="209"/>
      <c r="J476" s="209"/>
      <c r="K476" s="177">
        <f t="shared" si="2"/>
        <v>0</v>
      </c>
      <c r="L476" s="210"/>
    </row>
    <row r="477" ht="15.75" customHeight="1">
      <c r="A477" s="1"/>
      <c r="B477" s="203"/>
      <c r="C477" s="204"/>
      <c r="D477" s="205"/>
      <c r="E477" s="206"/>
      <c r="F477" s="207"/>
      <c r="G477" s="208"/>
      <c r="H477" s="174">
        <f t="shared" si="1"/>
        <v>0</v>
      </c>
      <c r="I477" s="209"/>
      <c r="J477" s="209"/>
      <c r="K477" s="177">
        <f t="shared" si="2"/>
        <v>0</v>
      </c>
      <c r="L477" s="210"/>
    </row>
    <row r="478" ht="15.75" customHeight="1">
      <c r="A478" s="1"/>
      <c r="B478" s="203"/>
      <c r="C478" s="204"/>
      <c r="D478" s="205"/>
      <c r="E478" s="206"/>
      <c r="F478" s="207"/>
      <c r="G478" s="208"/>
      <c r="H478" s="174">
        <f t="shared" si="1"/>
        <v>0</v>
      </c>
      <c r="I478" s="209"/>
      <c r="J478" s="209"/>
      <c r="K478" s="177">
        <f t="shared" si="2"/>
        <v>0</v>
      </c>
      <c r="L478" s="210"/>
    </row>
    <row r="479" ht="15.75" customHeight="1">
      <c r="A479" s="1"/>
      <c r="B479" s="203"/>
      <c r="C479" s="204"/>
      <c r="D479" s="205"/>
      <c r="E479" s="206"/>
      <c r="F479" s="207"/>
      <c r="G479" s="208"/>
      <c r="H479" s="174">
        <f t="shared" si="1"/>
        <v>0</v>
      </c>
      <c r="I479" s="209"/>
      <c r="J479" s="209"/>
      <c r="K479" s="177">
        <f t="shared" si="2"/>
        <v>0</v>
      </c>
      <c r="L479" s="210"/>
    </row>
    <row r="480" ht="15.75" customHeight="1">
      <c r="A480" s="1"/>
      <c r="B480" s="203"/>
      <c r="C480" s="204"/>
      <c r="D480" s="205"/>
      <c r="E480" s="206"/>
      <c r="F480" s="207"/>
      <c r="G480" s="208"/>
      <c r="H480" s="174">
        <f t="shared" si="1"/>
        <v>0</v>
      </c>
      <c r="I480" s="209"/>
      <c r="J480" s="209"/>
      <c r="K480" s="177">
        <f t="shared" si="2"/>
        <v>0</v>
      </c>
      <c r="L480" s="210"/>
    </row>
    <row r="481" ht="15.75" customHeight="1">
      <c r="A481" s="1"/>
      <c r="B481" s="203"/>
      <c r="C481" s="204"/>
      <c r="D481" s="205"/>
      <c r="E481" s="206"/>
      <c r="F481" s="207"/>
      <c r="G481" s="208"/>
      <c r="H481" s="174">
        <f t="shared" si="1"/>
        <v>0</v>
      </c>
      <c r="I481" s="209"/>
      <c r="J481" s="209"/>
      <c r="K481" s="177">
        <f t="shared" si="2"/>
        <v>0</v>
      </c>
      <c r="L481" s="210"/>
    </row>
    <row r="482" ht="15.75" customHeight="1">
      <c r="A482" s="1"/>
      <c r="B482" s="203"/>
      <c r="C482" s="204"/>
      <c r="D482" s="205"/>
      <c r="E482" s="206"/>
      <c r="F482" s="207"/>
      <c r="G482" s="208"/>
      <c r="H482" s="174">
        <f t="shared" si="1"/>
        <v>0</v>
      </c>
      <c r="I482" s="209"/>
      <c r="J482" s="209"/>
      <c r="K482" s="177">
        <f t="shared" si="2"/>
        <v>0</v>
      </c>
      <c r="L482" s="210"/>
    </row>
    <row r="483" ht="15.75" customHeight="1">
      <c r="A483" s="1"/>
      <c r="B483" s="203"/>
      <c r="C483" s="204"/>
      <c r="D483" s="205"/>
      <c r="E483" s="206"/>
      <c r="F483" s="207"/>
      <c r="G483" s="208"/>
      <c r="H483" s="174">
        <f t="shared" si="1"/>
        <v>0</v>
      </c>
      <c r="I483" s="209"/>
      <c r="J483" s="209"/>
      <c r="K483" s="177">
        <f t="shared" si="2"/>
        <v>0</v>
      </c>
      <c r="L483" s="210"/>
    </row>
    <row r="484" ht="15.75" customHeight="1">
      <c r="A484" s="1"/>
      <c r="B484" s="203"/>
      <c r="C484" s="204"/>
      <c r="D484" s="205"/>
      <c r="E484" s="206"/>
      <c r="F484" s="207"/>
      <c r="G484" s="208"/>
      <c r="H484" s="174">
        <f t="shared" si="1"/>
        <v>0</v>
      </c>
      <c r="I484" s="209"/>
      <c r="J484" s="209"/>
      <c r="K484" s="177">
        <f t="shared" si="2"/>
        <v>0</v>
      </c>
      <c r="L484" s="210"/>
    </row>
    <row r="485" ht="15.75" customHeight="1">
      <c r="A485" s="1"/>
      <c r="B485" s="203"/>
      <c r="C485" s="204"/>
      <c r="D485" s="205"/>
      <c r="E485" s="206"/>
      <c r="F485" s="207"/>
      <c r="G485" s="208"/>
      <c r="H485" s="174">
        <f t="shared" si="1"/>
        <v>0</v>
      </c>
      <c r="I485" s="209"/>
      <c r="J485" s="209"/>
      <c r="K485" s="177">
        <f t="shared" si="2"/>
        <v>0</v>
      </c>
      <c r="L485" s="210"/>
    </row>
    <row r="486" ht="15.75" customHeight="1">
      <c r="A486" s="1"/>
      <c r="B486" s="203"/>
      <c r="C486" s="204"/>
      <c r="D486" s="205"/>
      <c r="E486" s="206"/>
      <c r="F486" s="207"/>
      <c r="G486" s="208"/>
      <c r="H486" s="174">
        <f t="shared" si="1"/>
        <v>0</v>
      </c>
      <c r="I486" s="209"/>
      <c r="J486" s="209"/>
      <c r="K486" s="177">
        <f t="shared" si="2"/>
        <v>0</v>
      </c>
      <c r="L486" s="210"/>
    </row>
    <row r="487" ht="15.75" customHeight="1">
      <c r="A487" s="1"/>
      <c r="B487" s="203"/>
      <c r="C487" s="204"/>
      <c r="D487" s="205"/>
      <c r="E487" s="206"/>
      <c r="F487" s="207"/>
      <c r="G487" s="208"/>
      <c r="H487" s="174">
        <f t="shared" si="1"/>
        <v>0</v>
      </c>
      <c r="I487" s="209"/>
      <c r="J487" s="209"/>
      <c r="K487" s="177">
        <f t="shared" si="2"/>
        <v>0</v>
      </c>
      <c r="L487" s="210"/>
    </row>
    <row r="488" ht="15.75" customHeight="1">
      <c r="A488" s="1"/>
      <c r="B488" s="203"/>
      <c r="C488" s="204"/>
      <c r="D488" s="205"/>
      <c r="E488" s="206"/>
      <c r="F488" s="207"/>
      <c r="G488" s="208"/>
      <c r="H488" s="174">
        <f t="shared" si="1"/>
        <v>0</v>
      </c>
      <c r="I488" s="209"/>
      <c r="J488" s="209"/>
      <c r="K488" s="177">
        <f t="shared" si="2"/>
        <v>0</v>
      </c>
      <c r="L488" s="210"/>
    </row>
    <row r="489" ht="15.75" customHeight="1">
      <c r="A489" s="1"/>
      <c r="B489" s="203"/>
      <c r="C489" s="204"/>
      <c r="D489" s="205"/>
      <c r="E489" s="206"/>
      <c r="F489" s="207"/>
      <c r="G489" s="208"/>
      <c r="H489" s="174">
        <f t="shared" si="1"/>
        <v>0</v>
      </c>
      <c r="I489" s="209"/>
      <c r="J489" s="209"/>
      <c r="K489" s="177">
        <f t="shared" si="2"/>
        <v>0</v>
      </c>
      <c r="L489" s="210"/>
    </row>
    <row r="490" ht="15.75" customHeight="1">
      <c r="A490" s="1"/>
      <c r="B490" s="203"/>
      <c r="C490" s="204"/>
      <c r="D490" s="205"/>
      <c r="E490" s="206"/>
      <c r="F490" s="207"/>
      <c r="G490" s="208"/>
      <c r="H490" s="174">
        <f t="shared" si="1"/>
        <v>0</v>
      </c>
      <c r="I490" s="209"/>
      <c r="J490" s="209"/>
      <c r="K490" s="177">
        <f t="shared" si="2"/>
        <v>0</v>
      </c>
      <c r="L490" s="210"/>
    </row>
    <row r="491" ht="15.75" customHeight="1">
      <c r="A491" s="1"/>
      <c r="B491" s="203"/>
      <c r="C491" s="204"/>
      <c r="D491" s="205"/>
      <c r="E491" s="206"/>
      <c r="F491" s="207"/>
      <c r="G491" s="208"/>
      <c r="H491" s="174">
        <f t="shared" si="1"/>
        <v>0</v>
      </c>
      <c r="I491" s="209"/>
      <c r="J491" s="209"/>
      <c r="K491" s="177">
        <f t="shared" si="2"/>
        <v>0</v>
      </c>
      <c r="L491" s="210"/>
    </row>
    <row r="492" ht="15.75" customHeight="1">
      <c r="A492" s="1"/>
      <c r="B492" s="203"/>
      <c r="C492" s="204"/>
      <c r="D492" s="205"/>
      <c r="E492" s="206"/>
      <c r="F492" s="207"/>
      <c r="G492" s="208"/>
      <c r="H492" s="174">
        <f t="shared" si="1"/>
        <v>0</v>
      </c>
      <c r="I492" s="209"/>
      <c r="J492" s="209"/>
      <c r="K492" s="177">
        <f t="shared" si="2"/>
        <v>0</v>
      </c>
      <c r="L492" s="210"/>
    </row>
    <row r="493" ht="15.75" customHeight="1">
      <c r="A493" s="1"/>
      <c r="B493" s="203"/>
      <c r="C493" s="204"/>
      <c r="D493" s="205"/>
      <c r="E493" s="206"/>
      <c r="F493" s="207"/>
      <c r="G493" s="208"/>
      <c r="H493" s="174">
        <f t="shared" si="1"/>
        <v>0</v>
      </c>
      <c r="I493" s="209"/>
      <c r="J493" s="209"/>
      <c r="K493" s="177">
        <f t="shared" si="2"/>
        <v>0</v>
      </c>
      <c r="L493" s="210"/>
    </row>
    <row r="494" ht="15.75" customHeight="1">
      <c r="A494" s="1"/>
      <c r="B494" s="203"/>
      <c r="C494" s="204"/>
      <c r="D494" s="205"/>
      <c r="E494" s="206"/>
      <c r="F494" s="207"/>
      <c r="G494" s="208"/>
      <c r="H494" s="174">
        <f t="shared" si="1"/>
        <v>0</v>
      </c>
      <c r="I494" s="209"/>
      <c r="J494" s="209"/>
      <c r="K494" s="177">
        <f t="shared" si="2"/>
        <v>0</v>
      </c>
      <c r="L494" s="210"/>
    </row>
    <row r="495" ht="15.75" customHeight="1">
      <c r="A495" s="1"/>
      <c r="B495" s="203"/>
      <c r="C495" s="204"/>
      <c r="D495" s="205"/>
      <c r="E495" s="206"/>
      <c r="F495" s="207"/>
      <c r="G495" s="208"/>
      <c r="H495" s="174">
        <f t="shared" si="1"/>
        <v>0</v>
      </c>
      <c r="I495" s="209"/>
      <c r="J495" s="209"/>
      <c r="K495" s="177">
        <f t="shared" si="2"/>
        <v>0</v>
      </c>
      <c r="L495" s="210"/>
    </row>
    <row r="496" ht="15.75" customHeight="1">
      <c r="A496" s="1"/>
      <c r="B496" s="203"/>
      <c r="C496" s="204"/>
      <c r="D496" s="205"/>
      <c r="E496" s="206"/>
      <c r="F496" s="207"/>
      <c r="G496" s="208"/>
      <c r="H496" s="174">
        <f t="shared" si="1"/>
        <v>0</v>
      </c>
      <c r="I496" s="209"/>
      <c r="J496" s="209"/>
      <c r="K496" s="177">
        <f t="shared" si="2"/>
        <v>0</v>
      </c>
      <c r="L496" s="210"/>
    </row>
    <row r="497" ht="15.75" customHeight="1">
      <c r="A497" s="1"/>
      <c r="B497" s="203"/>
      <c r="C497" s="204"/>
      <c r="D497" s="205"/>
      <c r="E497" s="206"/>
      <c r="F497" s="207"/>
      <c r="G497" s="208"/>
      <c r="H497" s="174">
        <f t="shared" si="1"/>
        <v>0</v>
      </c>
      <c r="I497" s="209"/>
      <c r="J497" s="209"/>
      <c r="K497" s="177">
        <f t="shared" si="2"/>
        <v>0</v>
      </c>
      <c r="L497" s="210"/>
    </row>
    <row r="498" ht="15.75" customHeight="1">
      <c r="A498" s="1"/>
      <c r="B498" s="203"/>
      <c r="C498" s="204"/>
      <c r="D498" s="205"/>
      <c r="E498" s="206"/>
      <c r="F498" s="207"/>
      <c r="G498" s="208"/>
      <c r="H498" s="174">
        <f t="shared" si="1"/>
        <v>0</v>
      </c>
      <c r="I498" s="209"/>
      <c r="J498" s="209"/>
      <c r="K498" s="177">
        <f t="shared" si="2"/>
        <v>0</v>
      </c>
      <c r="L498" s="210"/>
    </row>
    <row r="499" ht="15.75" customHeight="1">
      <c r="A499" s="1"/>
      <c r="B499" s="203"/>
      <c r="C499" s="204"/>
      <c r="D499" s="205"/>
      <c r="E499" s="206"/>
      <c r="F499" s="207"/>
      <c r="G499" s="208"/>
      <c r="H499" s="174">
        <f t="shared" si="1"/>
        <v>0</v>
      </c>
      <c r="I499" s="209"/>
      <c r="J499" s="209"/>
      <c r="K499" s="177">
        <f t="shared" si="2"/>
        <v>0</v>
      </c>
      <c r="L499" s="210"/>
    </row>
    <row r="500" ht="15.75" customHeight="1">
      <c r="A500" s="1"/>
      <c r="B500" s="203"/>
      <c r="C500" s="204"/>
      <c r="D500" s="205"/>
      <c r="E500" s="206"/>
      <c r="F500" s="207"/>
      <c r="G500" s="208"/>
      <c r="H500" s="174">
        <f t="shared" si="1"/>
        <v>0</v>
      </c>
      <c r="I500" s="209"/>
      <c r="J500" s="209"/>
      <c r="K500" s="177">
        <f t="shared" si="2"/>
        <v>0</v>
      </c>
      <c r="L500" s="210"/>
    </row>
    <row r="501" ht="15.75" customHeight="1">
      <c r="A501" s="1"/>
      <c r="B501" s="203"/>
      <c r="C501" s="204"/>
      <c r="D501" s="205"/>
      <c r="E501" s="206"/>
      <c r="F501" s="207"/>
      <c r="G501" s="208"/>
      <c r="H501" s="174">
        <f t="shared" si="1"/>
        <v>0</v>
      </c>
      <c r="I501" s="209"/>
      <c r="J501" s="209"/>
      <c r="K501" s="177">
        <f t="shared" si="2"/>
        <v>0</v>
      </c>
      <c r="L501" s="210"/>
    </row>
    <row r="502" ht="15.75" customHeight="1">
      <c r="A502" s="1"/>
      <c r="B502" s="203"/>
      <c r="C502" s="204"/>
      <c r="D502" s="205"/>
      <c r="E502" s="206"/>
      <c r="F502" s="207"/>
      <c r="G502" s="208"/>
      <c r="H502" s="174">
        <f t="shared" si="1"/>
        <v>0</v>
      </c>
      <c r="I502" s="209"/>
      <c r="J502" s="209"/>
      <c r="K502" s="177">
        <f t="shared" si="2"/>
        <v>0</v>
      </c>
      <c r="L502" s="210"/>
    </row>
    <row r="503" ht="15.75" customHeight="1">
      <c r="A503" s="1"/>
      <c r="B503" s="203"/>
      <c r="C503" s="204"/>
      <c r="D503" s="205"/>
      <c r="E503" s="206"/>
      <c r="F503" s="207"/>
      <c r="G503" s="208"/>
      <c r="H503" s="174">
        <f t="shared" si="1"/>
        <v>0</v>
      </c>
      <c r="I503" s="209"/>
      <c r="J503" s="209"/>
      <c r="K503" s="177">
        <f t="shared" si="2"/>
        <v>0</v>
      </c>
      <c r="L503" s="210"/>
    </row>
    <row r="504" ht="15.75" customHeight="1">
      <c r="A504" s="1"/>
      <c r="B504" s="203"/>
      <c r="C504" s="204"/>
      <c r="D504" s="205"/>
      <c r="E504" s="206"/>
      <c r="F504" s="207"/>
      <c r="G504" s="208"/>
      <c r="H504" s="174">
        <f t="shared" si="1"/>
        <v>0</v>
      </c>
      <c r="I504" s="209"/>
      <c r="J504" s="209"/>
      <c r="K504" s="177">
        <f t="shared" si="2"/>
        <v>0</v>
      </c>
      <c r="L504" s="210"/>
    </row>
    <row r="505" ht="15.75" customHeight="1">
      <c r="A505" s="1"/>
      <c r="B505" s="203"/>
      <c r="C505" s="204"/>
      <c r="D505" s="205"/>
      <c r="E505" s="206"/>
      <c r="F505" s="207"/>
      <c r="G505" s="208"/>
      <c r="H505" s="174">
        <f t="shared" si="1"/>
        <v>0</v>
      </c>
      <c r="I505" s="209"/>
      <c r="J505" s="209"/>
      <c r="K505" s="177">
        <f t="shared" si="2"/>
        <v>0</v>
      </c>
      <c r="L505" s="210"/>
    </row>
    <row r="506" ht="15.75" customHeight="1">
      <c r="A506" s="1"/>
      <c r="B506" s="203"/>
      <c r="C506" s="204"/>
      <c r="D506" s="205"/>
      <c r="E506" s="206"/>
      <c r="F506" s="207"/>
      <c r="G506" s="208"/>
      <c r="H506" s="174">
        <f t="shared" si="1"/>
        <v>0</v>
      </c>
      <c r="I506" s="209"/>
      <c r="J506" s="209"/>
      <c r="K506" s="177">
        <f t="shared" si="2"/>
        <v>0</v>
      </c>
      <c r="L506" s="210"/>
    </row>
    <row r="507" ht="15.75" customHeight="1">
      <c r="A507" s="1"/>
      <c r="B507" s="203"/>
      <c r="C507" s="204"/>
      <c r="D507" s="205"/>
      <c r="E507" s="206"/>
      <c r="F507" s="207"/>
      <c r="G507" s="208"/>
      <c r="H507" s="174">
        <f t="shared" si="1"/>
        <v>0</v>
      </c>
      <c r="I507" s="209"/>
      <c r="J507" s="209"/>
      <c r="K507" s="177">
        <f t="shared" si="2"/>
        <v>0</v>
      </c>
      <c r="L507" s="210"/>
    </row>
    <row r="508" ht="15.75" customHeight="1">
      <c r="A508" s="1"/>
      <c r="B508" s="203"/>
      <c r="C508" s="204"/>
      <c r="D508" s="205"/>
      <c r="E508" s="206"/>
      <c r="F508" s="207"/>
      <c r="G508" s="208"/>
      <c r="H508" s="174">
        <f t="shared" si="1"/>
        <v>0</v>
      </c>
      <c r="I508" s="209"/>
      <c r="J508" s="209"/>
      <c r="K508" s="177">
        <f t="shared" si="2"/>
        <v>0</v>
      </c>
      <c r="L508" s="210"/>
    </row>
    <row r="509" ht="15.75" customHeight="1">
      <c r="A509" s="1"/>
      <c r="B509" s="203"/>
      <c r="C509" s="204"/>
      <c r="D509" s="205"/>
      <c r="E509" s="206"/>
      <c r="F509" s="207"/>
      <c r="G509" s="208"/>
      <c r="H509" s="174">
        <f t="shared" si="1"/>
        <v>0</v>
      </c>
      <c r="I509" s="209"/>
      <c r="J509" s="209"/>
      <c r="K509" s="177">
        <f t="shared" si="2"/>
        <v>0</v>
      </c>
      <c r="L509" s="210"/>
    </row>
    <row r="510" ht="15.75" customHeight="1">
      <c r="A510" s="1"/>
      <c r="B510" s="203"/>
      <c r="C510" s="204"/>
      <c r="D510" s="205"/>
      <c r="E510" s="206"/>
      <c r="F510" s="207"/>
      <c r="G510" s="208"/>
      <c r="H510" s="174">
        <f t="shared" si="1"/>
        <v>0</v>
      </c>
      <c r="I510" s="209"/>
      <c r="J510" s="209"/>
      <c r="K510" s="177">
        <f t="shared" si="2"/>
        <v>0</v>
      </c>
      <c r="L510" s="210"/>
    </row>
    <row r="511" ht="15.75" customHeight="1">
      <c r="A511" s="1"/>
      <c r="B511" s="203"/>
      <c r="C511" s="204"/>
      <c r="D511" s="205"/>
      <c r="E511" s="206"/>
      <c r="F511" s="207"/>
      <c r="G511" s="208"/>
      <c r="H511" s="174">
        <f t="shared" si="1"/>
        <v>0</v>
      </c>
      <c r="I511" s="209"/>
      <c r="J511" s="209"/>
      <c r="K511" s="177">
        <f t="shared" si="2"/>
        <v>0</v>
      </c>
      <c r="L511" s="210"/>
    </row>
    <row r="512" ht="15.75" customHeight="1">
      <c r="A512" s="1"/>
      <c r="B512" s="203"/>
      <c r="C512" s="204"/>
      <c r="D512" s="205"/>
      <c r="E512" s="206"/>
      <c r="F512" s="207"/>
      <c r="G512" s="208"/>
      <c r="H512" s="174">
        <f t="shared" si="1"/>
        <v>0</v>
      </c>
      <c r="I512" s="209"/>
      <c r="J512" s="209"/>
      <c r="K512" s="177">
        <f t="shared" si="2"/>
        <v>0</v>
      </c>
      <c r="L512" s="210"/>
    </row>
    <row r="513" ht="15.75" customHeight="1">
      <c r="A513" s="1"/>
      <c r="B513" s="203"/>
      <c r="C513" s="204"/>
      <c r="D513" s="205"/>
      <c r="E513" s="206"/>
      <c r="F513" s="207"/>
      <c r="G513" s="208"/>
      <c r="H513" s="174">
        <f t="shared" si="1"/>
        <v>0</v>
      </c>
      <c r="I513" s="209"/>
      <c r="J513" s="209"/>
      <c r="K513" s="177">
        <f t="shared" si="2"/>
        <v>0</v>
      </c>
      <c r="L513" s="210"/>
    </row>
    <row r="514" ht="15.75" customHeight="1">
      <c r="A514" s="1"/>
      <c r="B514" s="203"/>
      <c r="C514" s="204"/>
      <c r="D514" s="205"/>
      <c r="E514" s="206"/>
      <c r="F514" s="207"/>
      <c r="G514" s="208"/>
      <c r="H514" s="174">
        <f t="shared" si="1"/>
        <v>0</v>
      </c>
      <c r="I514" s="209"/>
      <c r="J514" s="209"/>
      <c r="K514" s="177">
        <f t="shared" si="2"/>
        <v>0</v>
      </c>
      <c r="L514" s="210"/>
    </row>
    <row r="515" ht="15.75" customHeight="1">
      <c r="A515" s="1"/>
      <c r="B515" s="203"/>
      <c r="C515" s="204"/>
      <c r="D515" s="205"/>
      <c r="E515" s="206"/>
      <c r="F515" s="207"/>
      <c r="G515" s="208"/>
      <c r="H515" s="174">
        <f t="shared" si="1"/>
        <v>0</v>
      </c>
      <c r="I515" s="209"/>
      <c r="J515" s="209"/>
      <c r="K515" s="177">
        <f t="shared" si="2"/>
        <v>0</v>
      </c>
      <c r="L515" s="210"/>
    </row>
    <row r="516" ht="15.75" customHeight="1">
      <c r="A516" s="1"/>
      <c r="B516" s="203"/>
      <c r="C516" s="204"/>
      <c r="D516" s="205"/>
      <c r="E516" s="206"/>
      <c r="F516" s="207"/>
      <c r="G516" s="208"/>
      <c r="H516" s="174">
        <f t="shared" si="1"/>
        <v>0</v>
      </c>
      <c r="I516" s="209"/>
      <c r="J516" s="209"/>
      <c r="K516" s="177">
        <f t="shared" si="2"/>
        <v>0</v>
      </c>
      <c r="L516" s="210"/>
    </row>
    <row r="517" ht="15.75" customHeight="1">
      <c r="A517" s="1"/>
      <c r="B517" s="203"/>
      <c r="C517" s="204"/>
      <c r="D517" s="205"/>
      <c r="E517" s="206"/>
      <c r="F517" s="207"/>
      <c r="G517" s="208"/>
      <c r="H517" s="174">
        <f t="shared" si="1"/>
        <v>0</v>
      </c>
      <c r="I517" s="209"/>
      <c r="J517" s="209"/>
      <c r="K517" s="177">
        <f t="shared" si="2"/>
        <v>0</v>
      </c>
      <c r="L517" s="210"/>
    </row>
    <row r="518" ht="15.75" customHeight="1">
      <c r="A518" s="1"/>
      <c r="B518" s="203"/>
      <c r="C518" s="204"/>
      <c r="D518" s="205"/>
      <c r="E518" s="206"/>
      <c r="F518" s="207"/>
      <c r="G518" s="208"/>
      <c r="H518" s="174">
        <f t="shared" si="1"/>
        <v>0</v>
      </c>
      <c r="I518" s="209"/>
      <c r="J518" s="209"/>
      <c r="K518" s="177">
        <f t="shared" si="2"/>
        <v>0</v>
      </c>
      <c r="L518" s="210"/>
    </row>
    <row r="519" ht="15.75" customHeight="1">
      <c r="A519" s="1"/>
      <c r="B519" s="203"/>
      <c r="C519" s="204"/>
      <c r="D519" s="205"/>
      <c r="E519" s="206"/>
      <c r="F519" s="207"/>
      <c r="G519" s="208"/>
      <c r="H519" s="174">
        <f t="shared" si="1"/>
        <v>0</v>
      </c>
      <c r="I519" s="209"/>
      <c r="J519" s="209"/>
      <c r="K519" s="177">
        <f t="shared" si="2"/>
        <v>0</v>
      </c>
      <c r="L519" s="210"/>
    </row>
    <row r="520" ht="15.75" customHeight="1">
      <c r="A520" s="1"/>
      <c r="B520" s="203"/>
      <c r="C520" s="204"/>
      <c r="D520" s="205"/>
      <c r="E520" s="206"/>
      <c r="F520" s="207"/>
      <c r="G520" s="208"/>
      <c r="H520" s="174">
        <f t="shared" si="1"/>
        <v>0</v>
      </c>
      <c r="I520" s="209"/>
      <c r="J520" s="209"/>
      <c r="K520" s="177">
        <f t="shared" si="2"/>
        <v>0</v>
      </c>
      <c r="L520" s="210"/>
    </row>
    <row r="521" ht="15.75" customHeight="1">
      <c r="A521" s="1"/>
      <c r="B521" s="203"/>
      <c r="C521" s="204"/>
      <c r="D521" s="205"/>
      <c r="E521" s="206"/>
      <c r="F521" s="207"/>
      <c r="G521" s="208"/>
      <c r="H521" s="174">
        <f t="shared" si="1"/>
        <v>0</v>
      </c>
      <c r="I521" s="209"/>
      <c r="J521" s="209"/>
      <c r="K521" s="177">
        <f t="shared" si="2"/>
        <v>0</v>
      </c>
      <c r="L521" s="210"/>
    </row>
    <row r="522" ht="15.75" customHeight="1">
      <c r="A522" s="1"/>
      <c r="B522" s="203"/>
      <c r="C522" s="204"/>
      <c r="D522" s="205"/>
      <c r="E522" s="206"/>
      <c r="F522" s="207"/>
      <c r="G522" s="208"/>
      <c r="H522" s="174">
        <f t="shared" si="1"/>
        <v>0</v>
      </c>
      <c r="I522" s="209"/>
      <c r="J522" s="209"/>
      <c r="K522" s="177">
        <f t="shared" si="2"/>
        <v>0</v>
      </c>
      <c r="L522" s="210"/>
    </row>
    <row r="523" ht="15.75" customHeight="1">
      <c r="A523" s="1"/>
      <c r="B523" s="203"/>
      <c r="C523" s="204"/>
      <c r="D523" s="205"/>
      <c r="E523" s="206"/>
      <c r="F523" s="207"/>
      <c r="G523" s="208"/>
      <c r="H523" s="174">
        <f t="shared" si="1"/>
        <v>0</v>
      </c>
      <c r="I523" s="209"/>
      <c r="J523" s="209"/>
      <c r="K523" s="177">
        <f t="shared" si="2"/>
        <v>0</v>
      </c>
      <c r="L523" s="210"/>
    </row>
    <row r="524" ht="15.75" customHeight="1">
      <c r="A524" s="1"/>
      <c r="B524" s="203"/>
      <c r="C524" s="204"/>
      <c r="D524" s="205"/>
      <c r="E524" s="206"/>
      <c r="F524" s="207"/>
      <c r="G524" s="208"/>
      <c r="H524" s="174">
        <f t="shared" si="1"/>
        <v>0</v>
      </c>
      <c r="I524" s="209"/>
      <c r="J524" s="209"/>
      <c r="K524" s="177">
        <f t="shared" si="2"/>
        <v>0</v>
      </c>
      <c r="L524" s="210"/>
    </row>
    <row r="525" ht="15.75" customHeight="1">
      <c r="A525" s="1"/>
      <c r="B525" s="203"/>
      <c r="C525" s="204"/>
      <c r="D525" s="205"/>
      <c r="E525" s="206"/>
      <c r="F525" s="207"/>
      <c r="G525" s="208"/>
      <c r="H525" s="174">
        <f t="shared" si="1"/>
        <v>0</v>
      </c>
      <c r="I525" s="209"/>
      <c r="J525" s="209"/>
      <c r="K525" s="177">
        <f t="shared" si="2"/>
        <v>0</v>
      </c>
      <c r="L525" s="210"/>
    </row>
    <row r="526" ht="15.75" customHeight="1">
      <c r="A526" s="1"/>
      <c r="B526" s="203"/>
      <c r="C526" s="204"/>
      <c r="D526" s="205"/>
      <c r="E526" s="206"/>
      <c r="F526" s="207"/>
      <c r="G526" s="208"/>
      <c r="H526" s="174">
        <f t="shared" si="1"/>
        <v>0</v>
      </c>
      <c r="I526" s="209"/>
      <c r="J526" s="209"/>
      <c r="K526" s="177">
        <f t="shared" si="2"/>
        <v>0</v>
      </c>
      <c r="L526" s="210"/>
    </row>
    <row r="527" ht="15.75" customHeight="1">
      <c r="A527" s="1"/>
      <c r="B527" s="203"/>
      <c r="C527" s="204"/>
      <c r="D527" s="205"/>
      <c r="E527" s="206"/>
      <c r="F527" s="207"/>
      <c r="G527" s="208"/>
      <c r="H527" s="174">
        <f t="shared" si="1"/>
        <v>0</v>
      </c>
      <c r="I527" s="209"/>
      <c r="J527" s="209"/>
      <c r="K527" s="177">
        <f t="shared" si="2"/>
        <v>0</v>
      </c>
      <c r="L527" s="210"/>
    </row>
    <row r="528" ht="15.75" customHeight="1">
      <c r="A528" s="1"/>
      <c r="B528" s="203"/>
      <c r="C528" s="204"/>
      <c r="D528" s="205"/>
      <c r="E528" s="206"/>
      <c r="F528" s="207"/>
      <c r="G528" s="208"/>
      <c r="H528" s="174">
        <f t="shared" si="1"/>
        <v>0</v>
      </c>
      <c r="I528" s="209"/>
      <c r="J528" s="209"/>
      <c r="K528" s="177">
        <f t="shared" si="2"/>
        <v>0</v>
      </c>
      <c r="L528" s="210"/>
    </row>
    <row r="529" ht="15.75" customHeight="1">
      <c r="A529" s="1"/>
      <c r="B529" s="203"/>
      <c r="C529" s="204"/>
      <c r="D529" s="205"/>
      <c r="E529" s="206"/>
      <c r="F529" s="207"/>
      <c r="G529" s="208"/>
      <c r="H529" s="174">
        <f t="shared" si="1"/>
        <v>0</v>
      </c>
      <c r="I529" s="209"/>
      <c r="J529" s="209"/>
      <c r="K529" s="177">
        <f t="shared" si="2"/>
        <v>0</v>
      </c>
      <c r="L529" s="210"/>
    </row>
    <row r="530" ht="15.75" customHeight="1">
      <c r="A530" s="1"/>
      <c r="B530" s="203"/>
      <c r="C530" s="204"/>
      <c r="D530" s="205"/>
      <c r="E530" s="206"/>
      <c r="F530" s="207"/>
      <c r="G530" s="208"/>
      <c r="H530" s="174">
        <f t="shared" si="1"/>
        <v>0</v>
      </c>
      <c r="I530" s="209"/>
      <c r="J530" s="209"/>
      <c r="K530" s="177">
        <f t="shared" si="2"/>
        <v>0</v>
      </c>
      <c r="L530" s="210"/>
    </row>
    <row r="531" ht="15.75" customHeight="1">
      <c r="A531" s="1"/>
      <c r="B531" s="203"/>
      <c r="C531" s="204"/>
      <c r="D531" s="205"/>
      <c r="E531" s="206"/>
      <c r="F531" s="207"/>
      <c r="G531" s="208"/>
      <c r="H531" s="174">
        <f t="shared" si="1"/>
        <v>0</v>
      </c>
      <c r="I531" s="209"/>
      <c r="J531" s="209"/>
      <c r="K531" s="177">
        <f t="shared" si="2"/>
        <v>0</v>
      </c>
      <c r="L531" s="210"/>
    </row>
    <row r="532" ht="15.75" customHeight="1">
      <c r="A532" s="1"/>
      <c r="B532" s="203"/>
      <c r="C532" s="204"/>
      <c r="D532" s="205"/>
      <c r="E532" s="206"/>
      <c r="F532" s="207"/>
      <c r="G532" s="208"/>
      <c r="H532" s="174">
        <f t="shared" si="1"/>
        <v>0</v>
      </c>
      <c r="I532" s="209"/>
      <c r="J532" s="209"/>
      <c r="K532" s="177">
        <f t="shared" si="2"/>
        <v>0</v>
      </c>
      <c r="L532" s="210"/>
    </row>
    <row r="533" ht="15.75" customHeight="1">
      <c r="A533" s="1"/>
      <c r="B533" s="203"/>
      <c r="C533" s="204"/>
      <c r="D533" s="205"/>
      <c r="E533" s="206"/>
      <c r="F533" s="207"/>
      <c r="G533" s="208"/>
      <c r="H533" s="174">
        <f t="shared" si="1"/>
        <v>0</v>
      </c>
      <c r="I533" s="209"/>
      <c r="J533" s="209"/>
      <c r="K533" s="177">
        <f t="shared" si="2"/>
        <v>0</v>
      </c>
      <c r="L533" s="210"/>
    </row>
    <row r="534" ht="15.75" customHeight="1">
      <c r="A534" s="1"/>
      <c r="B534" s="203"/>
      <c r="C534" s="204"/>
      <c r="D534" s="205"/>
      <c r="E534" s="206"/>
      <c r="F534" s="207"/>
      <c r="G534" s="208"/>
      <c r="H534" s="174">
        <f t="shared" si="1"/>
        <v>0</v>
      </c>
      <c r="I534" s="209"/>
      <c r="J534" s="209"/>
      <c r="K534" s="177">
        <f t="shared" si="2"/>
        <v>0</v>
      </c>
      <c r="L534" s="210"/>
    </row>
    <row r="535" ht="15.75" customHeight="1">
      <c r="A535" s="1"/>
      <c r="B535" s="203"/>
      <c r="C535" s="204"/>
      <c r="D535" s="205"/>
      <c r="E535" s="206"/>
      <c r="F535" s="207"/>
      <c r="G535" s="208"/>
      <c r="H535" s="174">
        <f t="shared" si="1"/>
        <v>0</v>
      </c>
      <c r="I535" s="209"/>
      <c r="J535" s="209"/>
      <c r="K535" s="177">
        <f t="shared" si="2"/>
        <v>0</v>
      </c>
      <c r="L535" s="210"/>
    </row>
    <row r="536" ht="15.75" customHeight="1">
      <c r="A536" s="1"/>
      <c r="B536" s="203"/>
      <c r="C536" s="204"/>
      <c r="D536" s="205"/>
      <c r="E536" s="206"/>
      <c r="F536" s="207"/>
      <c r="G536" s="208"/>
      <c r="H536" s="174">
        <f t="shared" si="1"/>
        <v>0</v>
      </c>
      <c r="I536" s="209"/>
      <c r="J536" s="209"/>
      <c r="K536" s="177">
        <f t="shared" si="2"/>
        <v>0</v>
      </c>
      <c r="L536" s="210"/>
    </row>
    <row r="537" ht="15.75" customHeight="1">
      <c r="A537" s="1"/>
      <c r="B537" s="203"/>
      <c r="C537" s="204"/>
      <c r="D537" s="205"/>
      <c r="E537" s="206"/>
      <c r="F537" s="207"/>
      <c r="G537" s="208"/>
      <c r="H537" s="174">
        <f t="shared" si="1"/>
        <v>0</v>
      </c>
      <c r="I537" s="209"/>
      <c r="J537" s="209"/>
      <c r="K537" s="177">
        <f t="shared" si="2"/>
        <v>0</v>
      </c>
      <c r="L537" s="210"/>
    </row>
    <row r="538" ht="15.75" customHeight="1">
      <c r="A538" s="1"/>
      <c r="B538" s="203"/>
      <c r="C538" s="204"/>
      <c r="D538" s="205"/>
      <c r="E538" s="206"/>
      <c r="F538" s="207"/>
      <c r="G538" s="208"/>
      <c r="H538" s="174">
        <f t="shared" si="1"/>
        <v>0</v>
      </c>
      <c r="I538" s="209"/>
      <c r="J538" s="209"/>
      <c r="K538" s="177">
        <f t="shared" si="2"/>
        <v>0</v>
      </c>
      <c r="L538" s="210"/>
    </row>
    <row r="539" ht="15.75" customHeight="1">
      <c r="A539" s="1"/>
      <c r="B539" s="203"/>
      <c r="C539" s="204"/>
      <c r="D539" s="205"/>
      <c r="E539" s="206"/>
      <c r="F539" s="207"/>
      <c r="G539" s="208"/>
      <c r="H539" s="174">
        <f t="shared" si="1"/>
        <v>0</v>
      </c>
      <c r="I539" s="209"/>
      <c r="J539" s="209"/>
      <c r="K539" s="177">
        <f t="shared" si="2"/>
        <v>0</v>
      </c>
      <c r="L539" s="210"/>
    </row>
    <row r="540" ht="15.75" customHeight="1">
      <c r="A540" s="1"/>
      <c r="B540" s="203"/>
      <c r="C540" s="204"/>
      <c r="D540" s="205"/>
      <c r="E540" s="206"/>
      <c r="F540" s="207"/>
      <c r="G540" s="208"/>
      <c r="H540" s="174">
        <f t="shared" si="1"/>
        <v>0</v>
      </c>
      <c r="I540" s="209"/>
      <c r="J540" s="209"/>
      <c r="K540" s="177">
        <f t="shared" si="2"/>
        <v>0</v>
      </c>
      <c r="L540" s="210"/>
    </row>
    <row r="541" ht="15.75" customHeight="1">
      <c r="A541" s="1"/>
      <c r="B541" s="203"/>
      <c r="C541" s="204"/>
      <c r="D541" s="205"/>
      <c r="E541" s="206"/>
      <c r="F541" s="207"/>
      <c r="G541" s="208"/>
      <c r="H541" s="174">
        <f t="shared" si="1"/>
        <v>0</v>
      </c>
      <c r="I541" s="209"/>
      <c r="J541" s="209"/>
      <c r="K541" s="177">
        <f t="shared" si="2"/>
        <v>0</v>
      </c>
      <c r="L541" s="210"/>
    </row>
    <row r="542" ht="15.75" customHeight="1">
      <c r="A542" s="1"/>
      <c r="B542" s="203"/>
      <c r="C542" s="204"/>
      <c r="D542" s="205"/>
      <c r="E542" s="206"/>
      <c r="F542" s="207"/>
      <c r="G542" s="208"/>
      <c r="H542" s="174">
        <f t="shared" si="1"/>
        <v>0</v>
      </c>
      <c r="I542" s="209"/>
      <c r="J542" s="209"/>
      <c r="K542" s="177">
        <f t="shared" si="2"/>
        <v>0</v>
      </c>
      <c r="L542" s="210"/>
    </row>
    <row r="543" ht="15.75" customHeight="1">
      <c r="A543" s="1"/>
      <c r="B543" s="203"/>
      <c r="C543" s="204"/>
      <c r="D543" s="205"/>
      <c r="E543" s="206"/>
      <c r="F543" s="207"/>
      <c r="G543" s="208"/>
      <c r="H543" s="174">
        <f t="shared" si="1"/>
        <v>0</v>
      </c>
      <c r="I543" s="209"/>
      <c r="J543" s="209"/>
      <c r="K543" s="177">
        <f t="shared" si="2"/>
        <v>0</v>
      </c>
      <c r="L543" s="210"/>
    </row>
    <row r="544" ht="15.75" customHeight="1">
      <c r="A544" s="1"/>
      <c r="B544" s="203"/>
      <c r="C544" s="204"/>
      <c r="D544" s="205"/>
      <c r="E544" s="206"/>
      <c r="F544" s="207"/>
      <c r="G544" s="208"/>
      <c r="H544" s="174">
        <f t="shared" si="1"/>
        <v>0</v>
      </c>
      <c r="I544" s="209"/>
      <c r="J544" s="209"/>
      <c r="K544" s="177">
        <f t="shared" si="2"/>
        <v>0</v>
      </c>
      <c r="L544" s="210"/>
    </row>
    <row r="545" ht="15.75" customHeight="1">
      <c r="A545" s="1"/>
      <c r="B545" s="203"/>
      <c r="C545" s="204"/>
      <c r="D545" s="205"/>
      <c r="E545" s="206"/>
      <c r="F545" s="207"/>
      <c r="G545" s="208"/>
      <c r="H545" s="174">
        <f t="shared" si="1"/>
        <v>0</v>
      </c>
      <c r="I545" s="209"/>
      <c r="J545" s="209"/>
      <c r="K545" s="177">
        <f t="shared" si="2"/>
        <v>0</v>
      </c>
      <c r="L545" s="210"/>
    </row>
    <row r="546" ht="15.75" customHeight="1">
      <c r="A546" s="1"/>
      <c r="B546" s="203"/>
      <c r="C546" s="204"/>
      <c r="D546" s="205"/>
      <c r="E546" s="206"/>
      <c r="F546" s="207"/>
      <c r="G546" s="208"/>
      <c r="H546" s="174">
        <f t="shared" si="1"/>
        <v>0</v>
      </c>
      <c r="I546" s="209"/>
      <c r="J546" s="209"/>
      <c r="K546" s="177">
        <f t="shared" si="2"/>
        <v>0</v>
      </c>
      <c r="L546" s="210"/>
    </row>
    <row r="547" ht="15.75" customHeight="1">
      <c r="A547" s="1"/>
      <c r="B547" s="203"/>
      <c r="C547" s="204"/>
      <c r="D547" s="205"/>
      <c r="E547" s="206"/>
      <c r="F547" s="207"/>
      <c r="G547" s="208"/>
      <c r="H547" s="174">
        <f t="shared" si="1"/>
        <v>0</v>
      </c>
      <c r="I547" s="209"/>
      <c r="J547" s="209"/>
      <c r="K547" s="177">
        <f t="shared" si="2"/>
        <v>0</v>
      </c>
      <c r="L547" s="210"/>
    </row>
    <row r="548" ht="15.75" customHeight="1">
      <c r="A548" s="1"/>
      <c r="B548" s="203"/>
      <c r="C548" s="204"/>
      <c r="D548" s="205"/>
      <c r="E548" s="206"/>
      <c r="F548" s="207"/>
      <c r="G548" s="208"/>
      <c r="H548" s="174">
        <f t="shared" si="1"/>
        <v>0</v>
      </c>
      <c r="I548" s="209"/>
      <c r="J548" s="209"/>
      <c r="K548" s="177">
        <f t="shared" si="2"/>
        <v>0</v>
      </c>
      <c r="L548" s="210"/>
    </row>
    <row r="549" ht="15.75" customHeight="1">
      <c r="A549" s="1"/>
      <c r="B549" s="203"/>
      <c r="C549" s="204"/>
      <c r="D549" s="205"/>
      <c r="E549" s="206"/>
      <c r="F549" s="207"/>
      <c r="G549" s="208"/>
      <c r="H549" s="174">
        <f t="shared" si="1"/>
        <v>0</v>
      </c>
      <c r="I549" s="209"/>
      <c r="J549" s="209"/>
      <c r="K549" s="177">
        <f t="shared" si="2"/>
        <v>0</v>
      </c>
      <c r="L549" s="210"/>
    </row>
    <row r="550" ht="15.75" customHeight="1">
      <c r="A550" s="1"/>
      <c r="B550" s="203"/>
      <c r="C550" s="204"/>
      <c r="D550" s="205"/>
      <c r="E550" s="206"/>
      <c r="F550" s="207"/>
      <c r="G550" s="208"/>
      <c r="H550" s="174">
        <f t="shared" si="1"/>
        <v>0</v>
      </c>
      <c r="I550" s="209"/>
      <c r="J550" s="209"/>
      <c r="K550" s="177">
        <f t="shared" si="2"/>
        <v>0</v>
      </c>
      <c r="L550" s="210"/>
    </row>
    <row r="551" ht="15.75" customHeight="1">
      <c r="A551" s="1"/>
      <c r="B551" s="203"/>
      <c r="C551" s="204"/>
      <c r="D551" s="205"/>
      <c r="E551" s="206"/>
      <c r="F551" s="207"/>
      <c r="G551" s="208"/>
      <c r="H551" s="174">
        <f t="shared" si="1"/>
        <v>0</v>
      </c>
      <c r="I551" s="209"/>
      <c r="J551" s="209"/>
      <c r="K551" s="177">
        <f t="shared" si="2"/>
        <v>0</v>
      </c>
      <c r="L551" s="210"/>
    </row>
    <row r="552" ht="15.75" customHeight="1">
      <c r="A552" s="1"/>
      <c r="B552" s="203"/>
      <c r="C552" s="204"/>
      <c r="D552" s="205"/>
      <c r="E552" s="206"/>
      <c r="F552" s="207"/>
      <c r="G552" s="208"/>
      <c r="H552" s="174">
        <f t="shared" si="1"/>
        <v>0</v>
      </c>
      <c r="I552" s="209"/>
      <c r="J552" s="209"/>
      <c r="K552" s="177">
        <f t="shared" si="2"/>
        <v>0</v>
      </c>
      <c r="L552" s="210"/>
    </row>
    <row r="553" ht="15.75" customHeight="1">
      <c r="A553" s="1"/>
      <c r="B553" s="203"/>
      <c r="C553" s="204"/>
      <c r="D553" s="205"/>
      <c r="E553" s="206"/>
      <c r="F553" s="207"/>
      <c r="G553" s="208"/>
      <c r="H553" s="174">
        <f t="shared" si="1"/>
        <v>0</v>
      </c>
      <c r="I553" s="209"/>
      <c r="J553" s="209"/>
      <c r="K553" s="177">
        <f t="shared" si="2"/>
        <v>0</v>
      </c>
      <c r="L553" s="210"/>
    </row>
    <row r="554" ht="15.75" customHeight="1">
      <c r="A554" s="1"/>
      <c r="B554" s="203"/>
      <c r="C554" s="204"/>
      <c r="D554" s="205"/>
      <c r="E554" s="206"/>
      <c r="F554" s="207"/>
      <c r="G554" s="208"/>
      <c r="H554" s="174">
        <f t="shared" si="1"/>
        <v>0</v>
      </c>
      <c r="I554" s="209"/>
      <c r="J554" s="209"/>
      <c r="K554" s="177">
        <f t="shared" si="2"/>
        <v>0</v>
      </c>
      <c r="L554" s="210"/>
    </row>
    <row r="555" ht="15.75" customHeight="1">
      <c r="A555" s="1"/>
      <c r="B555" s="203"/>
      <c r="C555" s="204"/>
      <c r="D555" s="205"/>
      <c r="E555" s="206"/>
      <c r="F555" s="207"/>
      <c r="G555" s="208"/>
      <c r="H555" s="174">
        <f t="shared" si="1"/>
        <v>0</v>
      </c>
      <c r="I555" s="209"/>
      <c r="J555" s="209"/>
      <c r="K555" s="177">
        <f t="shared" si="2"/>
        <v>0</v>
      </c>
      <c r="L555" s="210"/>
    </row>
    <row r="556" ht="15.75" customHeight="1">
      <c r="A556" s="1"/>
      <c r="B556" s="203"/>
      <c r="C556" s="204"/>
      <c r="D556" s="205"/>
      <c r="E556" s="206"/>
      <c r="F556" s="207"/>
      <c r="G556" s="208"/>
      <c r="H556" s="174">
        <f t="shared" si="1"/>
        <v>0</v>
      </c>
      <c r="I556" s="209"/>
      <c r="J556" s="209"/>
      <c r="K556" s="177">
        <f t="shared" si="2"/>
        <v>0</v>
      </c>
      <c r="L556" s="210"/>
    </row>
    <row r="557" ht="15.75" customHeight="1">
      <c r="A557" s="1"/>
      <c r="B557" s="203"/>
      <c r="C557" s="204"/>
      <c r="D557" s="205"/>
      <c r="E557" s="206"/>
      <c r="F557" s="207"/>
      <c r="G557" s="208"/>
      <c r="H557" s="174">
        <f t="shared" si="1"/>
        <v>0</v>
      </c>
      <c r="I557" s="209"/>
      <c r="J557" s="209"/>
      <c r="K557" s="177">
        <f t="shared" si="2"/>
        <v>0</v>
      </c>
      <c r="L557" s="210"/>
    </row>
    <row r="558" ht="15.75" customHeight="1">
      <c r="A558" s="1"/>
      <c r="B558" s="203"/>
      <c r="C558" s="204"/>
      <c r="D558" s="205"/>
      <c r="E558" s="206"/>
      <c r="F558" s="207"/>
      <c r="G558" s="208"/>
      <c r="H558" s="174">
        <f t="shared" si="1"/>
        <v>0</v>
      </c>
      <c r="I558" s="209"/>
      <c r="J558" s="209"/>
      <c r="K558" s="177">
        <f t="shared" si="2"/>
        <v>0</v>
      </c>
      <c r="L558" s="210"/>
    </row>
    <row r="559" ht="15.75" customHeight="1">
      <c r="A559" s="1"/>
      <c r="B559" s="203"/>
      <c r="C559" s="204"/>
      <c r="D559" s="205"/>
      <c r="E559" s="206"/>
      <c r="F559" s="207"/>
      <c r="G559" s="208"/>
      <c r="H559" s="174">
        <f t="shared" si="1"/>
        <v>0</v>
      </c>
      <c r="I559" s="209"/>
      <c r="J559" s="209"/>
      <c r="K559" s="177">
        <f t="shared" si="2"/>
        <v>0</v>
      </c>
      <c r="L559" s="210"/>
    </row>
    <row r="560" ht="15.75" customHeight="1">
      <c r="A560" s="1"/>
      <c r="B560" s="203"/>
      <c r="C560" s="204"/>
      <c r="D560" s="205"/>
      <c r="E560" s="206"/>
      <c r="F560" s="207"/>
      <c r="G560" s="208"/>
      <c r="H560" s="174">
        <f t="shared" si="1"/>
        <v>0</v>
      </c>
      <c r="I560" s="209"/>
      <c r="J560" s="209"/>
      <c r="K560" s="177">
        <f t="shared" si="2"/>
        <v>0</v>
      </c>
      <c r="L560" s="210"/>
    </row>
    <row r="561" ht="15.75" customHeight="1">
      <c r="A561" s="1"/>
      <c r="B561" s="203"/>
      <c r="C561" s="204"/>
      <c r="D561" s="205"/>
      <c r="E561" s="206"/>
      <c r="F561" s="207"/>
      <c r="G561" s="208"/>
      <c r="H561" s="174">
        <f t="shared" si="1"/>
        <v>0</v>
      </c>
      <c r="I561" s="209"/>
      <c r="J561" s="209"/>
      <c r="K561" s="177">
        <f t="shared" si="2"/>
        <v>0</v>
      </c>
      <c r="L561" s="210"/>
    </row>
    <row r="562" ht="15.75" customHeight="1">
      <c r="A562" s="1"/>
      <c r="B562" s="203"/>
      <c r="C562" s="204"/>
      <c r="D562" s="205"/>
      <c r="E562" s="206"/>
      <c r="F562" s="207"/>
      <c r="G562" s="208"/>
      <c r="H562" s="174">
        <f t="shared" si="1"/>
        <v>0</v>
      </c>
      <c r="I562" s="209"/>
      <c r="J562" s="209"/>
      <c r="K562" s="177">
        <f t="shared" si="2"/>
        <v>0</v>
      </c>
      <c r="L562" s="210"/>
    </row>
    <row r="563" ht="15.75" customHeight="1">
      <c r="A563" s="1"/>
      <c r="B563" s="203"/>
      <c r="C563" s="204"/>
      <c r="D563" s="205"/>
      <c r="E563" s="206"/>
      <c r="F563" s="207"/>
      <c r="G563" s="208"/>
      <c r="H563" s="174">
        <f t="shared" si="1"/>
        <v>0</v>
      </c>
      <c r="I563" s="209"/>
      <c r="J563" s="209"/>
      <c r="K563" s="177">
        <f t="shared" si="2"/>
        <v>0</v>
      </c>
      <c r="L563" s="210"/>
    </row>
    <row r="564" ht="15.75" customHeight="1">
      <c r="A564" s="1"/>
      <c r="B564" s="203"/>
      <c r="C564" s="204"/>
      <c r="D564" s="205"/>
      <c r="E564" s="206"/>
      <c r="F564" s="207"/>
      <c r="G564" s="208"/>
      <c r="H564" s="174">
        <f t="shared" si="1"/>
        <v>0</v>
      </c>
      <c r="I564" s="209"/>
      <c r="J564" s="209"/>
      <c r="K564" s="177">
        <f t="shared" si="2"/>
        <v>0</v>
      </c>
      <c r="L564" s="210"/>
    </row>
    <row r="565" ht="15.75" customHeight="1">
      <c r="A565" s="1"/>
      <c r="B565" s="203"/>
      <c r="C565" s="204"/>
      <c r="D565" s="205"/>
      <c r="E565" s="206"/>
      <c r="F565" s="207"/>
      <c r="G565" s="208"/>
      <c r="H565" s="174">
        <f t="shared" si="1"/>
        <v>0</v>
      </c>
      <c r="I565" s="209"/>
      <c r="J565" s="209"/>
      <c r="K565" s="177">
        <f t="shared" si="2"/>
        <v>0</v>
      </c>
      <c r="L565" s="210"/>
    </row>
    <row r="566" ht="15.75" customHeight="1">
      <c r="A566" s="1"/>
      <c r="B566" s="203"/>
      <c r="C566" s="204"/>
      <c r="D566" s="205"/>
      <c r="E566" s="206"/>
      <c r="F566" s="207"/>
      <c r="G566" s="208"/>
      <c r="H566" s="174">
        <f t="shared" si="1"/>
        <v>0</v>
      </c>
      <c r="I566" s="209"/>
      <c r="J566" s="209"/>
      <c r="K566" s="177">
        <f t="shared" si="2"/>
        <v>0</v>
      </c>
      <c r="L566" s="210"/>
    </row>
    <row r="567" ht="15.75" customHeight="1">
      <c r="A567" s="1"/>
      <c r="B567" s="203"/>
      <c r="C567" s="204"/>
      <c r="D567" s="205"/>
      <c r="E567" s="206"/>
      <c r="F567" s="207"/>
      <c r="G567" s="208"/>
      <c r="H567" s="174">
        <f t="shared" si="1"/>
        <v>0</v>
      </c>
      <c r="I567" s="209"/>
      <c r="J567" s="209"/>
      <c r="K567" s="177">
        <f t="shared" si="2"/>
        <v>0</v>
      </c>
      <c r="L567" s="210"/>
    </row>
    <row r="568" ht="15.75" customHeight="1">
      <c r="A568" s="1"/>
      <c r="B568" s="203"/>
      <c r="C568" s="204"/>
      <c r="D568" s="205"/>
      <c r="E568" s="206"/>
      <c r="F568" s="207"/>
      <c r="G568" s="208"/>
      <c r="H568" s="174">
        <f t="shared" si="1"/>
        <v>0</v>
      </c>
      <c r="I568" s="209"/>
      <c r="J568" s="209"/>
      <c r="K568" s="177">
        <f t="shared" si="2"/>
        <v>0</v>
      </c>
      <c r="L568" s="210"/>
    </row>
    <row r="569" ht="15.75" customHeight="1">
      <c r="A569" s="1"/>
      <c r="B569" s="203"/>
      <c r="C569" s="204"/>
      <c r="D569" s="205"/>
      <c r="E569" s="206"/>
      <c r="F569" s="207"/>
      <c r="G569" s="208"/>
      <c r="H569" s="174">
        <f t="shared" si="1"/>
        <v>0</v>
      </c>
      <c r="I569" s="209"/>
      <c r="J569" s="209"/>
      <c r="K569" s="177">
        <f t="shared" si="2"/>
        <v>0</v>
      </c>
      <c r="L569" s="210"/>
    </row>
    <row r="570" ht="15.75" customHeight="1">
      <c r="A570" s="1"/>
      <c r="B570" s="203"/>
      <c r="C570" s="204"/>
      <c r="D570" s="205"/>
      <c r="E570" s="206"/>
      <c r="F570" s="207"/>
      <c r="G570" s="208"/>
      <c r="H570" s="174">
        <f t="shared" si="1"/>
        <v>0</v>
      </c>
      <c r="I570" s="209"/>
      <c r="J570" s="209"/>
      <c r="K570" s="177">
        <f t="shared" si="2"/>
        <v>0</v>
      </c>
      <c r="L570" s="210"/>
    </row>
    <row r="571" ht="15.75" customHeight="1">
      <c r="A571" s="1"/>
      <c r="B571" s="203"/>
      <c r="C571" s="204"/>
      <c r="D571" s="205"/>
      <c r="E571" s="206"/>
      <c r="F571" s="207"/>
      <c r="G571" s="208"/>
      <c r="H571" s="174">
        <f t="shared" si="1"/>
        <v>0</v>
      </c>
      <c r="I571" s="209"/>
      <c r="J571" s="209"/>
      <c r="K571" s="177">
        <f t="shared" si="2"/>
        <v>0</v>
      </c>
      <c r="L571" s="210"/>
    </row>
    <row r="572" ht="15.75" customHeight="1">
      <c r="A572" s="1"/>
      <c r="B572" s="203"/>
      <c r="C572" s="204"/>
      <c r="D572" s="205"/>
      <c r="E572" s="206"/>
      <c r="F572" s="207"/>
      <c r="G572" s="208"/>
      <c r="H572" s="174">
        <f t="shared" si="1"/>
        <v>0</v>
      </c>
      <c r="I572" s="209"/>
      <c r="J572" s="209"/>
      <c r="K572" s="177">
        <f t="shared" si="2"/>
        <v>0</v>
      </c>
      <c r="L572" s="210"/>
    </row>
    <row r="573" ht="15.75" customHeight="1">
      <c r="A573" s="1"/>
      <c r="B573" s="203"/>
      <c r="C573" s="204"/>
      <c r="D573" s="205"/>
      <c r="E573" s="206"/>
      <c r="F573" s="207"/>
      <c r="G573" s="208"/>
      <c r="H573" s="174">
        <f t="shared" si="1"/>
        <v>0</v>
      </c>
      <c r="I573" s="209"/>
      <c r="J573" s="209"/>
      <c r="K573" s="177">
        <f t="shared" si="2"/>
        <v>0</v>
      </c>
      <c r="L573" s="210"/>
    </row>
    <row r="574" ht="15.75" customHeight="1">
      <c r="A574" s="1"/>
      <c r="B574" s="203"/>
      <c r="C574" s="204"/>
      <c r="D574" s="205"/>
      <c r="E574" s="206"/>
      <c r="F574" s="207"/>
      <c r="G574" s="208"/>
      <c r="H574" s="174">
        <f t="shared" si="1"/>
        <v>0</v>
      </c>
      <c r="I574" s="209"/>
      <c r="J574" s="209"/>
      <c r="K574" s="177">
        <f t="shared" si="2"/>
        <v>0</v>
      </c>
      <c r="L574" s="210"/>
    </row>
    <row r="575" ht="15.75" customHeight="1">
      <c r="A575" s="1"/>
      <c r="B575" s="203"/>
      <c r="C575" s="204"/>
      <c r="D575" s="205"/>
      <c r="E575" s="206"/>
      <c r="F575" s="207"/>
      <c r="G575" s="208"/>
      <c r="H575" s="174">
        <f t="shared" si="1"/>
        <v>0</v>
      </c>
      <c r="I575" s="209"/>
      <c r="J575" s="209"/>
      <c r="K575" s="177">
        <f t="shared" si="2"/>
        <v>0</v>
      </c>
      <c r="L575" s="210"/>
    </row>
    <row r="576" ht="15.75" customHeight="1">
      <c r="A576" s="1"/>
      <c r="B576" s="203"/>
      <c r="C576" s="204"/>
      <c r="D576" s="205"/>
      <c r="E576" s="206"/>
      <c r="F576" s="207"/>
      <c r="G576" s="208"/>
      <c r="H576" s="174">
        <f t="shared" si="1"/>
        <v>0</v>
      </c>
      <c r="I576" s="209"/>
      <c r="J576" s="209"/>
      <c r="K576" s="177">
        <f t="shared" si="2"/>
        <v>0</v>
      </c>
      <c r="L576" s="210"/>
    </row>
    <row r="577" ht="15.75" customHeight="1">
      <c r="A577" s="1"/>
      <c r="B577" s="203"/>
      <c r="C577" s="204"/>
      <c r="D577" s="205"/>
      <c r="E577" s="206"/>
      <c r="F577" s="207"/>
      <c r="G577" s="208"/>
      <c r="H577" s="174">
        <f t="shared" si="1"/>
        <v>0</v>
      </c>
      <c r="I577" s="209"/>
      <c r="J577" s="209"/>
      <c r="K577" s="177">
        <f t="shared" si="2"/>
        <v>0</v>
      </c>
      <c r="L577" s="210"/>
    </row>
    <row r="578" ht="15.75" customHeight="1">
      <c r="A578" s="1"/>
      <c r="B578" s="203"/>
      <c r="C578" s="204"/>
      <c r="D578" s="205"/>
      <c r="E578" s="206"/>
      <c r="F578" s="207"/>
      <c r="G578" s="208"/>
      <c r="H578" s="174">
        <f t="shared" si="1"/>
        <v>0</v>
      </c>
      <c r="I578" s="209"/>
      <c r="J578" s="209"/>
      <c r="K578" s="177">
        <f t="shared" si="2"/>
        <v>0</v>
      </c>
      <c r="L578" s="210"/>
    </row>
    <row r="579" ht="15.75" customHeight="1">
      <c r="A579" s="1"/>
      <c r="B579" s="203"/>
      <c r="C579" s="204"/>
      <c r="D579" s="205"/>
      <c r="E579" s="206"/>
      <c r="F579" s="207"/>
      <c r="G579" s="208"/>
      <c r="H579" s="174">
        <f t="shared" si="1"/>
        <v>0</v>
      </c>
      <c r="I579" s="209"/>
      <c r="J579" s="209"/>
      <c r="K579" s="177">
        <f t="shared" si="2"/>
        <v>0</v>
      </c>
      <c r="L579" s="210"/>
    </row>
    <row r="580" ht="15.75" customHeight="1">
      <c r="A580" s="1"/>
      <c r="B580" s="203"/>
      <c r="C580" s="204"/>
      <c r="D580" s="205"/>
      <c r="E580" s="206"/>
      <c r="F580" s="207"/>
      <c r="G580" s="208"/>
      <c r="H580" s="174">
        <f t="shared" si="1"/>
        <v>0</v>
      </c>
      <c r="I580" s="209"/>
      <c r="J580" s="209"/>
      <c r="K580" s="177">
        <f t="shared" si="2"/>
        <v>0</v>
      </c>
      <c r="L580" s="210"/>
    </row>
    <row r="581" ht="15.75" customHeight="1">
      <c r="A581" s="1"/>
      <c r="B581" s="203"/>
      <c r="C581" s="204"/>
      <c r="D581" s="205"/>
      <c r="E581" s="206"/>
      <c r="F581" s="207"/>
      <c r="G581" s="208"/>
      <c r="H581" s="174">
        <f t="shared" si="1"/>
        <v>0</v>
      </c>
      <c r="I581" s="209"/>
      <c r="J581" s="209"/>
      <c r="K581" s="177">
        <f t="shared" si="2"/>
        <v>0</v>
      </c>
      <c r="L581" s="210"/>
    </row>
    <row r="582" ht="15.75" customHeight="1">
      <c r="A582" s="1"/>
      <c r="B582" s="203"/>
      <c r="C582" s="204"/>
      <c r="D582" s="205"/>
      <c r="E582" s="206"/>
      <c r="F582" s="207"/>
      <c r="G582" s="208"/>
      <c r="H582" s="174">
        <f t="shared" si="1"/>
        <v>0</v>
      </c>
      <c r="I582" s="209"/>
      <c r="J582" s="209"/>
      <c r="K582" s="177">
        <f t="shared" si="2"/>
        <v>0</v>
      </c>
      <c r="L582" s="210"/>
    </row>
    <row r="583" ht="15.75" customHeight="1">
      <c r="A583" s="1"/>
      <c r="B583" s="203"/>
      <c r="C583" s="204"/>
      <c r="D583" s="205"/>
      <c r="E583" s="206"/>
      <c r="F583" s="207"/>
      <c r="G583" s="208"/>
      <c r="H583" s="174">
        <f t="shared" si="1"/>
        <v>0</v>
      </c>
      <c r="I583" s="209"/>
      <c r="J583" s="209"/>
      <c r="K583" s="177">
        <f t="shared" si="2"/>
        <v>0</v>
      </c>
      <c r="L583" s="210"/>
    </row>
    <row r="584" ht="15.75" customHeight="1">
      <c r="A584" s="1"/>
      <c r="B584" s="203"/>
      <c r="C584" s="204"/>
      <c r="D584" s="205"/>
      <c r="E584" s="206"/>
      <c r="F584" s="207"/>
      <c r="G584" s="208"/>
      <c r="H584" s="174">
        <f t="shared" si="1"/>
        <v>0</v>
      </c>
      <c r="I584" s="209"/>
      <c r="J584" s="209"/>
      <c r="K584" s="177">
        <f t="shared" si="2"/>
        <v>0</v>
      </c>
      <c r="L584" s="210"/>
    </row>
    <row r="585" ht="15.75" customHeight="1">
      <c r="A585" s="1"/>
      <c r="B585" s="203"/>
      <c r="C585" s="204"/>
      <c r="D585" s="205"/>
      <c r="E585" s="206"/>
      <c r="F585" s="207"/>
      <c r="G585" s="208"/>
      <c r="H585" s="174">
        <f t="shared" si="1"/>
        <v>0</v>
      </c>
      <c r="I585" s="209"/>
      <c r="J585" s="209"/>
      <c r="K585" s="177">
        <f t="shared" si="2"/>
        <v>0</v>
      </c>
      <c r="L585" s="210"/>
    </row>
    <row r="586" ht="15.75" customHeight="1">
      <c r="A586" s="1"/>
      <c r="B586" s="203"/>
      <c r="C586" s="204"/>
      <c r="D586" s="205"/>
      <c r="E586" s="206"/>
      <c r="F586" s="207"/>
      <c r="G586" s="208"/>
      <c r="H586" s="174">
        <f t="shared" si="1"/>
        <v>0</v>
      </c>
      <c r="I586" s="209"/>
      <c r="J586" s="209"/>
      <c r="K586" s="177">
        <f t="shared" si="2"/>
        <v>0</v>
      </c>
      <c r="L586" s="210"/>
    </row>
    <row r="587" ht="15.75" customHeight="1">
      <c r="A587" s="1"/>
      <c r="B587" s="203"/>
      <c r="C587" s="204"/>
      <c r="D587" s="205"/>
      <c r="E587" s="206"/>
      <c r="F587" s="207"/>
      <c r="G587" s="208"/>
      <c r="H587" s="174">
        <f t="shared" si="1"/>
        <v>0</v>
      </c>
      <c r="I587" s="209"/>
      <c r="J587" s="209"/>
      <c r="K587" s="177">
        <f t="shared" si="2"/>
        <v>0</v>
      </c>
      <c r="L587" s="210"/>
    </row>
    <row r="588" ht="15.75" customHeight="1">
      <c r="A588" s="1"/>
      <c r="B588" s="203"/>
      <c r="C588" s="204"/>
      <c r="D588" s="205"/>
      <c r="E588" s="206"/>
      <c r="F588" s="207"/>
      <c r="G588" s="208"/>
      <c r="H588" s="174">
        <f t="shared" si="1"/>
        <v>0</v>
      </c>
      <c r="I588" s="209"/>
      <c r="J588" s="209"/>
      <c r="K588" s="177">
        <f t="shared" si="2"/>
        <v>0</v>
      </c>
      <c r="L588" s="210"/>
    </row>
    <row r="589" ht="15.75" customHeight="1">
      <c r="A589" s="1"/>
      <c r="B589" s="203"/>
      <c r="C589" s="204"/>
      <c r="D589" s="205"/>
      <c r="E589" s="206"/>
      <c r="F589" s="207"/>
      <c r="G589" s="208"/>
      <c r="H589" s="174">
        <f t="shared" si="1"/>
        <v>0</v>
      </c>
      <c r="I589" s="209"/>
      <c r="J589" s="209"/>
      <c r="K589" s="177">
        <f t="shared" si="2"/>
        <v>0</v>
      </c>
      <c r="L589" s="210"/>
    </row>
    <row r="590" ht="15.75" customHeight="1">
      <c r="A590" s="1"/>
      <c r="B590" s="203"/>
      <c r="C590" s="204"/>
      <c r="D590" s="205"/>
      <c r="E590" s="206"/>
      <c r="F590" s="207"/>
      <c r="G590" s="208"/>
      <c r="H590" s="174">
        <f t="shared" si="1"/>
        <v>0</v>
      </c>
      <c r="I590" s="209"/>
      <c r="J590" s="209"/>
      <c r="K590" s="177">
        <f t="shared" si="2"/>
        <v>0</v>
      </c>
      <c r="L590" s="210"/>
    </row>
    <row r="591" ht="15.75" customHeight="1">
      <c r="A591" s="1"/>
      <c r="B591" s="203"/>
      <c r="C591" s="204"/>
      <c r="D591" s="205"/>
      <c r="E591" s="206"/>
      <c r="F591" s="207"/>
      <c r="G591" s="208"/>
      <c r="H591" s="174">
        <f t="shared" si="1"/>
        <v>0</v>
      </c>
      <c r="I591" s="209"/>
      <c r="J591" s="209"/>
      <c r="K591" s="177">
        <f t="shared" si="2"/>
        <v>0</v>
      </c>
      <c r="L591" s="210"/>
    </row>
    <row r="592" ht="15.75" customHeight="1">
      <c r="A592" s="1"/>
      <c r="B592" s="203"/>
      <c r="C592" s="204"/>
      <c r="D592" s="205"/>
      <c r="E592" s="206"/>
      <c r="F592" s="207"/>
      <c r="G592" s="208"/>
      <c r="H592" s="174">
        <f t="shared" si="1"/>
        <v>0</v>
      </c>
      <c r="I592" s="209"/>
      <c r="J592" s="209"/>
      <c r="K592" s="177">
        <f t="shared" si="2"/>
        <v>0</v>
      </c>
      <c r="L592" s="210"/>
    </row>
    <row r="593" ht="15.75" customHeight="1">
      <c r="A593" s="1"/>
      <c r="B593" s="203"/>
      <c r="C593" s="204"/>
      <c r="D593" s="205"/>
      <c r="E593" s="206"/>
      <c r="F593" s="207"/>
      <c r="G593" s="208"/>
      <c r="H593" s="174">
        <f t="shared" si="1"/>
        <v>0</v>
      </c>
      <c r="I593" s="209"/>
      <c r="J593" s="209"/>
      <c r="K593" s="177">
        <f t="shared" si="2"/>
        <v>0</v>
      </c>
      <c r="L593" s="210"/>
    </row>
    <row r="594" ht="15.75" customHeight="1">
      <c r="A594" s="1"/>
      <c r="B594" s="203"/>
      <c r="C594" s="204"/>
      <c r="D594" s="205"/>
      <c r="E594" s="206"/>
      <c r="F594" s="207"/>
      <c r="G594" s="208"/>
      <c r="H594" s="174">
        <f t="shared" si="1"/>
        <v>0</v>
      </c>
      <c r="I594" s="209"/>
      <c r="J594" s="209"/>
      <c r="K594" s="177">
        <f t="shared" si="2"/>
        <v>0</v>
      </c>
      <c r="L594" s="210"/>
    </row>
    <row r="595" ht="15.75" customHeight="1">
      <c r="A595" s="1"/>
      <c r="B595" s="203"/>
      <c r="C595" s="204"/>
      <c r="D595" s="205"/>
      <c r="E595" s="206"/>
      <c r="F595" s="207"/>
      <c r="G595" s="208"/>
      <c r="H595" s="174">
        <f t="shared" si="1"/>
        <v>0</v>
      </c>
      <c r="I595" s="209"/>
      <c r="J595" s="209"/>
      <c r="K595" s="177">
        <f t="shared" si="2"/>
        <v>0</v>
      </c>
      <c r="L595" s="210"/>
    </row>
    <row r="596" ht="15.75" customHeight="1">
      <c r="A596" s="1"/>
      <c r="B596" s="203"/>
      <c r="C596" s="204"/>
      <c r="D596" s="205"/>
      <c r="E596" s="206"/>
      <c r="F596" s="207"/>
      <c r="G596" s="208"/>
      <c r="H596" s="174">
        <f t="shared" si="1"/>
        <v>0</v>
      </c>
      <c r="I596" s="209"/>
      <c r="J596" s="209"/>
      <c r="K596" s="177">
        <f t="shared" si="2"/>
        <v>0</v>
      </c>
      <c r="L596" s="210"/>
    </row>
    <row r="597" ht="15.75" customHeight="1">
      <c r="A597" s="1"/>
      <c r="B597" s="203"/>
      <c r="C597" s="204"/>
      <c r="D597" s="205"/>
      <c r="E597" s="206"/>
      <c r="F597" s="207"/>
      <c r="G597" s="208"/>
      <c r="H597" s="174">
        <f t="shared" si="1"/>
        <v>0</v>
      </c>
      <c r="I597" s="209"/>
      <c r="J597" s="209"/>
      <c r="K597" s="177">
        <f t="shared" si="2"/>
        <v>0</v>
      </c>
      <c r="L597" s="210"/>
    </row>
    <row r="598" ht="15.75" customHeight="1">
      <c r="A598" s="1"/>
      <c r="B598" s="203"/>
      <c r="C598" s="204"/>
      <c r="D598" s="205"/>
      <c r="E598" s="206"/>
      <c r="F598" s="207"/>
      <c r="G598" s="208"/>
      <c r="H598" s="174">
        <f t="shared" si="1"/>
        <v>0</v>
      </c>
      <c r="I598" s="209"/>
      <c r="J598" s="209"/>
      <c r="K598" s="177">
        <f t="shared" si="2"/>
        <v>0</v>
      </c>
      <c r="L598" s="210"/>
    </row>
    <row r="599" ht="15.75" customHeight="1">
      <c r="A599" s="1"/>
      <c r="B599" s="203"/>
      <c r="C599" s="204"/>
      <c r="D599" s="205"/>
      <c r="E599" s="206"/>
      <c r="F599" s="207"/>
      <c r="G599" s="208"/>
      <c r="H599" s="174">
        <f t="shared" si="1"/>
        <v>0</v>
      </c>
      <c r="I599" s="209"/>
      <c r="J599" s="209"/>
      <c r="K599" s="177">
        <f t="shared" si="2"/>
        <v>0</v>
      </c>
      <c r="L599" s="210"/>
    </row>
    <row r="600" ht="15.75" customHeight="1">
      <c r="A600" s="1"/>
      <c r="B600" s="203"/>
      <c r="C600" s="204"/>
      <c r="D600" s="205"/>
      <c r="E600" s="206"/>
      <c r="F600" s="207"/>
      <c r="G600" s="208"/>
      <c r="H600" s="174">
        <f t="shared" si="1"/>
        <v>0</v>
      </c>
      <c r="I600" s="209"/>
      <c r="J600" s="209"/>
      <c r="K600" s="177">
        <f t="shared" si="2"/>
        <v>0</v>
      </c>
      <c r="L600" s="210"/>
    </row>
    <row r="601" ht="15.75" customHeight="1">
      <c r="A601" s="1"/>
      <c r="B601" s="203"/>
      <c r="C601" s="204"/>
      <c r="D601" s="205"/>
      <c r="E601" s="206"/>
      <c r="F601" s="207"/>
      <c r="G601" s="208"/>
      <c r="H601" s="174">
        <f t="shared" si="1"/>
        <v>0</v>
      </c>
      <c r="I601" s="209"/>
      <c r="J601" s="209"/>
      <c r="K601" s="177">
        <f t="shared" si="2"/>
        <v>0</v>
      </c>
      <c r="L601" s="210"/>
    </row>
    <row r="602" ht="15.75" customHeight="1">
      <c r="A602" s="1"/>
      <c r="B602" s="203"/>
      <c r="C602" s="204"/>
      <c r="D602" s="205"/>
      <c r="E602" s="206"/>
      <c r="F602" s="207"/>
      <c r="G602" s="208"/>
      <c r="H602" s="174">
        <f t="shared" si="1"/>
        <v>0</v>
      </c>
      <c r="I602" s="209"/>
      <c r="J602" s="209"/>
      <c r="K602" s="177">
        <f t="shared" si="2"/>
        <v>0</v>
      </c>
      <c r="L602" s="210"/>
    </row>
    <row r="603" ht="15.75" customHeight="1">
      <c r="A603" s="1"/>
      <c r="B603" s="203"/>
      <c r="C603" s="204"/>
      <c r="D603" s="205"/>
      <c r="E603" s="206"/>
      <c r="F603" s="207"/>
      <c r="G603" s="208"/>
      <c r="H603" s="174">
        <f t="shared" si="1"/>
        <v>0</v>
      </c>
      <c r="I603" s="209"/>
      <c r="J603" s="209"/>
      <c r="K603" s="177">
        <f t="shared" si="2"/>
        <v>0</v>
      </c>
      <c r="L603" s="210"/>
    </row>
    <row r="604" ht="15.75" customHeight="1">
      <c r="A604" s="1"/>
      <c r="B604" s="203"/>
      <c r="C604" s="204"/>
      <c r="D604" s="205"/>
      <c r="E604" s="206"/>
      <c r="F604" s="207"/>
      <c r="G604" s="208"/>
      <c r="H604" s="174">
        <f t="shared" si="1"/>
        <v>0</v>
      </c>
      <c r="I604" s="209"/>
      <c r="J604" s="209"/>
      <c r="K604" s="177">
        <f t="shared" si="2"/>
        <v>0</v>
      </c>
      <c r="L604" s="210"/>
    </row>
    <row r="605" ht="15.75" customHeight="1">
      <c r="A605" s="1"/>
      <c r="B605" s="203"/>
      <c r="C605" s="204"/>
      <c r="D605" s="205"/>
      <c r="E605" s="206"/>
      <c r="F605" s="207"/>
      <c r="G605" s="208"/>
      <c r="H605" s="174">
        <f t="shared" si="1"/>
        <v>0</v>
      </c>
      <c r="I605" s="209"/>
      <c r="J605" s="209"/>
      <c r="K605" s="177">
        <f t="shared" si="2"/>
        <v>0</v>
      </c>
      <c r="L605" s="210"/>
    </row>
    <row r="606" ht="15.75" customHeight="1">
      <c r="A606" s="1"/>
      <c r="B606" s="203"/>
      <c r="C606" s="204"/>
      <c r="D606" s="205"/>
      <c r="E606" s="206"/>
      <c r="F606" s="207"/>
      <c r="G606" s="208"/>
      <c r="H606" s="174">
        <f t="shared" si="1"/>
        <v>0</v>
      </c>
      <c r="I606" s="209"/>
      <c r="J606" s="209"/>
      <c r="K606" s="177">
        <f t="shared" si="2"/>
        <v>0</v>
      </c>
      <c r="L606" s="210"/>
    </row>
    <row r="607" ht="15.75" customHeight="1">
      <c r="A607" s="1"/>
      <c r="B607" s="203"/>
      <c r="C607" s="204"/>
      <c r="D607" s="205"/>
      <c r="E607" s="206"/>
      <c r="F607" s="207"/>
      <c r="G607" s="208"/>
      <c r="H607" s="174">
        <f t="shared" si="1"/>
        <v>0</v>
      </c>
      <c r="I607" s="209"/>
      <c r="J607" s="209"/>
      <c r="K607" s="177">
        <f t="shared" si="2"/>
        <v>0</v>
      </c>
      <c r="L607" s="210"/>
    </row>
    <row r="608" ht="15.75" customHeight="1">
      <c r="A608" s="1"/>
      <c r="B608" s="203"/>
      <c r="C608" s="204"/>
      <c r="D608" s="205"/>
      <c r="E608" s="206"/>
      <c r="F608" s="207"/>
      <c r="G608" s="208"/>
      <c r="H608" s="174">
        <f t="shared" si="1"/>
        <v>0</v>
      </c>
      <c r="I608" s="209"/>
      <c r="J608" s="209"/>
      <c r="K608" s="177">
        <f t="shared" si="2"/>
        <v>0</v>
      </c>
      <c r="L608" s="210"/>
    </row>
    <row r="609" ht="15.75" customHeight="1">
      <c r="A609" s="1"/>
      <c r="B609" s="203"/>
      <c r="C609" s="204"/>
      <c r="D609" s="205"/>
      <c r="E609" s="206"/>
      <c r="F609" s="207"/>
      <c r="G609" s="208"/>
      <c r="H609" s="174">
        <f t="shared" si="1"/>
        <v>0</v>
      </c>
      <c r="I609" s="209"/>
      <c r="J609" s="209"/>
      <c r="K609" s="177">
        <f t="shared" si="2"/>
        <v>0</v>
      </c>
      <c r="L609" s="210"/>
    </row>
    <row r="610" ht="15.75" customHeight="1">
      <c r="A610" s="1"/>
      <c r="B610" s="203"/>
      <c r="C610" s="204"/>
      <c r="D610" s="205"/>
      <c r="E610" s="206"/>
      <c r="F610" s="207"/>
      <c r="G610" s="208"/>
      <c r="H610" s="174">
        <f t="shared" si="1"/>
        <v>0</v>
      </c>
      <c r="I610" s="209"/>
      <c r="J610" s="209"/>
      <c r="K610" s="177">
        <f t="shared" si="2"/>
        <v>0</v>
      </c>
      <c r="L610" s="210"/>
    </row>
    <row r="611" ht="15.75" customHeight="1">
      <c r="A611" s="1"/>
      <c r="B611" s="203"/>
      <c r="C611" s="204"/>
      <c r="D611" s="205"/>
      <c r="E611" s="206"/>
      <c r="F611" s="207"/>
      <c r="G611" s="208"/>
      <c r="H611" s="174">
        <f t="shared" si="1"/>
        <v>0</v>
      </c>
      <c r="I611" s="209"/>
      <c r="J611" s="209"/>
      <c r="K611" s="177">
        <f t="shared" si="2"/>
        <v>0</v>
      </c>
      <c r="L611" s="210"/>
    </row>
    <row r="612" ht="15.75" customHeight="1">
      <c r="A612" s="1"/>
      <c r="B612" s="203"/>
      <c r="C612" s="204"/>
      <c r="D612" s="205"/>
      <c r="E612" s="206"/>
      <c r="F612" s="207"/>
      <c r="G612" s="208"/>
      <c r="H612" s="174">
        <f t="shared" si="1"/>
        <v>0</v>
      </c>
      <c r="I612" s="209"/>
      <c r="J612" s="209"/>
      <c r="K612" s="177">
        <f t="shared" si="2"/>
        <v>0</v>
      </c>
      <c r="L612" s="210"/>
    </row>
    <row r="613" ht="15.75" customHeight="1">
      <c r="A613" s="1"/>
      <c r="B613" s="203"/>
      <c r="C613" s="204"/>
      <c r="D613" s="205"/>
      <c r="E613" s="206"/>
      <c r="F613" s="207"/>
      <c r="G613" s="208"/>
      <c r="H613" s="174">
        <f t="shared" si="1"/>
        <v>0</v>
      </c>
      <c r="I613" s="209"/>
      <c r="J613" s="209"/>
      <c r="K613" s="177">
        <f t="shared" si="2"/>
        <v>0</v>
      </c>
      <c r="L613" s="210"/>
    </row>
    <row r="614" ht="15.75" customHeight="1">
      <c r="A614" s="1"/>
      <c r="B614" s="203"/>
      <c r="C614" s="204"/>
      <c r="D614" s="205"/>
      <c r="E614" s="206"/>
      <c r="F614" s="207"/>
      <c r="G614" s="208"/>
      <c r="H614" s="174">
        <f t="shared" si="1"/>
        <v>0</v>
      </c>
      <c r="I614" s="209"/>
      <c r="J614" s="209"/>
      <c r="K614" s="177">
        <f t="shared" si="2"/>
        <v>0</v>
      </c>
      <c r="L614" s="210"/>
    </row>
    <row r="615" ht="15.75" customHeight="1">
      <c r="A615" s="1"/>
      <c r="B615" s="203"/>
      <c r="C615" s="204"/>
      <c r="D615" s="205"/>
      <c r="E615" s="206"/>
      <c r="F615" s="207"/>
      <c r="G615" s="208"/>
      <c r="H615" s="174">
        <f t="shared" si="1"/>
        <v>0</v>
      </c>
      <c r="I615" s="209"/>
      <c r="J615" s="209"/>
      <c r="K615" s="177">
        <f t="shared" si="2"/>
        <v>0</v>
      </c>
      <c r="L615" s="210"/>
    </row>
    <row r="616" ht="15.75" customHeight="1">
      <c r="A616" s="1"/>
      <c r="B616" s="203"/>
      <c r="C616" s="204"/>
      <c r="D616" s="205"/>
      <c r="E616" s="206"/>
      <c r="F616" s="207"/>
      <c r="G616" s="208"/>
      <c r="H616" s="174">
        <f t="shared" si="1"/>
        <v>0</v>
      </c>
      <c r="I616" s="209"/>
      <c r="J616" s="209"/>
      <c r="K616" s="177">
        <f t="shared" si="2"/>
        <v>0</v>
      </c>
      <c r="L616" s="210"/>
    </row>
    <row r="617" ht="15.75" customHeight="1">
      <c r="A617" s="1"/>
      <c r="B617" s="203"/>
      <c r="C617" s="204"/>
      <c r="D617" s="205"/>
      <c r="E617" s="206"/>
      <c r="F617" s="207"/>
      <c r="G617" s="208"/>
      <c r="H617" s="174">
        <f t="shared" si="1"/>
        <v>0</v>
      </c>
      <c r="I617" s="209"/>
      <c r="J617" s="209"/>
      <c r="K617" s="177">
        <f t="shared" si="2"/>
        <v>0</v>
      </c>
      <c r="L617" s="210"/>
    </row>
    <row r="618" ht="15.75" customHeight="1">
      <c r="A618" s="1"/>
      <c r="B618" s="203"/>
      <c r="C618" s="204"/>
      <c r="D618" s="205"/>
      <c r="E618" s="206"/>
      <c r="F618" s="207"/>
      <c r="G618" s="208"/>
      <c r="H618" s="174">
        <f t="shared" si="1"/>
        <v>0</v>
      </c>
      <c r="I618" s="209"/>
      <c r="J618" s="209"/>
      <c r="K618" s="177">
        <f t="shared" si="2"/>
        <v>0</v>
      </c>
      <c r="L618" s="210"/>
    </row>
    <row r="619" ht="15.75" customHeight="1">
      <c r="A619" s="1"/>
      <c r="B619" s="203"/>
      <c r="C619" s="204"/>
      <c r="D619" s="205"/>
      <c r="E619" s="206"/>
      <c r="F619" s="207"/>
      <c r="G619" s="208"/>
      <c r="H619" s="174">
        <f t="shared" si="1"/>
        <v>0</v>
      </c>
      <c r="I619" s="209"/>
      <c r="J619" s="209"/>
      <c r="K619" s="177">
        <f t="shared" si="2"/>
        <v>0</v>
      </c>
      <c r="L619" s="210"/>
    </row>
    <row r="620" ht="15.75" customHeight="1">
      <c r="A620" s="1"/>
      <c r="B620" s="203"/>
      <c r="C620" s="204"/>
      <c r="D620" s="205"/>
      <c r="E620" s="206"/>
      <c r="F620" s="207"/>
      <c r="G620" s="208"/>
      <c r="H620" s="174">
        <f t="shared" si="1"/>
        <v>0</v>
      </c>
      <c r="I620" s="209"/>
      <c r="J620" s="209"/>
      <c r="K620" s="177">
        <f t="shared" si="2"/>
        <v>0</v>
      </c>
      <c r="L620" s="210"/>
    </row>
    <row r="621" ht="15.75" customHeight="1">
      <c r="A621" s="1"/>
      <c r="B621" s="203"/>
      <c r="C621" s="204"/>
      <c r="D621" s="205"/>
      <c r="E621" s="206"/>
      <c r="F621" s="207"/>
      <c r="G621" s="208"/>
      <c r="H621" s="174">
        <f t="shared" si="1"/>
        <v>0</v>
      </c>
      <c r="I621" s="209"/>
      <c r="J621" s="209"/>
      <c r="K621" s="177">
        <f t="shared" si="2"/>
        <v>0</v>
      </c>
      <c r="L621" s="210"/>
    </row>
    <row r="622" ht="15.75" customHeight="1">
      <c r="A622" s="1"/>
      <c r="B622" s="203"/>
      <c r="C622" s="204"/>
      <c r="D622" s="205"/>
      <c r="E622" s="206"/>
      <c r="F622" s="207"/>
      <c r="G622" s="208"/>
      <c r="H622" s="174">
        <f t="shared" si="1"/>
        <v>0</v>
      </c>
      <c r="I622" s="209"/>
      <c r="J622" s="209"/>
      <c r="K622" s="177">
        <f t="shared" si="2"/>
        <v>0</v>
      </c>
      <c r="L622" s="210"/>
    </row>
    <row r="623" ht="15.75" customHeight="1">
      <c r="A623" s="1"/>
      <c r="B623" s="203"/>
      <c r="C623" s="204"/>
      <c r="D623" s="205"/>
      <c r="E623" s="206"/>
      <c r="F623" s="207"/>
      <c r="G623" s="208"/>
      <c r="H623" s="174">
        <f t="shared" si="1"/>
        <v>0</v>
      </c>
      <c r="I623" s="209"/>
      <c r="J623" s="209"/>
      <c r="K623" s="177">
        <f t="shared" si="2"/>
        <v>0</v>
      </c>
      <c r="L623" s="210"/>
    </row>
    <row r="624" ht="15.75" customHeight="1">
      <c r="A624" s="1"/>
      <c r="B624" s="203"/>
      <c r="C624" s="204"/>
      <c r="D624" s="205"/>
      <c r="E624" s="206"/>
      <c r="F624" s="207"/>
      <c r="G624" s="208"/>
      <c r="H624" s="174">
        <f t="shared" si="1"/>
        <v>0</v>
      </c>
      <c r="I624" s="209"/>
      <c r="J624" s="209"/>
      <c r="K624" s="177">
        <f t="shared" si="2"/>
        <v>0</v>
      </c>
      <c r="L624" s="210"/>
    </row>
    <row r="625" ht="15.75" customHeight="1">
      <c r="A625" s="1"/>
      <c r="B625" s="203"/>
      <c r="C625" s="204"/>
      <c r="D625" s="205"/>
      <c r="E625" s="206"/>
      <c r="F625" s="207"/>
      <c r="G625" s="208"/>
      <c r="H625" s="174">
        <f t="shared" si="1"/>
        <v>0</v>
      </c>
      <c r="I625" s="209"/>
      <c r="J625" s="209"/>
      <c r="K625" s="177">
        <f t="shared" si="2"/>
        <v>0</v>
      </c>
      <c r="L625" s="210"/>
    </row>
    <row r="626" ht="15.75" customHeight="1">
      <c r="A626" s="1"/>
      <c r="B626" s="203"/>
      <c r="C626" s="204"/>
      <c r="D626" s="205"/>
      <c r="E626" s="206"/>
      <c r="F626" s="207"/>
      <c r="G626" s="208"/>
      <c r="H626" s="174">
        <f t="shared" si="1"/>
        <v>0</v>
      </c>
      <c r="I626" s="209"/>
      <c r="J626" s="209"/>
      <c r="K626" s="177">
        <f t="shared" si="2"/>
        <v>0</v>
      </c>
      <c r="L626" s="210"/>
    </row>
    <row r="627" ht="15.75" customHeight="1">
      <c r="A627" s="1"/>
      <c r="B627" s="203"/>
      <c r="C627" s="204"/>
      <c r="D627" s="205"/>
      <c r="E627" s="206"/>
      <c r="F627" s="207"/>
      <c r="G627" s="208"/>
      <c r="H627" s="174">
        <f t="shared" si="1"/>
        <v>0</v>
      </c>
      <c r="I627" s="209"/>
      <c r="J627" s="209"/>
      <c r="K627" s="177">
        <f t="shared" si="2"/>
        <v>0</v>
      </c>
      <c r="L627" s="210"/>
    </row>
    <row r="628" ht="15.75" customHeight="1">
      <c r="A628" s="1"/>
      <c r="B628" s="203"/>
      <c r="C628" s="204"/>
      <c r="D628" s="205"/>
      <c r="E628" s="206"/>
      <c r="F628" s="207"/>
      <c r="G628" s="208"/>
      <c r="H628" s="174">
        <f t="shared" si="1"/>
        <v>0</v>
      </c>
      <c r="I628" s="209"/>
      <c r="J628" s="209"/>
      <c r="K628" s="177">
        <f t="shared" si="2"/>
        <v>0</v>
      </c>
      <c r="L628" s="210"/>
    </row>
    <row r="629" ht="15.75" customHeight="1">
      <c r="A629" s="1"/>
      <c r="B629" s="203"/>
      <c r="C629" s="204"/>
      <c r="D629" s="205"/>
      <c r="E629" s="206"/>
      <c r="F629" s="207"/>
      <c r="G629" s="208"/>
      <c r="H629" s="174">
        <f t="shared" si="1"/>
        <v>0</v>
      </c>
      <c r="I629" s="209"/>
      <c r="J629" s="209"/>
      <c r="K629" s="177">
        <f t="shared" si="2"/>
        <v>0</v>
      </c>
      <c r="L629" s="210"/>
    </row>
    <row r="630" ht="15.75" customHeight="1">
      <c r="A630" s="1"/>
      <c r="B630" s="203"/>
      <c r="C630" s="204"/>
      <c r="D630" s="205"/>
      <c r="E630" s="206"/>
      <c r="F630" s="207"/>
      <c r="G630" s="208"/>
      <c r="H630" s="174">
        <f t="shared" si="1"/>
        <v>0</v>
      </c>
      <c r="I630" s="209"/>
      <c r="J630" s="209"/>
      <c r="K630" s="177">
        <f t="shared" si="2"/>
        <v>0</v>
      </c>
      <c r="L630" s="210"/>
    </row>
    <row r="631" ht="15.75" customHeight="1">
      <c r="A631" s="1"/>
      <c r="B631" s="203"/>
      <c r="C631" s="204"/>
      <c r="D631" s="205"/>
      <c r="E631" s="206"/>
      <c r="F631" s="207"/>
      <c r="G631" s="208"/>
      <c r="H631" s="174">
        <f t="shared" si="1"/>
        <v>0</v>
      </c>
      <c r="I631" s="209"/>
      <c r="J631" s="209"/>
      <c r="K631" s="177">
        <f t="shared" si="2"/>
        <v>0</v>
      </c>
      <c r="L631" s="210"/>
    </row>
    <row r="632" ht="15.75" customHeight="1">
      <c r="A632" s="1"/>
      <c r="B632" s="203"/>
      <c r="C632" s="204"/>
      <c r="D632" s="205"/>
      <c r="E632" s="206"/>
      <c r="F632" s="207"/>
      <c r="G632" s="208"/>
      <c r="H632" s="174">
        <f t="shared" si="1"/>
        <v>0</v>
      </c>
      <c r="I632" s="209"/>
      <c r="J632" s="209"/>
      <c r="K632" s="177">
        <f t="shared" si="2"/>
        <v>0</v>
      </c>
      <c r="L632" s="210"/>
    </row>
    <row r="633" ht="15.75" customHeight="1">
      <c r="A633" s="1"/>
      <c r="B633" s="203"/>
      <c r="C633" s="204"/>
      <c r="D633" s="205"/>
      <c r="E633" s="206"/>
      <c r="F633" s="207"/>
      <c r="G633" s="208"/>
      <c r="H633" s="174">
        <f t="shared" si="1"/>
        <v>0</v>
      </c>
      <c r="I633" s="209"/>
      <c r="J633" s="209"/>
      <c r="K633" s="177">
        <f t="shared" si="2"/>
        <v>0</v>
      </c>
      <c r="L633" s="210"/>
    </row>
    <row r="634" ht="15.75" customHeight="1">
      <c r="A634" s="1"/>
      <c r="B634" s="203"/>
      <c r="C634" s="204"/>
      <c r="D634" s="205"/>
      <c r="E634" s="206"/>
      <c r="F634" s="207"/>
      <c r="G634" s="208"/>
      <c r="H634" s="174">
        <f t="shared" si="1"/>
        <v>0</v>
      </c>
      <c r="I634" s="209"/>
      <c r="J634" s="209"/>
      <c r="K634" s="177">
        <f t="shared" si="2"/>
        <v>0</v>
      </c>
      <c r="L634" s="210"/>
    </row>
    <row r="635" ht="15.75" customHeight="1">
      <c r="A635" s="1"/>
      <c r="B635" s="203"/>
      <c r="C635" s="204"/>
      <c r="D635" s="205"/>
      <c r="E635" s="206"/>
      <c r="F635" s="207"/>
      <c r="G635" s="208"/>
      <c r="H635" s="174">
        <f t="shared" si="1"/>
        <v>0</v>
      </c>
      <c r="I635" s="209"/>
      <c r="J635" s="209"/>
      <c r="K635" s="177">
        <f t="shared" si="2"/>
        <v>0</v>
      </c>
      <c r="L635" s="210"/>
    </row>
    <row r="636" ht="15.75" customHeight="1">
      <c r="A636" s="1"/>
      <c r="B636" s="203"/>
      <c r="C636" s="204"/>
      <c r="D636" s="205"/>
      <c r="E636" s="206"/>
      <c r="F636" s="207"/>
      <c r="G636" s="208"/>
      <c r="H636" s="174">
        <f t="shared" si="1"/>
        <v>0</v>
      </c>
      <c r="I636" s="209"/>
      <c r="J636" s="209"/>
      <c r="K636" s="177">
        <f t="shared" si="2"/>
        <v>0</v>
      </c>
      <c r="L636" s="210"/>
    </row>
    <row r="637" ht="15.75" customHeight="1">
      <c r="A637" s="1"/>
      <c r="B637" s="203"/>
      <c r="C637" s="204"/>
      <c r="D637" s="205"/>
      <c r="E637" s="206"/>
      <c r="F637" s="207"/>
      <c r="G637" s="208"/>
      <c r="H637" s="174">
        <f t="shared" si="1"/>
        <v>0</v>
      </c>
      <c r="I637" s="209"/>
      <c r="J637" s="209"/>
      <c r="K637" s="177">
        <f t="shared" si="2"/>
        <v>0</v>
      </c>
      <c r="L637" s="210"/>
    </row>
    <row r="638" ht="15.75" customHeight="1">
      <c r="A638" s="1"/>
      <c r="B638" s="203"/>
      <c r="C638" s="204"/>
      <c r="D638" s="205"/>
      <c r="E638" s="206"/>
      <c r="F638" s="207"/>
      <c r="G638" s="208"/>
      <c r="H638" s="174">
        <f t="shared" si="1"/>
        <v>0</v>
      </c>
      <c r="I638" s="209"/>
      <c r="J638" s="209"/>
      <c r="K638" s="177">
        <f t="shared" si="2"/>
        <v>0</v>
      </c>
      <c r="L638" s="210"/>
    </row>
    <row r="639" ht="15.75" customHeight="1">
      <c r="A639" s="1"/>
      <c r="B639" s="203"/>
      <c r="C639" s="204"/>
      <c r="D639" s="205"/>
      <c r="E639" s="206"/>
      <c r="F639" s="207"/>
      <c r="G639" s="208"/>
      <c r="H639" s="174">
        <f t="shared" si="1"/>
        <v>0</v>
      </c>
      <c r="I639" s="209"/>
      <c r="J639" s="209"/>
      <c r="K639" s="177">
        <f t="shared" si="2"/>
        <v>0</v>
      </c>
      <c r="L639" s="210"/>
    </row>
    <row r="640" ht="15.75" customHeight="1">
      <c r="A640" s="1"/>
      <c r="B640" s="203"/>
      <c r="C640" s="204"/>
      <c r="D640" s="205"/>
      <c r="E640" s="206"/>
      <c r="F640" s="207"/>
      <c r="G640" s="208"/>
      <c r="H640" s="174">
        <f t="shared" si="1"/>
        <v>0</v>
      </c>
      <c r="I640" s="209"/>
      <c r="J640" s="209"/>
      <c r="K640" s="177">
        <f t="shared" si="2"/>
        <v>0</v>
      </c>
      <c r="L640" s="210"/>
    </row>
    <row r="641" ht="15.75" customHeight="1">
      <c r="A641" s="1"/>
      <c r="B641" s="203"/>
      <c r="C641" s="204"/>
      <c r="D641" s="205"/>
      <c r="E641" s="206"/>
      <c r="F641" s="207"/>
      <c r="G641" s="208"/>
      <c r="H641" s="174">
        <f t="shared" si="1"/>
        <v>0</v>
      </c>
      <c r="I641" s="209"/>
      <c r="J641" s="209"/>
      <c r="K641" s="177">
        <f t="shared" si="2"/>
        <v>0</v>
      </c>
      <c r="L641" s="210"/>
    </row>
    <row r="642" ht="15.75" customHeight="1">
      <c r="A642" s="1"/>
      <c r="B642" s="203"/>
      <c r="C642" s="204"/>
      <c r="D642" s="205"/>
      <c r="E642" s="206"/>
      <c r="F642" s="207"/>
      <c r="G642" s="208"/>
      <c r="H642" s="174">
        <f t="shared" si="1"/>
        <v>0</v>
      </c>
      <c r="I642" s="209"/>
      <c r="J642" s="209"/>
      <c r="K642" s="177">
        <f t="shared" si="2"/>
        <v>0</v>
      </c>
      <c r="L642" s="210"/>
    </row>
    <row r="643" ht="15.75" customHeight="1">
      <c r="A643" s="1"/>
      <c r="B643" s="203"/>
      <c r="C643" s="204"/>
      <c r="D643" s="205"/>
      <c r="E643" s="206"/>
      <c r="F643" s="207"/>
      <c r="G643" s="208"/>
      <c r="H643" s="174">
        <f t="shared" si="1"/>
        <v>0</v>
      </c>
      <c r="I643" s="209"/>
      <c r="J643" s="209"/>
      <c r="K643" s="177">
        <f t="shared" si="2"/>
        <v>0</v>
      </c>
      <c r="L643" s="210"/>
    </row>
    <row r="644" ht="15.75" customHeight="1">
      <c r="A644" s="1"/>
      <c r="B644" s="203"/>
      <c r="C644" s="204"/>
      <c r="D644" s="205"/>
      <c r="E644" s="206"/>
      <c r="F644" s="207"/>
      <c r="G644" s="208"/>
      <c r="H644" s="174">
        <f t="shared" si="1"/>
        <v>0</v>
      </c>
      <c r="I644" s="209"/>
      <c r="J644" s="209"/>
      <c r="K644" s="177">
        <f t="shared" si="2"/>
        <v>0</v>
      </c>
      <c r="L644" s="210"/>
    </row>
    <row r="645" ht="15.75" customHeight="1">
      <c r="A645" s="1"/>
      <c r="B645" s="203"/>
      <c r="C645" s="204"/>
      <c r="D645" s="205"/>
      <c r="E645" s="206"/>
      <c r="F645" s="207"/>
      <c r="G645" s="208"/>
      <c r="H645" s="174">
        <f t="shared" si="1"/>
        <v>0</v>
      </c>
      <c r="I645" s="209"/>
      <c r="J645" s="209"/>
      <c r="K645" s="177">
        <f t="shared" si="2"/>
        <v>0</v>
      </c>
      <c r="L645" s="210"/>
    </row>
    <row r="646" ht="15.75" customHeight="1">
      <c r="A646" s="1"/>
      <c r="B646" s="203"/>
      <c r="C646" s="204"/>
      <c r="D646" s="205"/>
      <c r="E646" s="206"/>
      <c r="F646" s="207"/>
      <c r="G646" s="208"/>
      <c r="H646" s="174">
        <f t="shared" si="1"/>
        <v>0</v>
      </c>
      <c r="I646" s="209"/>
      <c r="J646" s="209"/>
      <c r="K646" s="177">
        <f t="shared" si="2"/>
        <v>0</v>
      </c>
      <c r="L646" s="210"/>
    </row>
    <row r="647" ht="15.75" customHeight="1">
      <c r="A647" s="1"/>
      <c r="B647" s="203"/>
      <c r="C647" s="204"/>
      <c r="D647" s="205"/>
      <c r="E647" s="206"/>
      <c r="F647" s="207"/>
      <c r="G647" s="208"/>
      <c r="H647" s="174">
        <f t="shared" si="1"/>
        <v>0</v>
      </c>
      <c r="I647" s="209"/>
      <c r="J647" s="209"/>
      <c r="K647" s="177">
        <f t="shared" si="2"/>
        <v>0</v>
      </c>
      <c r="L647" s="210"/>
    </row>
    <row r="648" ht="15.75" customHeight="1">
      <c r="A648" s="1"/>
      <c r="B648" s="203"/>
      <c r="C648" s="204"/>
      <c r="D648" s="205"/>
      <c r="E648" s="206"/>
      <c r="F648" s="207"/>
      <c r="G648" s="208"/>
      <c r="H648" s="174">
        <f t="shared" si="1"/>
        <v>0</v>
      </c>
      <c r="I648" s="209"/>
      <c r="J648" s="209"/>
      <c r="K648" s="177">
        <f t="shared" si="2"/>
        <v>0</v>
      </c>
      <c r="L648" s="210"/>
    </row>
    <row r="649" ht="15.75" customHeight="1">
      <c r="A649" s="1"/>
      <c r="B649" s="203"/>
      <c r="C649" s="204"/>
      <c r="D649" s="205"/>
      <c r="E649" s="206"/>
      <c r="F649" s="207"/>
      <c r="G649" s="208"/>
      <c r="H649" s="174">
        <f t="shared" si="1"/>
        <v>0</v>
      </c>
      <c r="I649" s="209"/>
      <c r="J649" s="209"/>
      <c r="K649" s="177">
        <f t="shared" si="2"/>
        <v>0</v>
      </c>
      <c r="L649" s="210"/>
    </row>
    <row r="650" ht="15.75" customHeight="1">
      <c r="A650" s="1"/>
      <c r="B650" s="203"/>
      <c r="C650" s="204"/>
      <c r="D650" s="205"/>
      <c r="E650" s="206"/>
      <c r="F650" s="207"/>
      <c r="G650" s="208"/>
      <c r="H650" s="174">
        <f t="shared" si="1"/>
        <v>0</v>
      </c>
      <c r="I650" s="209"/>
      <c r="J650" s="209"/>
      <c r="K650" s="177">
        <f t="shared" si="2"/>
        <v>0</v>
      </c>
      <c r="L650" s="210"/>
    </row>
    <row r="651" ht="15.75" customHeight="1">
      <c r="A651" s="1"/>
      <c r="B651" s="203"/>
      <c r="C651" s="204"/>
      <c r="D651" s="205"/>
      <c r="E651" s="206"/>
      <c r="F651" s="207"/>
      <c r="G651" s="208"/>
      <c r="H651" s="174">
        <f t="shared" si="1"/>
        <v>0</v>
      </c>
      <c r="I651" s="209"/>
      <c r="J651" s="209"/>
      <c r="K651" s="177">
        <f t="shared" si="2"/>
        <v>0</v>
      </c>
      <c r="L651" s="210"/>
    </row>
    <row r="652" ht="15.75" customHeight="1">
      <c r="A652" s="1"/>
      <c r="B652" s="203"/>
      <c r="C652" s="204"/>
      <c r="D652" s="205"/>
      <c r="E652" s="206"/>
      <c r="F652" s="207"/>
      <c r="G652" s="208"/>
      <c r="H652" s="174">
        <f t="shared" si="1"/>
        <v>0</v>
      </c>
      <c r="I652" s="209"/>
      <c r="J652" s="209"/>
      <c r="K652" s="177">
        <f t="shared" si="2"/>
        <v>0</v>
      </c>
      <c r="L652" s="210"/>
    </row>
    <row r="653" ht="15.75" customHeight="1">
      <c r="A653" s="1"/>
      <c r="B653" s="203"/>
      <c r="C653" s="204"/>
      <c r="D653" s="205"/>
      <c r="E653" s="206"/>
      <c r="F653" s="207"/>
      <c r="G653" s="208"/>
      <c r="H653" s="174">
        <f t="shared" si="1"/>
        <v>0</v>
      </c>
      <c r="I653" s="209"/>
      <c r="J653" s="209"/>
      <c r="K653" s="177">
        <f t="shared" si="2"/>
        <v>0</v>
      </c>
      <c r="L653" s="210"/>
    </row>
    <row r="654" ht="15.75" customHeight="1">
      <c r="A654" s="1"/>
      <c r="B654" s="203"/>
      <c r="C654" s="204"/>
      <c r="D654" s="205"/>
      <c r="E654" s="206"/>
      <c r="F654" s="207"/>
      <c r="G654" s="208"/>
      <c r="H654" s="174">
        <f t="shared" si="1"/>
        <v>0</v>
      </c>
      <c r="I654" s="209"/>
      <c r="J654" s="209"/>
      <c r="K654" s="177">
        <f t="shared" si="2"/>
        <v>0</v>
      </c>
      <c r="L654" s="210"/>
    </row>
    <row r="655" ht="15.75" customHeight="1">
      <c r="A655" s="1"/>
      <c r="B655" s="203"/>
      <c r="C655" s="204"/>
      <c r="D655" s="205"/>
      <c r="E655" s="206"/>
      <c r="F655" s="207"/>
      <c r="G655" s="208"/>
      <c r="H655" s="174">
        <f t="shared" si="1"/>
        <v>0</v>
      </c>
      <c r="I655" s="209"/>
      <c r="J655" s="209"/>
      <c r="K655" s="177">
        <f t="shared" si="2"/>
        <v>0</v>
      </c>
      <c r="L655" s="210"/>
    </row>
    <row r="656" ht="15.75" customHeight="1">
      <c r="A656" s="1"/>
      <c r="B656" s="203"/>
      <c r="C656" s="204"/>
      <c r="D656" s="205"/>
      <c r="E656" s="206"/>
      <c r="F656" s="207"/>
      <c r="G656" s="208"/>
      <c r="H656" s="174">
        <f t="shared" si="1"/>
        <v>0</v>
      </c>
      <c r="I656" s="209"/>
      <c r="J656" s="209"/>
      <c r="K656" s="177">
        <f t="shared" si="2"/>
        <v>0</v>
      </c>
      <c r="L656" s="210"/>
    </row>
    <row r="657" ht="15.75" customHeight="1">
      <c r="A657" s="1"/>
      <c r="B657" s="203"/>
      <c r="C657" s="204"/>
      <c r="D657" s="205"/>
      <c r="E657" s="206"/>
      <c r="F657" s="207"/>
      <c r="G657" s="208"/>
      <c r="H657" s="174">
        <f t="shared" si="1"/>
        <v>0</v>
      </c>
      <c r="I657" s="209"/>
      <c r="J657" s="209"/>
      <c r="K657" s="177">
        <f t="shared" si="2"/>
        <v>0</v>
      </c>
      <c r="L657" s="210"/>
    </row>
    <row r="658" ht="15.75" customHeight="1">
      <c r="A658" s="1"/>
      <c r="B658" s="203"/>
      <c r="C658" s="204"/>
      <c r="D658" s="205"/>
      <c r="E658" s="206"/>
      <c r="F658" s="207"/>
      <c r="G658" s="208"/>
      <c r="H658" s="174">
        <f t="shared" si="1"/>
        <v>0</v>
      </c>
      <c r="I658" s="209"/>
      <c r="J658" s="209"/>
      <c r="K658" s="177">
        <f t="shared" si="2"/>
        <v>0</v>
      </c>
      <c r="L658" s="210"/>
    </row>
    <row r="659" ht="15.75" customHeight="1">
      <c r="A659" s="1"/>
      <c r="B659" s="203"/>
      <c r="C659" s="204"/>
      <c r="D659" s="205"/>
      <c r="E659" s="206"/>
      <c r="F659" s="207"/>
      <c r="G659" s="208"/>
      <c r="H659" s="174">
        <f t="shared" si="1"/>
        <v>0</v>
      </c>
      <c r="I659" s="209"/>
      <c r="J659" s="209"/>
      <c r="K659" s="177">
        <f t="shared" si="2"/>
        <v>0</v>
      </c>
      <c r="L659" s="210"/>
    </row>
    <row r="660" ht="15.75" customHeight="1">
      <c r="A660" s="1"/>
      <c r="B660" s="203"/>
      <c r="C660" s="204"/>
      <c r="D660" s="205"/>
      <c r="E660" s="206"/>
      <c r="F660" s="207"/>
      <c r="G660" s="208"/>
      <c r="H660" s="174">
        <f t="shared" si="1"/>
        <v>0</v>
      </c>
      <c r="I660" s="209"/>
      <c r="J660" s="209"/>
      <c r="K660" s="177">
        <f t="shared" si="2"/>
        <v>0</v>
      </c>
      <c r="L660" s="210"/>
    </row>
    <row r="661" ht="15.75" customHeight="1">
      <c r="A661" s="1"/>
      <c r="B661" s="203"/>
      <c r="C661" s="204"/>
      <c r="D661" s="205"/>
      <c r="E661" s="206"/>
      <c r="F661" s="207"/>
      <c r="G661" s="208"/>
      <c r="H661" s="174">
        <f t="shared" si="1"/>
        <v>0</v>
      </c>
      <c r="I661" s="209"/>
      <c r="J661" s="209"/>
      <c r="K661" s="177">
        <f t="shared" si="2"/>
        <v>0</v>
      </c>
      <c r="L661" s="210"/>
    </row>
    <row r="662" ht="15.75" customHeight="1">
      <c r="A662" s="1"/>
      <c r="B662" s="203"/>
      <c r="C662" s="204"/>
      <c r="D662" s="205"/>
      <c r="E662" s="206"/>
      <c r="F662" s="207"/>
      <c r="G662" s="208"/>
      <c r="H662" s="174">
        <f t="shared" si="1"/>
        <v>0</v>
      </c>
      <c r="I662" s="209"/>
      <c r="J662" s="209"/>
      <c r="K662" s="177">
        <f t="shared" si="2"/>
        <v>0</v>
      </c>
      <c r="L662" s="210"/>
    </row>
    <row r="663" ht="15.75" customHeight="1">
      <c r="A663" s="1"/>
      <c r="B663" s="203"/>
      <c r="C663" s="204"/>
      <c r="D663" s="205"/>
      <c r="E663" s="206"/>
      <c r="F663" s="207"/>
      <c r="G663" s="208"/>
      <c r="H663" s="174">
        <f t="shared" si="1"/>
        <v>0</v>
      </c>
      <c r="I663" s="209"/>
      <c r="J663" s="209"/>
      <c r="K663" s="177">
        <f t="shared" si="2"/>
        <v>0</v>
      </c>
      <c r="L663" s="210"/>
    </row>
    <row r="664" ht="15.75" customHeight="1">
      <c r="A664" s="1"/>
      <c r="B664" s="203"/>
      <c r="C664" s="204"/>
      <c r="D664" s="205"/>
      <c r="E664" s="206"/>
      <c r="F664" s="207"/>
      <c r="G664" s="208"/>
      <c r="H664" s="174">
        <f t="shared" si="1"/>
        <v>0</v>
      </c>
      <c r="I664" s="209"/>
      <c r="J664" s="209"/>
      <c r="K664" s="177">
        <f t="shared" si="2"/>
        <v>0</v>
      </c>
      <c r="L664" s="210"/>
    </row>
    <row r="665" ht="15.75" customHeight="1">
      <c r="A665" s="1"/>
      <c r="B665" s="203"/>
      <c r="C665" s="204"/>
      <c r="D665" s="205"/>
      <c r="E665" s="206"/>
      <c r="F665" s="207"/>
      <c r="G665" s="208"/>
      <c r="H665" s="174">
        <f t="shared" si="1"/>
        <v>0</v>
      </c>
      <c r="I665" s="209"/>
      <c r="J665" s="209"/>
      <c r="K665" s="177">
        <f t="shared" si="2"/>
        <v>0</v>
      </c>
      <c r="L665" s="210"/>
    </row>
    <row r="666" ht="15.75" customHeight="1">
      <c r="A666" s="1"/>
      <c r="B666" s="203"/>
      <c r="C666" s="204"/>
      <c r="D666" s="205"/>
      <c r="E666" s="206"/>
      <c r="F666" s="207"/>
      <c r="G666" s="208"/>
      <c r="H666" s="174">
        <f t="shared" si="1"/>
        <v>0</v>
      </c>
      <c r="I666" s="209"/>
      <c r="J666" s="209"/>
      <c r="K666" s="177">
        <f t="shared" si="2"/>
        <v>0</v>
      </c>
      <c r="L666" s="210"/>
    </row>
    <row r="667" ht="15.75" customHeight="1">
      <c r="A667" s="1"/>
      <c r="B667" s="203"/>
      <c r="C667" s="204"/>
      <c r="D667" s="205"/>
      <c r="E667" s="206"/>
      <c r="F667" s="207"/>
      <c r="G667" s="208"/>
      <c r="H667" s="174">
        <f t="shared" si="1"/>
        <v>0</v>
      </c>
      <c r="I667" s="209"/>
      <c r="J667" s="209"/>
      <c r="K667" s="177">
        <f t="shared" si="2"/>
        <v>0</v>
      </c>
      <c r="L667" s="210"/>
    </row>
    <row r="668" ht="15.75" customHeight="1">
      <c r="A668" s="1"/>
      <c r="B668" s="203"/>
      <c r="C668" s="204"/>
      <c r="D668" s="205"/>
      <c r="E668" s="206"/>
      <c r="F668" s="207"/>
      <c r="G668" s="208"/>
      <c r="H668" s="174">
        <f t="shared" si="1"/>
        <v>0</v>
      </c>
      <c r="I668" s="209"/>
      <c r="J668" s="209"/>
      <c r="K668" s="177">
        <f t="shared" si="2"/>
        <v>0</v>
      </c>
      <c r="L668" s="210"/>
    </row>
    <row r="669" ht="15.75" customHeight="1">
      <c r="A669" s="1"/>
      <c r="B669" s="203"/>
      <c r="C669" s="204"/>
      <c r="D669" s="205"/>
      <c r="E669" s="206"/>
      <c r="F669" s="207"/>
      <c r="G669" s="208"/>
      <c r="H669" s="174">
        <f t="shared" si="1"/>
        <v>0</v>
      </c>
      <c r="I669" s="209"/>
      <c r="J669" s="209"/>
      <c r="K669" s="177">
        <f t="shared" si="2"/>
        <v>0</v>
      </c>
      <c r="L669" s="210"/>
    </row>
    <row r="670" ht="15.75" customHeight="1">
      <c r="A670" s="1"/>
      <c r="B670" s="203"/>
      <c r="C670" s="204"/>
      <c r="D670" s="205"/>
      <c r="E670" s="206"/>
      <c r="F670" s="207"/>
      <c r="G670" s="208"/>
      <c r="H670" s="174">
        <f t="shared" si="1"/>
        <v>0</v>
      </c>
      <c r="I670" s="209"/>
      <c r="J670" s="209"/>
      <c r="K670" s="177">
        <f t="shared" si="2"/>
        <v>0</v>
      </c>
      <c r="L670" s="210"/>
    </row>
    <row r="671" ht="15.75" customHeight="1">
      <c r="A671" s="1"/>
      <c r="B671" s="203"/>
      <c r="C671" s="204"/>
      <c r="D671" s="205"/>
      <c r="E671" s="206"/>
      <c r="F671" s="207"/>
      <c r="G671" s="208"/>
      <c r="H671" s="174">
        <f t="shared" si="1"/>
        <v>0</v>
      </c>
      <c r="I671" s="209"/>
      <c r="J671" s="209"/>
      <c r="K671" s="177">
        <f t="shared" si="2"/>
        <v>0</v>
      </c>
      <c r="L671" s="210"/>
    </row>
    <row r="672" ht="15.75" customHeight="1">
      <c r="A672" s="1"/>
      <c r="B672" s="203"/>
      <c r="C672" s="204"/>
      <c r="D672" s="205"/>
      <c r="E672" s="206"/>
      <c r="F672" s="207"/>
      <c r="G672" s="208"/>
      <c r="H672" s="174">
        <f t="shared" si="1"/>
        <v>0</v>
      </c>
      <c r="I672" s="209"/>
      <c r="J672" s="209"/>
      <c r="K672" s="177">
        <f t="shared" si="2"/>
        <v>0</v>
      </c>
      <c r="L672" s="210"/>
    </row>
    <row r="673" ht="15.75" customHeight="1">
      <c r="A673" s="1"/>
      <c r="B673" s="203"/>
      <c r="C673" s="204"/>
      <c r="D673" s="205"/>
      <c r="E673" s="206"/>
      <c r="F673" s="207"/>
      <c r="G673" s="208"/>
      <c r="H673" s="174">
        <f t="shared" si="1"/>
        <v>0</v>
      </c>
      <c r="I673" s="209"/>
      <c r="J673" s="209"/>
      <c r="K673" s="177">
        <f t="shared" si="2"/>
        <v>0</v>
      </c>
      <c r="L673" s="210"/>
    </row>
    <row r="674" ht="15.75" customHeight="1">
      <c r="A674" s="1"/>
      <c r="B674" s="203"/>
      <c r="C674" s="204"/>
      <c r="D674" s="205"/>
      <c r="E674" s="206"/>
      <c r="F674" s="207"/>
      <c r="G674" s="208"/>
      <c r="H674" s="174">
        <f t="shared" si="1"/>
        <v>0</v>
      </c>
      <c r="I674" s="209"/>
      <c r="J674" s="209"/>
      <c r="K674" s="177">
        <f t="shared" si="2"/>
        <v>0</v>
      </c>
      <c r="L674" s="210"/>
    </row>
    <row r="675" ht="15.75" customHeight="1">
      <c r="A675" s="1"/>
      <c r="B675" s="203"/>
      <c r="C675" s="204"/>
      <c r="D675" s="205"/>
      <c r="E675" s="206"/>
      <c r="F675" s="207"/>
      <c r="G675" s="208"/>
      <c r="H675" s="174">
        <f t="shared" si="1"/>
        <v>0</v>
      </c>
      <c r="I675" s="209"/>
      <c r="J675" s="209"/>
      <c r="K675" s="177">
        <f t="shared" si="2"/>
        <v>0</v>
      </c>
      <c r="L675" s="210"/>
    </row>
    <row r="676" ht="15.75" customHeight="1">
      <c r="A676" s="1"/>
      <c r="B676" s="203"/>
      <c r="C676" s="204"/>
      <c r="D676" s="205"/>
      <c r="E676" s="206"/>
      <c r="F676" s="207"/>
      <c r="G676" s="208"/>
      <c r="H676" s="174">
        <f t="shared" si="1"/>
        <v>0</v>
      </c>
      <c r="I676" s="209"/>
      <c r="J676" s="209"/>
      <c r="K676" s="177">
        <f t="shared" si="2"/>
        <v>0</v>
      </c>
      <c r="L676" s="210"/>
    </row>
    <row r="677" ht="15.75" customHeight="1">
      <c r="A677" s="1"/>
      <c r="B677" s="203"/>
      <c r="C677" s="204"/>
      <c r="D677" s="205"/>
      <c r="E677" s="206"/>
      <c r="F677" s="207"/>
      <c r="G677" s="208"/>
      <c r="H677" s="174">
        <f t="shared" si="1"/>
        <v>0</v>
      </c>
      <c r="I677" s="209"/>
      <c r="J677" s="209"/>
      <c r="K677" s="177">
        <f t="shared" si="2"/>
        <v>0</v>
      </c>
      <c r="L677" s="210"/>
    </row>
    <row r="678" ht="15.75" customHeight="1">
      <c r="A678" s="1"/>
      <c r="B678" s="203"/>
      <c r="C678" s="204"/>
      <c r="D678" s="205"/>
      <c r="E678" s="206"/>
      <c r="F678" s="207"/>
      <c r="G678" s="208"/>
      <c r="H678" s="174">
        <f t="shared" si="1"/>
        <v>0</v>
      </c>
      <c r="I678" s="209"/>
      <c r="J678" s="209"/>
      <c r="K678" s="177">
        <f t="shared" si="2"/>
        <v>0</v>
      </c>
      <c r="L678" s="210"/>
    </row>
    <row r="679" ht="15.75" customHeight="1">
      <c r="A679" s="1"/>
      <c r="B679" s="203"/>
      <c r="C679" s="204"/>
      <c r="D679" s="205"/>
      <c r="E679" s="206"/>
      <c r="F679" s="207"/>
      <c r="G679" s="208"/>
      <c r="H679" s="174">
        <f t="shared" si="1"/>
        <v>0</v>
      </c>
      <c r="I679" s="209"/>
      <c r="J679" s="209"/>
      <c r="K679" s="177">
        <f t="shared" si="2"/>
        <v>0</v>
      </c>
      <c r="L679" s="210"/>
    </row>
    <row r="680" ht="15.75" customHeight="1">
      <c r="A680" s="1"/>
      <c r="B680" s="203"/>
      <c r="C680" s="204"/>
      <c r="D680" s="205"/>
      <c r="E680" s="206"/>
      <c r="F680" s="207"/>
      <c r="G680" s="208"/>
      <c r="H680" s="174">
        <f t="shared" si="1"/>
        <v>0</v>
      </c>
      <c r="I680" s="209"/>
      <c r="J680" s="209"/>
      <c r="K680" s="177">
        <f t="shared" si="2"/>
        <v>0</v>
      </c>
      <c r="L680" s="210"/>
    </row>
    <row r="681" ht="15.75" customHeight="1">
      <c r="A681" s="1"/>
      <c r="B681" s="203"/>
      <c r="C681" s="204"/>
      <c r="D681" s="205"/>
      <c r="E681" s="206"/>
      <c r="F681" s="207"/>
      <c r="G681" s="208"/>
      <c r="H681" s="174">
        <f t="shared" si="1"/>
        <v>0</v>
      </c>
      <c r="I681" s="209"/>
      <c r="J681" s="209"/>
      <c r="K681" s="177">
        <f t="shared" si="2"/>
        <v>0</v>
      </c>
      <c r="L681" s="210"/>
    </row>
    <row r="682" ht="15.75" customHeight="1">
      <c r="A682" s="1"/>
      <c r="B682" s="203"/>
      <c r="C682" s="204"/>
      <c r="D682" s="205"/>
      <c r="E682" s="206"/>
      <c r="F682" s="207"/>
      <c r="G682" s="208"/>
      <c r="H682" s="174">
        <f t="shared" si="1"/>
        <v>0</v>
      </c>
      <c r="I682" s="209"/>
      <c r="J682" s="209"/>
      <c r="K682" s="177">
        <f t="shared" si="2"/>
        <v>0</v>
      </c>
      <c r="L682" s="210"/>
    </row>
    <row r="683" ht="15.75" customHeight="1">
      <c r="A683" s="1"/>
      <c r="B683" s="203"/>
      <c r="C683" s="204"/>
      <c r="D683" s="205"/>
      <c r="E683" s="206"/>
      <c r="F683" s="207"/>
      <c r="G683" s="208"/>
      <c r="H683" s="174">
        <f t="shared" si="1"/>
        <v>0</v>
      </c>
      <c r="I683" s="209"/>
      <c r="J683" s="209"/>
      <c r="K683" s="177">
        <f t="shared" si="2"/>
        <v>0</v>
      </c>
      <c r="L683" s="210"/>
    </row>
    <row r="684" ht="15.75" customHeight="1">
      <c r="A684" s="1"/>
      <c r="B684" s="203"/>
      <c r="C684" s="204"/>
      <c r="D684" s="205"/>
      <c r="E684" s="206"/>
      <c r="F684" s="207"/>
      <c r="G684" s="208"/>
      <c r="H684" s="174">
        <f t="shared" si="1"/>
        <v>0</v>
      </c>
      <c r="I684" s="209"/>
      <c r="J684" s="209"/>
      <c r="K684" s="177">
        <f t="shared" si="2"/>
        <v>0</v>
      </c>
      <c r="L684" s="210"/>
    </row>
    <row r="685" ht="15.75" customHeight="1">
      <c r="A685" s="1"/>
      <c r="B685" s="203"/>
      <c r="C685" s="204"/>
      <c r="D685" s="205"/>
      <c r="E685" s="206"/>
      <c r="F685" s="207"/>
      <c r="G685" s="208"/>
      <c r="H685" s="174">
        <f t="shared" si="1"/>
        <v>0</v>
      </c>
      <c r="I685" s="209"/>
      <c r="J685" s="209"/>
      <c r="K685" s="177">
        <f t="shared" si="2"/>
        <v>0</v>
      </c>
      <c r="L685" s="210"/>
    </row>
    <row r="686" ht="15.75" customHeight="1">
      <c r="A686" s="1"/>
      <c r="B686" s="203"/>
      <c r="C686" s="204"/>
      <c r="D686" s="205"/>
      <c r="E686" s="206"/>
      <c r="F686" s="207"/>
      <c r="G686" s="208"/>
      <c r="H686" s="174">
        <f t="shared" si="1"/>
        <v>0</v>
      </c>
      <c r="I686" s="209"/>
      <c r="J686" s="209"/>
      <c r="K686" s="177">
        <f t="shared" si="2"/>
        <v>0</v>
      </c>
      <c r="L686" s="210"/>
    </row>
    <row r="687" ht="15.75" customHeight="1">
      <c r="A687" s="1"/>
      <c r="B687" s="203"/>
      <c r="C687" s="204"/>
      <c r="D687" s="205"/>
      <c r="E687" s="206"/>
      <c r="F687" s="207"/>
      <c r="G687" s="208"/>
      <c r="H687" s="174">
        <f t="shared" si="1"/>
        <v>0</v>
      </c>
      <c r="I687" s="209"/>
      <c r="J687" s="209"/>
      <c r="K687" s="177">
        <f t="shared" si="2"/>
        <v>0</v>
      </c>
      <c r="L687" s="210"/>
    </row>
    <row r="688" ht="15.75" customHeight="1">
      <c r="A688" s="1"/>
      <c r="B688" s="203"/>
      <c r="C688" s="204"/>
      <c r="D688" s="205"/>
      <c r="E688" s="206"/>
      <c r="F688" s="207"/>
      <c r="G688" s="208"/>
      <c r="H688" s="174">
        <f t="shared" si="1"/>
        <v>0</v>
      </c>
      <c r="I688" s="209"/>
      <c r="J688" s="209"/>
      <c r="K688" s="177">
        <f t="shared" si="2"/>
        <v>0</v>
      </c>
      <c r="L688" s="210"/>
    </row>
    <row r="689" ht="15.75" customHeight="1">
      <c r="A689" s="1"/>
      <c r="B689" s="203"/>
      <c r="C689" s="204"/>
      <c r="D689" s="205"/>
      <c r="E689" s="206"/>
      <c r="F689" s="207"/>
      <c r="G689" s="208"/>
      <c r="H689" s="174">
        <f t="shared" si="1"/>
        <v>0</v>
      </c>
      <c r="I689" s="209"/>
      <c r="J689" s="209"/>
      <c r="K689" s="177">
        <f t="shared" si="2"/>
        <v>0</v>
      </c>
      <c r="L689" s="210"/>
    </row>
    <row r="690" ht="15.75" customHeight="1">
      <c r="A690" s="1"/>
      <c r="B690" s="203"/>
      <c r="C690" s="204"/>
      <c r="D690" s="205"/>
      <c r="E690" s="206"/>
      <c r="F690" s="207"/>
      <c r="G690" s="208"/>
      <c r="H690" s="174">
        <f t="shared" si="1"/>
        <v>0</v>
      </c>
      <c r="I690" s="209"/>
      <c r="J690" s="209"/>
      <c r="K690" s="177">
        <f t="shared" si="2"/>
        <v>0</v>
      </c>
      <c r="L690" s="210"/>
    </row>
    <row r="691" ht="15.75" customHeight="1">
      <c r="A691" s="1"/>
      <c r="B691" s="203"/>
      <c r="C691" s="204"/>
      <c r="D691" s="205"/>
      <c r="E691" s="206"/>
      <c r="F691" s="207"/>
      <c r="G691" s="208"/>
      <c r="H691" s="174">
        <f t="shared" si="1"/>
        <v>0</v>
      </c>
      <c r="I691" s="209"/>
      <c r="J691" s="209"/>
      <c r="K691" s="177">
        <f t="shared" si="2"/>
        <v>0</v>
      </c>
      <c r="L691" s="210"/>
    </row>
    <row r="692" ht="15.75" customHeight="1">
      <c r="A692" s="1"/>
      <c r="B692" s="203"/>
      <c r="C692" s="204"/>
      <c r="D692" s="205"/>
      <c r="E692" s="206"/>
      <c r="F692" s="207"/>
      <c r="G692" s="208"/>
      <c r="H692" s="174">
        <f t="shared" si="1"/>
        <v>0</v>
      </c>
      <c r="I692" s="209"/>
      <c r="J692" s="209"/>
      <c r="K692" s="177">
        <f t="shared" si="2"/>
        <v>0</v>
      </c>
      <c r="L692" s="210"/>
    </row>
    <row r="693" ht="15.75" customHeight="1">
      <c r="A693" s="1"/>
      <c r="B693" s="203"/>
      <c r="C693" s="204"/>
      <c r="D693" s="205"/>
      <c r="E693" s="206"/>
      <c r="F693" s="207"/>
      <c r="G693" s="208"/>
      <c r="H693" s="174">
        <f t="shared" si="1"/>
        <v>0</v>
      </c>
      <c r="I693" s="209"/>
      <c r="J693" s="209"/>
      <c r="K693" s="177">
        <f t="shared" si="2"/>
        <v>0</v>
      </c>
      <c r="L693" s="210"/>
    </row>
    <row r="694" ht="15.75" customHeight="1">
      <c r="A694" s="1"/>
      <c r="B694" s="203"/>
      <c r="C694" s="204"/>
      <c r="D694" s="205"/>
      <c r="E694" s="206"/>
      <c r="F694" s="207"/>
      <c r="G694" s="208"/>
      <c r="H694" s="174">
        <f t="shared" si="1"/>
        <v>0</v>
      </c>
      <c r="I694" s="209"/>
      <c r="J694" s="209"/>
      <c r="K694" s="177">
        <f t="shared" si="2"/>
        <v>0</v>
      </c>
      <c r="L694" s="210"/>
    </row>
    <row r="695" ht="15.75" customHeight="1">
      <c r="A695" s="1"/>
      <c r="B695" s="203"/>
      <c r="C695" s="204"/>
      <c r="D695" s="205"/>
      <c r="E695" s="206"/>
      <c r="F695" s="207"/>
      <c r="G695" s="208"/>
      <c r="H695" s="174">
        <f t="shared" si="1"/>
        <v>0</v>
      </c>
      <c r="I695" s="209"/>
      <c r="J695" s="209"/>
      <c r="K695" s="177">
        <f t="shared" si="2"/>
        <v>0</v>
      </c>
      <c r="L695" s="210"/>
    </row>
    <row r="696" ht="15.75" customHeight="1">
      <c r="A696" s="1"/>
      <c r="B696" s="203"/>
      <c r="C696" s="204"/>
      <c r="D696" s="205"/>
      <c r="E696" s="206"/>
      <c r="F696" s="207"/>
      <c r="G696" s="208"/>
      <c r="H696" s="174">
        <f t="shared" si="1"/>
        <v>0</v>
      </c>
      <c r="I696" s="209"/>
      <c r="J696" s="209"/>
      <c r="K696" s="177">
        <f t="shared" si="2"/>
        <v>0</v>
      </c>
      <c r="L696" s="210"/>
    </row>
    <row r="697" ht="15.75" customHeight="1">
      <c r="A697" s="1"/>
      <c r="B697" s="203"/>
      <c r="C697" s="204"/>
      <c r="D697" s="205"/>
      <c r="E697" s="206"/>
      <c r="F697" s="207"/>
      <c r="G697" s="208"/>
      <c r="H697" s="174">
        <f t="shared" si="1"/>
        <v>0</v>
      </c>
      <c r="I697" s="209"/>
      <c r="J697" s="209"/>
      <c r="K697" s="177">
        <f t="shared" si="2"/>
        <v>0</v>
      </c>
      <c r="L697" s="210"/>
    </row>
    <row r="698" ht="15.75" customHeight="1">
      <c r="A698" s="1"/>
      <c r="B698" s="203"/>
      <c r="C698" s="204"/>
      <c r="D698" s="205"/>
      <c r="E698" s="206"/>
      <c r="F698" s="207"/>
      <c r="G698" s="208"/>
      <c r="H698" s="174">
        <f t="shared" si="1"/>
        <v>0</v>
      </c>
      <c r="I698" s="209"/>
      <c r="J698" s="209"/>
      <c r="K698" s="177">
        <f t="shared" si="2"/>
        <v>0</v>
      </c>
      <c r="L698" s="210"/>
    </row>
    <row r="699" ht="15.75" customHeight="1">
      <c r="A699" s="1"/>
      <c r="B699" s="203"/>
      <c r="C699" s="204"/>
      <c r="D699" s="205"/>
      <c r="E699" s="206"/>
      <c r="F699" s="207"/>
      <c r="G699" s="208"/>
      <c r="H699" s="174">
        <f t="shared" si="1"/>
        <v>0</v>
      </c>
      <c r="I699" s="209"/>
      <c r="J699" s="209"/>
      <c r="K699" s="177">
        <f t="shared" si="2"/>
        <v>0</v>
      </c>
      <c r="L699" s="210"/>
    </row>
    <row r="700" ht="15.75" customHeight="1">
      <c r="A700" s="1"/>
      <c r="B700" s="203"/>
      <c r="C700" s="204"/>
      <c r="D700" s="205"/>
      <c r="E700" s="206"/>
      <c r="F700" s="207"/>
      <c r="G700" s="208"/>
      <c r="H700" s="174">
        <f t="shared" si="1"/>
        <v>0</v>
      </c>
      <c r="I700" s="209"/>
      <c r="J700" s="209"/>
      <c r="K700" s="177">
        <f t="shared" si="2"/>
        <v>0</v>
      </c>
      <c r="L700" s="210"/>
    </row>
    <row r="701" ht="15.75" customHeight="1">
      <c r="A701" s="1"/>
      <c r="B701" s="203"/>
      <c r="C701" s="204"/>
      <c r="D701" s="205"/>
      <c r="E701" s="206"/>
      <c r="F701" s="207"/>
      <c r="G701" s="208"/>
      <c r="H701" s="174">
        <f t="shared" si="1"/>
        <v>0</v>
      </c>
      <c r="I701" s="209"/>
      <c r="J701" s="209"/>
      <c r="K701" s="177">
        <f t="shared" si="2"/>
        <v>0</v>
      </c>
      <c r="L701" s="210"/>
    </row>
    <row r="702" ht="15.75" customHeight="1">
      <c r="A702" s="1"/>
      <c r="B702" s="203"/>
      <c r="C702" s="204"/>
      <c r="D702" s="205"/>
      <c r="E702" s="206"/>
      <c r="F702" s="207"/>
      <c r="G702" s="208"/>
      <c r="H702" s="174">
        <f t="shared" si="1"/>
        <v>0</v>
      </c>
      <c r="I702" s="209"/>
      <c r="J702" s="209"/>
      <c r="K702" s="177">
        <f t="shared" si="2"/>
        <v>0</v>
      </c>
      <c r="L702" s="210"/>
    </row>
    <row r="703" ht="15.75" customHeight="1">
      <c r="A703" s="1"/>
      <c r="B703" s="203"/>
      <c r="C703" s="204"/>
      <c r="D703" s="205"/>
      <c r="E703" s="206"/>
      <c r="F703" s="207"/>
      <c r="G703" s="208"/>
      <c r="H703" s="174">
        <f t="shared" si="1"/>
        <v>0</v>
      </c>
      <c r="I703" s="209"/>
      <c r="J703" s="209"/>
      <c r="K703" s="177">
        <f t="shared" si="2"/>
        <v>0</v>
      </c>
      <c r="L703" s="210"/>
    </row>
    <row r="704" ht="15.75" customHeight="1">
      <c r="A704" s="1"/>
      <c r="B704" s="203"/>
      <c r="C704" s="204"/>
      <c r="D704" s="205"/>
      <c r="E704" s="206"/>
      <c r="F704" s="207"/>
      <c r="G704" s="208"/>
      <c r="H704" s="174">
        <f t="shared" si="1"/>
        <v>0</v>
      </c>
      <c r="I704" s="209"/>
      <c r="J704" s="209"/>
      <c r="K704" s="177">
        <f t="shared" si="2"/>
        <v>0</v>
      </c>
      <c r="L704" s="210"/>
    </row>
    <row r="705" ht="15.75" customHeight="1">
      <c r="A705" s="1"/>
      <c r="B705" s="203"/>
      <c r="C705" s="204"/>
      <c r="D705" s="205"/>
      <c r="E705" s="206"/>
      <c r="F705" s="207"/>
      <c r="G705" s="208"/>
      <c r="H705" s="174">
        <f t="shared" si="1"/>
        <v>0</v>
      </c>
      <c r="I705" s="209"/>
      <c r="J705" s="209"/>
      <c r="K705" s="177">
        <f t="shared" si="2"/>
        <v>0</v>
      </c>
      <c r="L705" s="210"/>
    </row>
    <row r="706" ht="15.75" customHeight="1">
      <c r="A706" s="1"/>
      <c r="B706" s="203"/>
      <c r="C706" s="204"/>
      <c r="D706" s="205"/>
      <c r="E706" s="206"/>
      <c r="F706" s="207"/>
      <c r="G706" s="208"/>
      <c r="H706" s="174">
        <f t="shared" si="1"/>
        <v>0</v>
      </c>
      <c r="I706" s="209"/>
      <c r="J706" s="209"/>
      <c r="K706" s="177">
        <f t="shared" si="2"/>
        <v>0</v>
      </c>
      <c r="L706" s="210"/>
    </row>
    <row r="707" ht="15.75" customHeight="1">
      <c r="A707" s="1"/>
      <c r="B707" s="203"/>
      <c r="C707" s="204"/>
      <c r="D707" s="205"/>
      <c r="E707" s="206"/>
      <c r="F707" s="207"/>
      <c r="G707" s="208"/>
      <c r="H707" s="174">
        <f t="shared" si="1"/>
        <v>0</v>
      </c>
      <c r="I707" s="209"/>
      <c r="J707" s="209"/>
      <c r="K707" s="177">
        <f t="shared" si="2"/>
        <v>0</v>
      </c>
      <c r="L707" s="210"/>
    </row>
    <row r="708" ht="15.75" customHeight="1">
      <c r="A708" s="1"/>
      <c r="B708" s="203"/>
      <c r="C708" s="204"/>
      <c r="D708" s="205"/>
      <c r="E708" s="206"/>
      <c r="F708" s="207"/>
      <c r="G708" s="208"/>
      <c r="H708" s="174">
        <f t="shared" si="1"/>
        <v>0</v>
      </c>
      <c r="I708" s="209"/>
      <c r="J708" s="209"/>
      <c r="K708" s="177">
        <f t="shared" si="2"/>
        <v>0</v>
      </c>
      <c r="L708" s="210"/>
    </row>
    <row r="709" ht="15.75" customHeight="1">
      <c r="A709" s="1"/>
      <c r="B709" s="203"/>
      <c r="C709" s="204"/>
      <c r="D709" s="205"/>
      <c r="E709" s="206"/>
      <c r="F709" s="207"/>
      <c r="G709" s="208"/>
      <c r="H709" s="174">
        <f t="shared" si="1"/>
        <v>0</v>
      </c>
      <c r="I709" s="209"/>
      <c r="J709" s="209"/>
      <c r="K709" s="177">
        <f t="shared" si="2"/>
        <v>0</v>
      </c>
      <c r="L709" s="210"/>
    </row>
    <row r="710" ht="15.75" customHeight="1">
      <c r="A710" s="1"/>
      <c r="B710" s="203"/>
      <c r="C710" s="204"/>
      <c r="D710" s="205"/>
      <c r="E710" s="206"/>
      <c r="F710" s="207"/>
      <c r="G710" s="208"/>
      <c r="H710" s="174">
        <f t="shared" si="1"/>
        <v>0</v>
      </c>
      <c r="I710" s="209"/>
      <c r="J710" s="209"/>
      <c r="K710" s="177">
        <f t="shared" si="2"/>
        <v>0</v>
      </c>
      <c r="L710" s="210"/>
    </row>
    <row r="711" ht="15.75" customHeight="1">
      <c r="A711" s="1"/>
      <c r="B711" s="203"/>
      <c r="C711" s="204"/>
      <c r="D711" s="205"/>
      <c r="E711" s="206"/>
      <c r="F711" s="207"/>
      <c r="G711" s="208"/>
      <c r="H711" s="174">
        <f t="shared" si="1"/>
        <v>0</v>
      </c>
      <c r="I711" s="209"/>
      <c r="J711" s="209"/>
      <c r="K711" s="177">
        <f t="shared" si="2"/>
        <v>0</v>
      </c>
      <c r="L711" s="210"/>
    </row>
    <row r="712" ht="15.75" customHeight="1">
      <c r="A712" s="1"/>
      <c r="B712" s="203"/>
      <c r="C712" s="204"/>
      <c r="D712" s="205"/>
      <c r="E712" s="206"/>
      <c r="F712" s="207"/>
      <c r="G712" s="208"/>
      <c r="H712" s="174">
        <f t="shared" si="1"/>
        <v>0</v>
      </c>
      <c r="I712" s="209"/>
      <c r="J712" s="209"/>
      <c r="K712" s="177">
        <f t="shared" si="2"/>
        <v>0</v>
      </c>
      <c r="L712" s="210"/>
    </row>
    <row r="713" ht="15.75" customHeight="1">
      <c r="A713" s="1"/>
      <c r="B713" s="203"/>
      <c r="C713" s="204"/>
      <c r="D713" s="205"/>
      <c r="E713" s="206"/>
      <c r="F713" s="207"/>
      <c r="G713" s="208"/>
      <c r="H713" s="174">
        <f t="shared" si="1"/>
        <v>0</v>
      </c>
      <c r="I713" s="209"/>
      <c r="J713" s="209"/>
      <c r="K713" s="177">
        <f t="shared" si="2"/>
        <v>0</v>
      </c>
      <c r="L713" s="210"/>
    </row>
    <row r="714" ht="15.75" customHeight="1">
      <c r="A714" s="1"/>
      <c r="B714" s="203"/>
      <c r="C714" s="204"/>
      <c r="D714" s="205"/>
      <c r="E714" s="206"/>
      <c r="F714" s="207"/>
      <c r="G714" s="208"/>
      <c r="H714" s="174">
        <f t="shared" si="1"/>
        <v>0</v>
      </c>
      <c r="I714" s="209"/>
      <c r="J714" s="209"/>
      <c r="K714" s="177">
        <f t="shared" si="2"/>
        <v>0</v>
      </c>
      <c r="L714" s="210"/>
    </row>
    <row r="715" ht="15.75" customHeight="1">
      <c r="A715" s="1"/>
      <c r="B715" s="203"/>
      <c r="C715" s="204"/>
      <c r="D715" s="205"/>
      <c r="E715" s="206"/>
      <c r="F715" s="207"/>
      <c r="G715" s="208"/>
      <c r="H715" s="174">
        <f t="shared" si="1"/>
        <v>0</v>
      </c>
      <c r="I715" s="209"/>
      <c r="J715" s="209"/>
      <c r="K715" s="177">
        <f t="shared" si="2"/>
        <v>0</v>
      </c>
      <c r="L715" s="210"/>
    </row>
    <row r="716" ht="15.75" customHeight="1">
      <c r="A716" s="1"/>
      <c r="B716" s="203"/>
      <c r="C716" s="204"/>
      <c r="D716" s="205"/>
      <c r="E716" s="206"/>
      <c r="F716" s="207"/>
      <c r="G716" s="208"/>
      <c r="H716" s="174">
        <f t="shared" si="1"/>
        <v>0</v>
      </c>
      <c r="I716" s="209"/>
      <c r="J716" s="209"/>
      <c r="K716" s="177">
        <f t="shared" si="2"/>
        <v>0</v>
      </c>
      <c r="L716" s="210"/>
    </row>
    <row r="717" ht="15.75" customHeight="1">
      <c r="A717" s="1"/>
      <c r="B717" s="203"/>
      <c r="C717" s="204"/>
      <c r="D717" s="205"/>
      <c r="E717" s="206"/>
      <c r="F717" s="207"/>
      <c r="G717" s="208"/>
      <c r="H717" s="174">
        <f t="shared" si="1"/>
        <v>0</v>
      </c>
      <c r="I717" s="209"/>
      <c r="J717" s="209"/>
      <c r="K717" s="177">
        <f t="shared" si="2"/>
        <v>0</v>
      </c>
      <c r="L717" s="210"/>
    </row>
    <row r="718" ht="15.75" customHeight="1">
      <c r="A718" s="1"/>
      <c r="B718" s="203"/>
      <c r="C718" s="204"/>
      <c r="D718" s="205"/>
      <c r="E718" s="206"/>
      <c r="F718" s="207"/>
      <c r="G718" s="208"/>
      <c r="H718" s="174">
        <f t="shared" si="1"/>
        <v>0</v>
      </c>
      <c r="I718" s="209"/>
      <c r="J718" s="209"/>
      <c r="K718" s="177">
        <f t="shared" si="2"/>
        <v>0</v>
      </c>
      <c r="L718" s="210"/>
    </row>
    <row r="719" ht="15.75" customHeight="1">
      <c r="A719" s="1"/>
      <c r="B719" s="203"/>
      <c r="C719" s="204"/>
      <c r="D719" s="205"/>
      <c r="E719" s="206"/>
      <c r="F719" s="207"/>
      <c r="G719" s="208"/>
      <c r="H719" s="174">
        <f t="shared" si="1"/>
        <v>0</v>
      </c>
      <c r="I719" s="209"/>
      <c r="J719" s="209"/>
      <c r="K719" s="177">
        <f t="shared" si="2"/>
        <v>0</v>
      </c>
      <c r="L719" s="210"/>
    </row>
    <row r="720" ht="15.75" customHeight="1">
      <c r="A720" s="1"/>
      <c r="B720" s="203"/>
      <c r="C720" s="204"/>
      <c r="D720" s="205"/>
      <c r="E720" s="206"/>
      <c r="F720" s="207"/>
      <c r="G720" s="208"/>
      <c r="H720" s="174">
        <f t="shared" si="1"/>
        <v>0</v>
      </c>
      <c r="I720" s="209"/>
      <c r="J720" s="209"/>
      <c r="K720" s="177">
        <f t="shared" si="2"/>
        <v>0</v>
      </c>
      <c r="L720" s="210"/>
    </row>
    <row r="721" ht="15.75" customHeight="1">
      <c r="A721" s="1"/>
      <c r="B721" s="203"/>
      <c r="C721" s="204"/>
      <c r="D721" s="205"/>
      <c r="E721" s="206"/>
      <c r="F721" s="207"/>
      <c r="G721" s="208"/>
      <c r="H721" s="174">
        <f t="shared" si="1"/>
        <v>0</v>
      </c>
      <c r="I721" s="209"/>
      <c r="J721" s="209"/>
      <c r="K721" s="177">
        <f t="shared" si="2"/>
        <v>0</v>
      </c>
      <c r="L721" s="210"/>
    </row>
    <row r="722" ht="15.75" customHeight="1">
      <c r="A722" s="1"/>
      <c r="B722" s="203"/>
      <c r="C722" s="204"/>
      <c r="D722" s="205"/>
      <c r="E722" s="206"/>
      <c r="F722" s="207"/>
      <c r="G722" s="208"/>
      <c r="H722" s="174">
        <f t="shared" si="1"/>
        <v>0</v>
      </c>
      <c r="I722" s="209"/>
      <c r="J722" s="209"/>
      <c r="K722" s="177">
        <f t="shared" si="2"/>
        <v>0</v>
      </c>
      <c r="L722" s="210"/>
    </row>
    <row r="723" ht="15.75" customHeight="1">
      <c r="A723" s="1"/>
      <c r="B723" s="203"/>
      <c r="C723" s="204"/>
      <c r="D723" s="205"/>
      <c r="E723" s="206"/>
      <c r="F723" s="207"/>
      <c r="G723" s="208"/>
      <c r="H723" s="174">
        <f t="shared" si="1"/>
        <v>0</v>
      </c>
      <c r="I723" s="209"/>
      <c r="J723" s="209"/>
      <c r="K723" s="177">
        <f t="shared" si="2"/>
        <v>0</v>
      </c>
      <c r="L723" s="210"/>
    </row>
    <row r="724" ht="15.75" customHeight="1">
      <c r="A724" s="1"/>
      <c r="B724" s="203"/>
      <c r="C724" s="204"/>
      <c r="D724" s="205"/>
      <c r="E724" s="206"/>
      <c r="F724" s="207"/>
      <c r="G724" s="208"/>
      <c r="H724" s="174">
        <f t="shared" si="1"/>
        <v>0</v>
      </c>
      <c r="I724" s="209"/>
      <c r="J724" s="209"/>
      <c r="K724" s="177">
        <f t="shared" si="2"/>
        <v>0</v>
      </c>
      <c r="L724" s="210"/>
    </row>
    <row r="725" ht="15.75" customHeight="1">
      <c r="A725" s="1"/>
      <c r="B725" s="203"/>
      <c r="C725" s="204"/>
      <c r="D725" s="205"/>
      <c r="E725" s="206"/>
      <c r="F725" s="207"/>
      <c r="G725" s="208"/>
      <c r="H725" s="174">
        <f t="shared" si="1"/>
        <v>0</v>
      </c>
      <c r="I725" s="209"/>
      <c r="J725" s="209"/>
      <c r="K725" s="177">
        <f t="shared" si="2"/>
        <v>0</v>
      </c>
      <c r="L725" s="210"/>
    </row>
    <row r="726" ht="15.75" customHeight="1">
      <c r="A726" s="1"/>
      <c r="B726" s="203"/>
      <c r="C726" s="204"/>
      <c r="D726" s="205"/>
      <c r="E726" s="206"/>
      <c r="F726" s="207"/>
      <c r="G726" s="208"/>
      <c r="H726" s="174">
        <f t="shared" si="1"/>
        <v>0</v>
      </c>
      <c r="I726" s="209"/>
      <c r="J726" s="209"/>
      <c r="K726" s="177">
        <f t="shared" si="2"/>
        <v>0</v>
      </c>
      <c r="L726" s="210"/>
    </row>
    <row r="727" ht="15.75" customHeight="1">
      <c r="A727" s="1"/>
      <c r="B727" s="203"/>
      <c r="C727" s="204"/>
      <c r="D727" s="205"/>
      <c r="E727" s="206"/>
      <c r="F727" s="207"/>
      <c r="G727" s="208"/>
      <c r="H727" s="174">
        <f t="shared" si="1"/>
        <v>0</v>
      </c>
      <c r="I727" s="209"/>
      <c r="J727" s="209"/>
      <c r="K727" s="177">
        <f t="shared" si="2"/>
        <v>0</v>
      </c>
      <c r="L727" s="210"/>
    </row>
    <row r="728" ht="15.75" customHeight="1">
      <c r="A728" s="1"/>
      <c r="B728" s="203"/>
      <c r="C728" s="204"/>
      <c r="D728" s="205"/>
      <c r="E728" s="206"/>
      <c r="F728" s="207"/>
      <c r="G728" s="208"/>
      <c r="H728" s="174">
        <f t="shared" si="1"/>
        <v>0</v>
      </c>
      <c r="I728" s="209"/>
      <c r="J728" s="209"/>
      <c r="K728" s="177">
        <f t="shared" si="2"/>
        <v>0</v>
      </c>
      <c r="L728" s="210"/>
    </row>
    <row r="729" ht="15.75" customHeight="1">
      <c r="A729" s="1"/>
      <c r="B729" s="203"/>
      <c r="C729" s="204"/>
      <c r="D729" s="205"/>
      <c r="E729" s="206"/>
      <c r="F729" s="207"/>
      <c r="G729" s="208"/>
      <c r="H729" s="174">
        <f t="shared" si="1"/>
        <v>0</v>
      </c>
      <c r="I729" s="209"/>
      <c r="J729" s="209"/>
      <c r="K729" s="177">
        <f t="shared" si="2"/>
        <v>0</v>
      </c>
      <c r="L729" s="210"/>
    </row>
    <row r="730" ht="15.75" customHeight="1">
      <c r="A730" s="1"/>
      <c r="B730" s="203"/>
      <c r="C730" s="204"/>
      <c r="D730" s="205"/>
      <c r="E730" s="206"/>
      <c r="F730" s="207"/>
      <c r="G730" s="208"/>
      <c r="H730" s="174">
        <f t="shared" si="1"/>
        <v>0</v>
      </c>
      <c r="I730" s="209"/>
      <c r="J730" s="209"/>
      <c r="K730" s="177">
        <f t="shared" si="2"/>
        <v>0</v>
      </c>
      <c r="L730" s="210"/>
    </row>
    <row r="731" ht="15.75" customHeight="1">
      <c r="A731" s="1"/>
      <c r="B731" s="203"/>
      <c r="C731" s="204"/>
      <c r="D731" s="205"/>
      <c r="E731" s="206"/>
      <c r="F731" s="207"/>
      <c r="G731" s="208"/>
      <c r="H731" s="174">
        <f t="shared" si="1"/>
        <v>0</v>
      </c>
      <c r="I731" s="209"/>
      <c r="J731" s="209"/>
      <c r="K731" s="177">
        <f t="shared" si="2"/>
        <v>0</v>
      </c>
      <c r="L731" s="210"/>
    </row>
    <row r="732" ht="15.75" customHeight="1">
      <c r="A732" s="1"/>
      <c r="B732" s="203"/>
      <c r="C732" s="204"/>
      <c r="D732" s="205"/>
      <c r="E732" s="206"/>
      <c r="F732" s="207"/>
      <c r="G732" s="208"/>
      <c r="H732" s="174">
        <f t="shared" si="1"/>
        <v>0</v>
      </c>
      <c r="I732" s="209"/>
      <c r="J732" s="209"/>
      <c r="K732" s="177">
        <f t="shared" si="2"/>
        <v>0</v>
      </c>
      <c r="L732" s="210"/>
    </row>
    <row r="733" ht="15.75" customHeight="1">
      <c r="A733" s="1"/>
      <c r="B733" s="203"/>
      <c r="C733" s="204"/>
      <c r="D733" s="205"/>
      <c r="E733" s="206"/>
      <c r="F733" s="207"/>
      <c r="G733" s="208"/>
      <c r="H733" s="174">
        <f t="shared" si="1"/>
        <v>0</v>
      </c>
      <c r="I733" s="209"/>
      <c r="J733" s="209"/>
      <c r="K733" s="177">
        <f t="shared" si="2"/>
        <v>0</v>
      </c>
      <c r="L733" s="210"/>
    </row>
    <row r="734" ht="15.75" customHeight="1">
      <c r="A734" s="1"/>
      <c r="B734" s="203"/>
      <c r="C734" s="204"/>
      <c r="D734" s="205"/>
      <c r="E734" s="206"/>
      <c r="F734" s="207"/>
      <c r="G734" s="208"/>
      <c r="H734" s="174">
        <f t="shared" si="1"/>
        <v>0</v>
      </c>
      <c r="I734" s="209"/>
      <c r="J734" s="209"/>
      <c r="K734" s="177">
        <f t="shared" si="2"/>
        <v>0</v>
      </c>
      <c r="L734" s="210"/>
    </row>
    <row r="735" ht="15.75" customHeight="1">
      <c r="A735" s="1"/>
      <c r="B735" s="203"/>
      <c r="C735" s="204"/>
      <c r="D735" s="205"/>
      <c r="E735" s="206"/>
      <c r="F735" s="207"/>
      <c r="G735" s="208"/>
      <c r="H735" s="174">
        <f t="shared" si="1"/>
        <v>0</v>
      </c>
      <c r="I735" s="209"/>
      <c r="J735" s="209"/>
      <c r="K735" s="177">
        <f t="shared" si="2"/>
        <v>0</v>
      </c>
      <c r="L735" s="210"/>
    </row>
    <row r="736" ht="15.75" customHeight="1">
      <c r="A736" s="1"/>
      <c r="B736" s="203"/>
      <c r="C736" s="204"/>
      <c r="D736" s="205"/>
      <c r="E736" s="206"/>
      <c r="F736" s="207"/>
      <c r="G736" s="208"/>
      <c r="H736" s="174">
        <f t="shared" si="1"/>
        <v>0</v>
      </c>
      <c r="I736" s="209"/>
      <c r="J736" s="209"/>
      <c r="K736" s="177">
        <f t="shared" si="2"/>
        <v>0</v>
      </c>
      <c r="L736" s="210"/>
    </row>
    <row r="737" ht="15.75" customHeight="1">
      <c r="A737" s="1"/>
      <c r="B737" s="203"/>
      <c r="C737" s="204"/>
      <c r="D737" s="205"/>
      <c r="E737" s="206"/>
      <c r="F737" s="207"/>
      <c r="G737" s="208"/>
      <c r="H737" s="174">
        <f t="shared" si="1"/>
        <v>0</v>
      </c>
      <c r="I737" s="209"/>
      <c r="J737" s="209"/>
      <c r="K737" s="177">
        <f t="shared" si="2"/>
        <v>0</v>
      </c>
      <c r="L737" s="210"/>
    </row>
    <row r="738" ht="15.75" customHeight="1">
      <c r="A738" s="1"/>
      <c r="B738" s="203"/>
      <c r="C738" s="204"/>
      <c r="D738" s="205"/>
      <c r="E738" s="206"/>
      <c r="F738" s="207"/>
      <c r="G738" s="208"/>
      <c r="H738" s="174">
        <f t="shared" si="1"/>
        <v>0</v>
      </c>
      <c r="I738" s="209"/>
      <c r="J738" s="209"/>
      <c r="K738" s="177">
        <f t="shared" si="2"/>
        <v>0</v>
      </c>
      <c r="L738" s="210"/>
    </row>
    <row r="739" ht="15.75" customHeight="1">
      <c r="A739" s="1"/>
      <c r="B739" s="203"/>
      <c r="C739" s="204"/>
      <c r="D739" s="205"/>
      <c r="E739" s="206"/>
      <c r="F739" s="207"/>
      <c r="G739" s="208"/>
      <c r="H739" s="174">
        <f t="shared" si="1"/>
        <v>0</v>
      </c>
      <c r="I739" s="209"/>
      <c r="J739" s="209"/>
      <c r="K739" s="177">
        <f t="shared" si="2"/>
        <v>0</v>
      </c>
      <c r="L739" s="210"/>
    </row>
    <row r="740" ht="15.75" customHeight="1">
      <c r="A740" s="1"/>
      <c r="B740" s="203"/>
      <c r="C740" s="204"/>
      <c r="D740" s="205"/>
      <c r="E740" s="206"/>
      <c r="F740" s="207"/>
      <c r="G740" s="208"/>
      <c r="H740" s="174">
        <f t="shared" si="1"/>
        <v>0</v>
      </c>
      <c r="I740" s="209"/>
      <c r="J740" s="209"/>
      <c r="K740" s="177">
        <f t="shared" si="2"/>
        <v>0</v>
      </c>
      <c r="L740" s="210"/>
    </row>
    <row r="741" ht="15.75" customHeight="1">
      <c r="A741" s="1"/>
      <c r="B741" s="203"/>
      <c r="C741" s="204"/>
      <c r="D741" s="205"/>
      <c r="E741" s="206"/>
      <c r="F741" s="207"/>
      <c r="G741" s="208"/>
      <c r="H741" s="174">
        <f t="shared" si="1"/>
        <v>0</v>
      </c>
      <c r="I741" s="209"/>
      <c r="J741" s="209"/>
      <c r="K741" s="177">
        <f t="shared" si="2"/>
        <v>0</v>
      </c>
      <c r="L741" s="210"/>
    </row>
    <row r="742" ht="15.75" customHeight="1">
      <c r="A742" s="1"/>
      <c r="B742" s="203"/>
      <c r="C742" s="204"/>
      <c r="D742" s="205"/>
      <c r="E742" s="206"/>
      <c r="F742" s="207"/>
      <c r="G742" s="208"/>
      <c r="H742" s="174">
        <f t="shared" si="1"/>
        <v>0</v>
      </c>
      <c r="I742" s="209"/>
      <c r="J742" s="209"/>
      <c r="K742" s="177">
        <f t="shared" si="2"/>
        <v>0</v>
      </c>
      <c r="L742" s="210"/>
    </row>
    <row r="743" ht="15.75" customHeight="1">
      <c r="A743" s="1"/>
      <c r="B743" s="203"/>
      <c r="C743" s="204"/>
      <c r="D743" s="205"/>
      <c r="E743" s="206"/>
      <c r="F743" s="207"/>
      <c r="G743" s="208"/>
      <c r="H743" s="174">
        <f t="shared" si="1"/>
        <v>0</v>
      </c>
      <c r="I743" s="209"/>
      <c r="J743" s="209"/>
      <c r="K743" s="177">
        <f t="shared" si="2"/>
        <v>0</v>
      </c>
      <c r="L743" s="210"/>
    </row>
    <row r="744" ht="15.75" customHeight="1">
      <c r="A744" s="1"/>
      <c r="B744" s="203"/>
      <c r="C744" s="204"/>
      <c r="D744" s="205"/>
      <c r="E744" s="206"/>
      <c r="F744" s="207"/>
      <c r="G744" s="208"/>
      <c r="H744" s="174">
        <f t="shared" si="1"/>
        <v>0</v>
      </c>
      <c r="I744" s="209"/>
      <c r="J744" s="209"/>
      <c r="K744" s="177">
        <f t="shared" si="2"/>
        <v>0</v>
      </c>
      <c r="L744" s="210"/>
    </row>
    <row r="745" ht="15.75" customHeight="1">
      <c r="A745" s="1"/>
      <c r="B745" s="203"/>
      <c r="C745" s="204"/>
      <c r="D745" s="205"/>
      <c r="E745" s="206"/>
      <c r="F745" s="207"/>
      <c r="G745" s="208"/>
      <c r="H745" s="174">
        <f t="shared" si="1"/>
        <v>0</v>
      </c>
      <c r="I745" s="209"/>
      <c r="J745" s="209"/>
      <c r="K745" s="177">
        <f t="shared" si="2"/>
        <v>0</v>
      </c>
      <c r="L745" s="210"/>
    </row>
    <row r="746" ht="15.75" customHeight="1">
      <c r="A746" s="1"/>
      <c r="B746" s="203"/>
      <c r="C746" s="204"/>
      <c r="D746" s="205"/>
      <c r="E746" s="206"/>
      <c r="F746" s="207"/>
      <c r="G746" s="208"/>
      <c r="H746" s="174">
        <f t="shared" si="1"/>
        <v>0</v>
      </c>
      <c r="I746" s="209"/>
      <c r="J746" s="209"/>
      <c r="K746" s="177">
        <f t="shared" si="2"/>
        <v>0</v>
      </c>
      <c r="L746" s="210"/>
    </row>
    <row r="747" ht="15.75" customHeight="1">
      <c r="A747" s="1"/>
      <c r="B747" s="203"/>
      <c r="C747" s="204"/>
      <c r="D747" s="205"/>
      <c r="E747" s="206"/>
      <c r="F747" s="207"/>
      <c r="G747" s="208"/>
      <c r="H747" s="174">
        <f t="shared" si="1"/>
        <v>0</v>
      </c>
      <c r="I747" s="209"/>
      <c r="J747" s="209"/>
      <c r="K747" s="177">
        <f t="shared" si="2"/>
        <v>0</v>
      </c>
      <c r="L747" s="210"/>
    </row>
    <row r="748" ht="15.75" customHeight="1">
      <c r="A748" s="1"/>
      <c r="B748" s="203"/>
      <c r="C748" s="204"/>
      <c r="D748" s="205"/>
      <c r="E748" s="206"/>
      <c r="F748" s="207"/>
      <c r="G748" s="208"/>
      <c r="H748" s="174">
        <f t="shared" si="1"/>
        <v>0</v>
      </c>
      <c r="I748" s="209"/>
      <c r="J748" s="209"/>
      <c r="K748" s="177">
        <f t="shared" si="2"/>
        <v>0</v>
      </c>
      <c r="L748" s="210"/>
    </row>
    <row r="749" ht="15.75" customHeight="1">
      <c r="A749" s="1"/>
      <c r="B749" s="203"/>
      <c r="C749" s="204"/>
      <c r="D749" s="205"/>
      <c r="E749" s="206"/>
      <c r="F749" s="207"/>
      <c r="G749" s="208"/>
      <c r="H749" s="174">
        <f t="shared" si="1"/>
        <v>0</v>
      </c>
      <c r="I749" s="209"/>
      <c r="J749" s="209"/>
      <c r="K749" s="177">
        <f t="shared" si="2"/>
        <v>0</v>
      </c>
      <c r="L749" s="210"/>
    </row>
    <row r="750" ht="15.75" customHeight="1">
      <c r="A750" s="1"/>
      <c r="B750" s="203"/>
      <c r="C750" s="204"/>
      <c r="D750" s="205"/>
      <c r="E750" s="206"/>
      <c r="F750" s="207"/>
      <c r="G750" s="208"/>
      <c r="H750" s="174">
        <f t="shared" si="1"/>
        <v>0</v>
      </c>
      <c r="I750" s="209"/>
      <c r="J750" s="209"/>
      <c r="K750" s="177">
        <f t="shared" si="2"/>
        <v>0</v>
      </c>
      <c r="L750" s="210"/>
    </row>
    <row r="751" ht="15.75" customHeight="1">
      <c r="A751" s="1"/>
      <c r="B751" s="203"/>
      <c r="C751" s="204"/>
      <c r="D751" s="205"/>
      <c r="E751" s="206"/>
      <c r="F751" s="207"/>
      <c r="G751" s="208"/>
      <c r="H751" s="174">
        <f t="shared" si="1"/>
        <v>0</v>
      </c>
      <c r="I751" s="209"/>
      <c r="J751" s="209"/>
      <c r="K751" s="177">
        <f t="shared" si="2"/>
        <v>0</v>
      </c>
      <c r="L751" s="210"/>
    </row>
    <row r="752" ht="15.75" customHeight="1">
      <c r="A752" s="1"/>
      <c r="B752" s="203"/>
      <c r="C752" s="204"/>
      <c r="D752" s="205"/>
      <c r="E752" s="206"/>
      <c r="F752" s="207"/>
      <c r="G752" s="208"/>
      <c r="H752" s="174">
        <f t="shared" si="1"/>
        <v>0</v>
      </c>
      <c r="I752" s="209"/>
      <c r="J752" s="209"/>
      <c r="K752" s="177">
        <f t="shared" si="2"/>
        <v>0</v>
      </c>
      <c r="L752" s="210"/>
    </row>
    <row r="753" ht="15.75" customHeight="1">
      <c r="A753" s="1"/>
      <c r="B753" s="203"/>
      <c r="C753" s="204"/>
      <c r="D753" s="205"/>
      <c r="E753" s="206"/>
      <c r="F753" s="207"/>
      <c r="G753" s="208"/>
      <c r="H753" s="174">
        <f t="shared" si="1"/>
        <v>0</v>
      </c>
      <c r="I753" s="209"/>
      <c r="J753" s="209"/>
      <c r="K753" s="177">
        <f t="shared" si="2"/>
        <v>0</v>
      </c>
      <c r="L753" s="210"/>
    </row>
    <row r="754" ht="15.75" customHeight="1">
      <c r="A754" s="1"/>
      <c r="B754" s="203"/>
      <c r="C754" s="204"/>
      <c r="D754" s="205"/>
      <c r="E754" s="206"/>
      <c r="F754" s="207"/>
      <c r="G754" s="208"/>
      <c r="H754" s="174">
        <f t="shared" si="1"/>
        <v>0</v>
      </c>
      <c r="I754" s="209"/>
      <c r="J754" s="209"/>
      <c r="K754" s="177">
        <f t="shared" si="2"/>
        <v>0</v>
      </c>
      <c r="L754" s="210"/>
    </row>
    <row r="755" ht="15.75" customHeight="1">
      <c r="A755" s="1"/>
      <c r="B755" s="203"/>
      <c r="C755" s="204"/>
      <c r="D755" s="205"/>
      <c r="E755" s="206"/>
      <c r="F755" s="207"/>
      <c r="G755" s="208"/>
      <c r="H755" s="174">
        <f t="shared" si="1"/>
        <v>0</v>
      </c>
      <c r="I755" s="209"/>
      <c r="J755" s="209"/>
      <c r="K755" s="177">
        <f t="shared" si="2"/>
        <v>0</v>
      </c>
      <c r="L755" s="210"/>
    </row>
    <row r="756" ht="15.75" customHeight="1">
      <c r="A756" s="1"/>
      <c r="B756" s="203"/>
      <c r="C756" s="204"/>
      <c r="D756" s="205"/>
      <c r="E756" s="206"/>
      <c r="F756" s="207"/>
      <c r="G756" s="208"/>
      <c r="H756" s="174">
        <f t="shared" si="1"/>
        <v>0</v>
      </c>
      <c r="I756" s="209"/>
      <c r="J756" s="209"/>
      <c r="K756" s="177">
        <f t="shared" si="2"/>
        <v>0</v>
      </c>
      <c r="L756" s="210"/>
    </row>
    <row r="757" ht="15.75" customHeight="1">
      <c r="A757" s="1"/>
      <c r="B757" s="203"/>
      <c r="C757" s="204"/>
      <c r="D757" s="205"/>
      <c r="E757" s="206"/>
      <c r="F757" s="207"/>
      <c r="G757" s="208"/>
      <c r="H757" s="174">
        <f t="shared" si="1"/>
        <v>0</v>
      </c>
      <c r="I757" s="209"/>
      <c r="J757" s="209"/>
      <c r="K757" s="177">
        <f t="shared" si="2"/>
        <v>0</v>
      </c>
      <c r="L757" s="210"/>
    </row>
    <row r="758" ht="15.75" customHeight="1">
      <c r="A758" s="1"/>
      <c r="B758" s="203"/>
      <c r="C758" s="204"/>
      <c r="D758" s="205"/>
      <c r="E758" s="206"/>
      <c r="F758" s="207"/>
      <c r="G758" s="208"/>
      <c r="H758" s="174">
        <f t="shared" si="1"/>
        <v>0</v>
      </c>
      <c r="I758" s="209"/>
      <c r="J758" s="209"/>
      <c r="K758" s="177">
        <f t="shared" si="2"/>
        <v>0</v>
      </c>
      <c r="L758" s="210"/>
    </row>
    <row r="759" ht="15.75" customHeight="1">
      <c r="A759" s="1"/>
      <c r="B759" s="203"/>
      <c r="C759" s="204"/>
      <c r="D759" s="205"/>
      <c r="E759" s="206"/>
      <c r="F759" s="207"/>
      <c r="G759" s="208"/>
      <c r="H759" s="174">
        <f t="shared" si="1"/>
        <v>0</v>
      </c>
      <c r="I759" s="209"/>
      <c r="J759" s="209"/>
      <c r="K759" s="177">
        <f t="shared" si="2"/>
        <v>0</v>
      </c>
      <c r="L759" s="210"/>
    </row>
    <row r="760" ht="15.75" customHeight="1">
      <c r="A760" s="1"/>
      <c r="B760" s="203"/>
      <c r="C760" s="204"/>
      <c r="D760" s="205"/>
      <c r="E760" s="206"/>
      <c r="F760" s="207"/>
      <c r="G760" s="208"/>
      <c r="H760" s="174">
        <f t="shared" si="1"/>
        <v>0</v>
      </c>
      <c r="I760" s="209"/>
      <c r="J760" s="209"/>
      <c r="K760" s="177">
        <f t="shared" si="2"/>
        <v>0</v>
      </c>
      <c r="L760" s="210"/>
    </row>
    <row r="761" ht="15.75" customHeight="1">
      <c r="A761" s="1"/>
      <c r="B761" s="203"/>
      <c r="C761" s="204"/>
      <c r="D761" s="205"/>
      <c r="E761" s="206"/>
      <c r="F761" s="207"/>
      <c r="G761" s="208"/>
      <c r="H761" s="174">
        <f t="shared" si="1"/>
        <v>0</v>
      </c>
      <c r="I761" s="209"/>
      <c r="J761" s="209"/>
      <c r="K761" s="177">
        <f t="shared" si="2"/>
        <v>0</v>
      </c>
      <c r="L761" s="210"/>
    </row>
    <row r="762" ht="15.75" customHeight="1">
      <c r="A762" s="1"/>
      <c r="B762" s="203"/>
      <c r="C762" s="204"/>
      <c r="D762" s="205"/>
      <c r="E762" s="206"/>
      <c r="F762" s="207"/>
      <c r="G762" s="208"/>
      <c r="H762" s="174">
        <f t="shared" si="1"/>
        <v>0</v>
      </c>
      <c r="I762" s="209"/>
      <c r="J762" s="209"/>
      <c r="K762" s="177">
        <f t="shared" si="2"/>
        <v>0</v>
      </c>
      <c r="L762" s="210"/>
    </row>
    <row r="763" ht="15.75" customHeight="1">
      <c r="A763" s="1"/>
      <c r="B763" s="203"/>
      <c r="C763" s="204"/>
      <c r="D763" s="205"/>
      <c r="E763" s="206"/>
      <c r="F763" s="207"/>
      <c r="G763" s="208"/>
      <c r="H763" s="174">
        <f t="shared" si="1"/>
        <v>0</v>
      </c>
      <c r="I763" s="209"/>
      <c r="J763" s="209"/>
      <c r="K763" s="177">
        <f t="shared" si="2"/>
        <v>0</v>
      </c>
      <c r="L763" s="210"/>
    </row>
    <row r="764" ht="15.75" customHeight="1">
      <c r="A764" s="1"/>
      <c r="B764" s="203"/>
      <c r="C764" s="204"/>
      <c r="D764" s="205"/>
      <c r="E764" s="206"/>
      <c r="F764" s="207"/>
      <c r="G764" s="208"/>
      <c r="H764" s="174">
        <f t="shared" si="1"/>
        <v>0</v>
      </c>
      <c r="I764" s="209"/>
      <c r="J764" s="209"/>
      <c r="K764" s="177">
        <f t="shared" si="2"/>
        <v>0</v>
      </c>
      <c r="L764" s="210"/>
    </row>
    <row r="765" ht="15.75" customHeight="1">
      <c r="A765" s="1"/>
      <c r="B765" s="203"/>
      <c r="C765" s="204"/>
      <c r="D765" s="205"/>
      <c r="E765" s="206"/>
      <c r="F765" s="207"/>
      <c r="G765" s="208"/>
      <c r="H765" s="174">
        <f t="shared" si="1"/>
        <v>0</v>
      </c>
      <c r="I765" s="209"/>
      <c r="J765" s="209"/>
      <c r="K765" s="177">
        <f t="shared" si="2"/>
        <v>0</v>
      </c>
      <c r="L765" s="210"/>
    </row>
    <row r="766" ht="15.75" customHeight="1">
      <c r="A766" s="1"/>
      <c r="B766" s="203"/>
      <c r="C766" s="204"/>
      <c r="D766" s="205"/>
      <c r="E766" s="206"/>
      <c r="F766" s="207"/>
      <c r="G766" s="208"/>
      <c r="H766" s="174">
        <f t="shared" si="1"/>
        <v>0</v>
      </c>
      <c r="I766" s="209"/>
      <c r="J766" s="209"/>
      <c r="K766" s="177">
        <f t="shared" si="2"/>
        <v>0</v>
      </c>
      <c r="L766" s="210"/>
    </row>
    <row r="767" ht="15.75" customHeight="1">
      <c r="A767" s="1"/>
      <c r="B767" s="203"/>
      <c r="C767" s="204"/>
      <c r="D767" s="205"/>
      <c r="E767" s="206"/>
      <c r="F767" s="207"/>
      <c r="G767" s="208"/>
      <c r="H767" s="174">
        <f t="shared" si="1"/>
        <v>0</v>
      </c>
      <c r="I767" s="209"/>
      <c r="J767" s="209"/>
      <c r="K767" s="177">
        <f t="shared" si="2"/>
        <v>0</v>
      </c>
      <c r="L767" s="210"/>
    </row>
    <row r="768" ht="15.75" customHeight="1">
      <c r="A768" s="1"/>
      <c r="B768" s="203"/>
      <c r="C768" s="204"/>
      <c r="D768" s="205"/>
      <c r="E768" s="206"/>
      <c r="F768" s="207"/>
      <c r="G768" s="208"/>
      <c r="H768" s="174">
        <f t="shared" si="1"/>
        <v>0</v>
      </c>
      <c r="I768" s="209"/>
      <c r="J768" s="209"/>
      <c r="K768" s="177">
        <f t="shared" si="2"/>
        <v>0</v>
      </c>
      <c r="L768" s="210"/>
    </row>
    <row r="769" ht="15.75" customHeight="1">
      <c r="A769" s="1"/>
      <c r="B769" s="203"/>
      <c r="C769" s="204"/>
      <c r="D769" s="205"/>
      <c r="E769" s="206"/>
      <c r="F769" s="207"/>
      <c r="G769" s="208"/>
      <c r="H769" s="174">
        <f t="shared" si="1"/>
        <v>0</v>
      </c>
      <c r="I769" s="209"/>
      <c r="J769" s="209"/>
      <c r="K769" s="177">
        <f t="shared" si="2"/>
        <v>0</v>
      </c>
      <c r="L769" s="210"/>
    </row>
    <row r="770" ht="15.75" customHeight="1">
      <c r="A770" s="1"/>
      <c r="B770" s="203"/>
      <c r="C770" s="204"/>
      <c r="D770" s="205"/>
      <c r="E770" s="206"/>
      <c r="F770" s="207"/>
      <c r="G770" s="208"/>
      <c r="H770" s="174">
        <f t="shared" si="1"/>
        <v>0</v>
      </c>
      <c r="I770" s="209"/>
      <c r="J770" s="209"/>
      <c r="K770" s="177">
        <f t="shared" si="2"/>
        <v>0</v>
      </c>
      <c r="L770" s="210"/>
    </row>
    <row r="771" ht="15.75" customHeight="1">
      <c r="A771" s="1"/>
      <c r="B771" s="203"/>
      <c r="C771" s="204"/>
      <c r="D771" s="205"/>
      <c r="E771" s="206"/>
      <c r="F771" s="207"/>
      <c r="G771" s="208"/>
      <c r="H771" s="174">
        <f t="shared" si="1"/>
        <v>0</v>
      </c>
      <c r="I771" s="209"/>
      <c r="J771" s="209"/>
      <c r="K771" s="177">
        <f t="shared" si="2"/>
        <v>0</v>
      </c>
      <c r="L771" s="210"/>
    </row>
    <row r="772" ht="15.75" customHeight="1">
      <c r="A772" s="1"/>
      <c r="B772" s="203"/>
      <c r="C772" s="204"/>
      <c r="D772" s="205"/>
      <c r="E772" s="206"/>
      <c r="F772" s="207"/>
      <c r="G772" s="208"/>
      <c r="H772" s="174">
        <f t="shared" si="1"/>
        <v>0</v>
      </c>
      <c r="I772" s="209"/>
      <c r="J772" s="209"/>
      <c r="K772" s="177">
        <f t="shared" si="2"/>
        <v>0</v>
      </c>
      <c r="L772" s="210"/>
    </row>
    <row r="773" ht="15.75" customHeight="1">
      <c r="A773" s="1"/>
      <c r="B773" s="203"/>
      <c r="C773" s="204"/>
      <c r="D773" s="205"/>
      <c r="E773" s="206"/>
      <c r="F773" s="207"/>
      <c r="G773" s="208"/>
      <c r="H773" s="174">
        <f t="shared" si="1"/>
        <v>0</v>
      </c>
      <c r="I773" s="209"/>
      <c r="J773" s="209"/>
      <c r="K773" s="177">
        <f t="shared" si="2"/>
        <v>0</v>
      </c>
      <c r="L773" s="210"/>
    </row>
    <row r="774" ht="15.75" customHeight="1">
      <c r="A774" s="1"/>
      <c r="B774" s="203"/>
      <c r="C774" s="204"/>
      <c r="D774" s="205"/>
      <c r="E774" s="206"/>
      <c r="F774" s="207"/>
      <c r="G774" s="208"/>
      <c r="H774" s="174">
        <f t="shared" si="1"/>
        <v>0</v>
      </c>
      <c r="I774" s="209"/>
      <c r="J774" s="209"/>
      <c r="K774" s="177">
        <f t="shared" si="2"/>
        <v>0</v>
      </c>
      <c r="L774" s="210"/>
    </row>
    <row r="775" ht="15.75" customHeight="1">
      <c r="A775" s="1"/>
      <c r="B775" s="203"/>
      <c r="C775" s="204"/>
      <c r="D775" s="205"/>
      <c r="E775" s="206"/>
      <c r="F775" s="207"/>
      <c r="G775" s="208"/>
      <c r="H775" s="174">
        <f t="shared" si="1"/>
        <v>0</v>
      </c>
      <c r="I775" s="209"/>
      <c r="J775" s="209"/>
      <c r="K775" s="177">
        <f t="shared" si="2"/>
        <v>0</v>
      </c>
      <c r="L775" s="210"/>
    </row>
    <row r="776" ht="15.75" customHeight="1">
      <c r="A776" s="1"/>
      <c r="B776" s="203"/>
      <c r="C776" s="204"/>
      <c r="D776" s="205"/>
      <c r="E776" s="206"/>
      <c r="F776" s="207"/>
      <c r="G776" s="208"/>
      <c r="H776" s="174">
        <f t="shared" si="1"/>
        <v>0</v>
      </c>
      <c r="I776" s="209"/>
      <c r="J776" s="209"/>
      <c r="K776" s="177">
        <f t="shared" si="2"/>
        <v>0</v>
      </c>
      <c r="L776" s="210"/>
    </row>
    <row r="777" ht="15.75" customHeight="1">
      <c r="A777" s="1"/>
      <c r="B777" s="203"/>
      <c r="C777" s="204"/>
      <c r="D777" s="205"/>
      <c r="E777" s="206"/>
      <c r="F777" s="207"/>
      <c r="G777" s="208"/>
      <c r="H777" s="174">
        <f t="shared" si="1"/>
        <v>0</v>
      </c>
      <c r="I777" s="209"/>
      <c r="J777" s="209"/>
      <c r="K777" s="177">
        <f t="shared" si="2"/>
        <v>0</v>
      </c>
      <c r="L777" s="210"/>
    </row>
    <row r="778" ht="15.75" customHeight="1">
      <c r="A778" s="1"/>
      <c r="B778" s="203"/>
      <c r="C778" s="204"/>
      <c r="D778" s="205"/>
      <c r="E778" s="206"/>
      <c r="F778" s="207"/>
      <c r="G778" s="208"/>
      <c r="H778" s="174">
        <f t="shared" si="1"/>
        <v>0</v>
      </c>
      <c r="I778" s="209"/>
      <c r="J778" s="209"/>
      <c r="K778" s="177">
        <f t="shared" si="2"/>
        <v>0</v>
      </c>
      <c r="L778" s="210"/>
    </row>
    <row r="779" ht="15.75" customHeight="1">
      <c r="A779" s="1"/>
      <c r="B779" s="203"/>
      <c r="C779" s="204"/>
      <c r="D779" s="205"/>
      <c r="E779" s="206"/>
      <c r="F779" s="207"/>
      <c r="G779" s="208"/>
      <c r="H779" s="174">
        <f t="shared" si="1"/>
        <v>0</v>
      </c>
      <c r="I779" s="209"/>
      <c r="J779" s="209"/>
      <c r="K779" s="177">
        <f t="shared" si="2"/>
        <v>0</v>
      </c>
      <c r="L779" s="210"/>
    </row>
    <row r="780" ht="15.75" customHeight="1">
      <c r="A780" s="1"/>
      <c r="B780" s="203"/>
      <c r="C780" s="204"/>
      <c r="D780" s="205"/>
      <c r="E780" s="206"/>
      <c r="F780" s="207"/>
      <c r="G780" s="208"/>
      <c r="H780" s="174">
        <f t="shared" si="1"/>
        <v>0</v>
      </c>
      <c r="I780" s="209"/>
      <c r="J780" s="209"/>
      <c r="K780" s="177">
        <f t="shared" si="2"/>
        <v>0</v>
      </c>
      <c r="L780" s="210"/>
    </row>
    <row r="781" ht="15.75" customHeight="1">
      <c r="A781" s="1"/>
      <c r="B781" s="203"/>
      <c r="C781" s="204"/>
      <c r="D781" s="205"/>
      <c r="E781" s="206"/>
      <c r="F781" s="207"/>
      <c r="G781" s="208"/>
      <c r="H781" s="174">
        <f t="shared" si="1"/>
        <v>0</v>
      </c>
      <c r="I781" s="209"/>
      <c r="J781" s="209"/>
      <c r="K781" s="177">
        <f t="shared" si="2"/>
        <v>0</v>
      </c>
      <c r="L781" s="210"/>
    </row>
    <row r="782" ht="15.75" customHeight="1">
      <c r="A782" s="1"/>
      <c r="B782" s="203"/>
      <c r="C782" s="204"/>
      <c r="D782" s="205"/>
      <c r="E782" s="206"/>
      <c r="F782" s="207"/>
      <c r="G782" s="208"/>
      <c r="H782" s="174">
        <f t="shared" si="1"/>
        <v>0</v>
      </c>
      <c r="I782" s="209"/>
      <c r="J782" s="209"/>
      <c r="K782" s="177">
        <f t="shared" si="2"/>
        <v>0</v>
      </c>
      <c r="L782" s="210"/>
    </row>
    <row r="783" ht="15.75" customHeight="1">
      <c r="A783" s="1"/>
      <c r="B783" s="203"/>
      <c r="C783" s="204"/>
      <c r="D783" s="205"/>
      <c r="E783" s="206"/>
      <c r="F783" s="207"/>
      <c r="G783" s="208"/>
      <c r="H783" s="174">
        <f t="shared" si="1"/>
        <v>0</v>
      </c>
      <c r="I783" s="209"/>
      <c r="J783" s="209"/>
      <c r="K783" s="177">
        <f t="shared" si="2"/>
        <v>0</v>
      </c>
      <c r="L783" s="210"/>
    </row>
    <row r="784" ht="15.75" customHeight="1">
      <c r="A784" s="1"/>
      <c r="B784" s="203"/>
      <c r="C784" s="204"/>
      <c r="D784" s="205"/>
      <c r="E784" s="206"/>
      <c r="F784" s="207"/>
      <c r="G784" s="208"/>
      <c r="H784" s="174">
        <f t="shared" si="1"/>
        <v>0</v>
      </c>
      <c r="I784" s="209"/>
      <c r="J784" s="209"/>
      <c r="K784" s="177">
        <f t="shared" si="2"/>
        <v>0</v>
      </c>
      <c r="L784" s="210"/>
    </row>
    <row r="785" ht="15.75" customHeight="1">
      <c r="A785" s="1"/>
      <c r="B785" s="203"/>
      <c r="C785" s="204"/>
      <c r="D785" s="205"/>
      <c r="E785" s="206"/>
      <c r="F785" s="207"/>
      <c r="G785" s="208"/>
      <c r="H785" s="174">
        <f t="shared" si="1"/>
        <v>0</v>
      </c>
      <c r="I785" s="209"/>
      <c r="J785" s="209"/>
      <c r="K785" s="177">
        <f t="shared" si="2"/>
        <v>0</v>
      </c>
      <c r="L785" s="210"/>
    </row>
    <row r="786" ht="15.75" customHeight="1">
      <c r="A786" s="1"/>
      <c r="B786" s="203"/>
      <c r="C786" s="204"/>
      <c r="D786" s="205"/>
      <c r="E786" s="206"/>
      <c r="F786" s="207"/>
      <c r="G786" s="208"/>
      <c r="H786" s="174">
        <f t="shared" si="1"/>
        <v>0</v>
      </c>
      <c r="I786" s="209"/>
      <c r="J786" s="209"/>
      <c r="K786" s="177">
        <f t="shared" si="2"/>
        <v>0</v>
      </c>
      <c r="L786" s="210"/>
    </row>
    <row r="787" ht="15.75" customHeight="1">
      <c r="A787" s="1"/>
      <c r="B787" s="203"/>
      <c r="C787" s="204"/>
      <c r="D787" s="205"/>
      <c r="E787" s="206"/>
      <c r="F787" s="207"/>
      <c r="G787" s="208"/>
      <c r="H787" s="174">
        <f t="shared" si="1"/>
        <v>0</v>
      </c>
      <c r="I787" s="209"/>
      <c r="J787" s="209"/>
      <c r="K787" s="177">
        <f t="shared" si="2"/>
        <v>0</v>
      </c>
      <c r="L787" s="210"/>
    </row>
    <row r="788" ht="15.75" customHeight="1">
      <c r="A788" s="1"/>
      <c r="B788" s="203"/>
      <c r="C788" s="204"/>
      <c r="D788" s="205"/>
      <c r="E788" s="206"/>
      <c r="F788" s="207"/>
      <c r="G788" s="208"/>
      <c r="H788" s="174">
        <f t="shared" si="1"/>
        <v>0</v>
      </c>
      <c r="I788" s="209"/>
      <c r="J788" s="209"/>
      <c r="K788" s="177">
        <f t="shared" si="2"/>
        <v>0</v>
      </c>
      <c r="L788" s="210"/>
    </row>
    <row r="789" ht="15.75" customHeight="1">
      <c r="A789" s="1"/>
      <c r="B789" s="203"/>
      <c r="C789" s="204"/>
      <c r="D789" s="205"/>
      <c r="E789" s="206"/>
      <c r="F789" s="207"/>
      <c r="G789" s="208"/>
      <c r="H789" s="174">
        <f t="shared" si="1"/>
        <v>0</v>
      </c>
      <c r="I789" s="209"/>
      <c r="J789" s="209"/>
      <c r="K789" s="177">
        <f t="shared" si="2"/>
        <v>0</v>
      </c>
      <c r="L789" s="210"/>
    </row>
    <row r="790" ht="15.75" customHeight="1">
      <c r="A790" s="1"/>
      <c r="B790" s="203"/>
      <c r="C790" s="204"/>
      <c r="D790" s="205"/>
      <c r="E790" s="206"/>
      <c r="F790" s="207"/>
      <c r="G790" s="208"/>
      <c r="H790" s="174">
        <f t="shared" si="1"/>
        <v>0</v>
      </c>
      <c r="I790" s="209"/>
      <c r="J790" s="209"/>
      <c r="K790" s="177">
        <f t="shared" si="2"/>
        <v>0</v>
      </c>
      <c r="L790" s="210"/>
    </row>
    <row r="791" ht="15.75" customHeight="1">
      <c r="A791" s="1"/>
      <c r="B791" s="203"/>
      <c r="C791" s="204"/>
      <c r="D791" s="205"/>
      <c r="E791" s="206"/>
      <c r="F791" s="207"/>
      <c r="G791" s="208"/>
      <c r="H791" s="174">
        <f t="shared" si="1"/>
        <v>0</v>
      </c>
      <c r="I791" s="209"/>
      <c r="J791" s="209"/>
      <c r="K791" s="177">
        <f t="shared" si="2"/>
        <v>0</v>
      </c>
      <c r="L791" s="210"/>
    </row>
    <row r="792" ht="15.75" customHeight="1">
      <c r="A792" s="1"/>
      <c r="B792" s="203"/>
      <c r="C792" s="204"/>
      <c r="D792" s="205"/>
      <c r="E792" s="206"/>
      <c r="F792" s="207"/>
      <c r="G792" s="208"/>
      <c r="H792" s="174">
        <f t="shared" si="1"/>
        <v>0</v>
      </c>
      <c r="I792" s="209"/>
      <c r="J792" s="209"/>
      <c r="K792" s="177">
        <f t="shared" si="2"/>
        <v>0</v>
      </c>
      <c r="L792" s="210"/>
    </row>
    <row r="793" ht="15.75" customHeight="1">
      <c r="A793" s="1"/>
      <c r="B793" s="203"/>
      <c r="C793" s="204"/>
      <c r="D793" s="205"/>
      <c r="E793" s="206"/>
      <c r="F793" s="207"/>
      <c r="G793" s="208"/>
      <c r="H793" s="174">
        <f t="shared" si="1"/>
        <v>0</v>
      </c>
      <c r="I793" s="209"/>
      <c r="J793" s="209"/>
      <c r="K793" s="177">
        <f t="shared" si="2"/>
        <v>0</v>
      </c>
      <c r="L793" s="210"/>
    </row>
    <row r="794" ht="15.75" customHeight="1">
      <c r="A794" s="1"/>
      <c r="B794" s="203"/>
      <c r="C794" s="204"/>
      <c r="D794" s="205"/>
      <c r="E794" s="206"/>
      <c r="F794" s="207"/>
      <c r="G794" s="208"/>
      <c r="H794" s="174">
        <f t="shared" si="1"/>
        <v>0</v>
      </c>
      <c r="I794" s="209"/>
      <c r="J794" s="209"/>
      <c r="K794" s="177">
        <f t="shared" si="2"/>
        <v>0</v>
      </c>
      <c r="L794" s="210"/>
    </row>
    <row r="795" ht="15.75" customHeight="1">
      <c r="A795" s="1"/>
      <c r="B795" s="203"/>
      <c r="C795" s="204"/>
      <c r="D795" s="205"/>
      <c r="E795" s="206"/>
      <c r="F795" s="207"/>
      <c r="G795" s="208"/>
      <c r="H795" s="174">
        <f t="shared" si="1"/>
        <v>0</v>
      </c>
      <c r="I795" s="209"/>
      <c r="J795" s="209"/>
      <c r="K795" s="177">
        <f t="shared" si="2"/>
        <v>0</v>
      </c>
      <c r="L795" s="210"/>
    </row>
    <row r="796" ht="15.75" customHeight="1">
      <c r="A796" s="1"/>
      <c r="B796" s="203"/>
      <c r="C796" s="204"/>
      <c r="D796" s="205"/>
      <c r="E796" s="206"/>
      <c r="F796" s="207"/>
      <c r="G796" s="208"/>
      <c r="H796" s="174">
        <f t="shared" si="1"/>
        <v>0</v>
      </c>
      <c r="I796" s="209"/>
      <c r="J796" s="209"/>
      <c r="K796" s="177">
        <f t="shared" si="2"/>
        <v>0</v>
      </c>
      <c r="L796" s="210"/>
    </row>
    <row r="797" ht="15.75" customHeight="1">
      <c r="A797" s="1"/>
      <c r="B797" s="203"/>
      <c r="C797" s="204"/>
      <c r="D797" s="205"/>
      <c r="E797" s="206"/>
      <c r="F797" s="207"/>
      <c r="G797" s="208"/>
      <c r="H797" s="174">
        <f t="shared" si="1"/>
        <v>0</v>
      </c>
      <c r="I797" s="209"/>
      <c r="J797" s="209"/>
      <c r="K797" s="177">
        <f t="shared" si="2"/>
        <v>0</v>
      </c>
      <c r="L797" s="210"/>
    </row>
    <row r="798" ht="15.75" customHeight="1">
      <c r="A798" s="1"/>
      <c r="B798" s="203"/>
      <c r="C798" s="204"/>
      <c r="D798" s="205"/>
      <c r="E798" s="206"/>
      <c r="F798" s="207"/>
      <c r="G798" s="208"/>
      <c r="H798" s="174">
        <f t="shared" si="1"/>
        <v>0</v>
      </c>
      <c r="I798" s="209"/>
      <c r="J798" s="209"/>
      <c r="K798" s="177">
        <f t="shared" si="2"/>
        <v>0</v>
      </c>
      <c r="L798" s="210"/>
    </row>
    <row r="799" ht="15.75" customHeight="1">
      <c r="A799" s="1"/>
      <c r="B799" s="203"/>
      <c r="C799" s="204"/>
      <c r="D799" s="205"/>
      <c r="E799" s="206"/>
      <c r="F799" s="207"/>
      <c r="G799" s="208"/>
      <c r="H799" s="174">
        <f t="shared" si="1"/>
        <v>0</v>
      </c>
      <c r="I799" s="209"/>
      <c r="J799" s="209"/>
      <c r="K799" s="177">
        <f t="shared" si="2"/>
        <v>0</v>
      </c>
      <c r="L799" s="210"/>
    </row>
    <row r="800" ht="15.75" customHeight="1">
      <c r="A800" s="1"/>
      <c r="B800" s="203"/>
      <c r="C800" s="204"/>
      <c r="D800" s="205"/>
      <c r="E800" s="206"/>
      <c r="F800" s="207"/>
      <c r="G800" s="208"/>
      <c r="H800" s="174">
        <f t="shared" si="1"/>
        <v>0</v>
      </c>
      <c r="I800" s="209"/>
      <c r="J800" s="209"/>
      <c r="K800" s="177">
        <f t="shared" si="2"/>
        <v>0</v>
      </c>
      <c r="L800" s="210"/>
    </row>
    <row r="801" ht="15.75" customHeight="1">
      <c r="A801" s="1"/>
      <c r="B801" s="203"/>
      <c r="C801" s="204"/>
      <c r="D801" s="205"/>
      <c r="E801" s="206"/>
      <c r="F801" s="207"/>
      <c r="G801" s="208"/>
      <c r="H801" s="174">
        <f t="shared" si="1"/>
        <v>0</v>
      </c>
      <c r="I801" s="209"/>
      <c r="J801" s="209"/>
      <c r="K801" s="177">
        <f t="shared" si="2"/>
        <v>0</v>
      </c>
      <c r="L801" s="210"/>
    </row>
    <row r="802" ht="15.75" customHeight="1">
      <c r="A802" s="1"/>
      <c r="B802" s="203"/>
      <c r="C802" s="204"/>
      <c r="D802" s="205"/>
      <c r="E802" s="206"/>
      <c r="F802" s="207"/>
      <c r="G802" s="208"/>
      <c r="H802" s="174">
        <f t="shared" si="1"/>
        <v>0</v>
      </c>
      <c r="I802" s="209"/>
      <c r="J802" s="209"/>
      <c r="K802" s="177">
        <f t="shared" si="2"/>
        <v>0</v>
      </c>
      <c r="L802" s="210"/>
    </row>
    <row r="803" ht="15.75" customHeight="1">
      <c r="A803" s="1"/>
      <c r="B803" s="203"/>
      <c r="C803" s="204"/>
      <c r="D803" s="205"/>
      <c r="E803" s="206"/>
      <c r="F803" s="207"/>
      <c r="G803" s="208"/>
      <c r="H803" s="174">
        <f t="shared" si="1"/>
        <v>0</v>
      </c>
      <c r="I803" s="209"/>
      <c r="J803" s="209"/>
      <c r="K803" s="177">
        <f t="shared" si="2"/>
        <v>0</v>
      </c>
      <c r="L803" s="210"/>
    </row>
    <row r="804" ht="15.75" customHeight="1">
      <c r="A804" s="1"/>
      <c r="B804" s="203"/>
      <c r="C804" s="204"/>
      <c r="D804" s="205"/>
      <c r="E804" s="206"/>
      <c r="F804" s="207"/>
      <c r="G804" s="208"/>
      <c r="H804" s="174">
        <f t="shared" si="1"/>
        <v>0</v>
      </c>
      <c r="I804" s="209"/>
      <c r="J804" s="209"/>
      <c r="K804" s="177">
        <f t="shared" si="2"/>
        <v>0</v>
      </c>
      <c r="L804" s="210"/>
    </row>
    <row r="805" ht="15.75" customHeight="1">
      <c r="A805" s="1"/>
      <c r="B805" s="203"/>
      <c r="C805" s="204"/>
      <c r="D805" s="205"/>
      <c r="E805" s="206"/>
      <c r="F805" s="207"/>
      <c r="G805" s="208"/>
      <c r="H805" s="174">
        <f t="shared" si="1"/>
        <v>0</v>
      </c>
      <c r="I805" s="209"/>
      <c r="J805" s="209"/>
      <c r="K805" s="177">
        <f t="shared" si="2"/>
        <v>0</v>
      </c>
      <c r="L805" s="210"/>
    </row>
    <row r="806" ht="15.75" customHeight="1">
      <c r="A806" s="1"/>
      <c r="B806" s="203"/>
      <c r="C806" s="204"/>
      <c r="D806" s="205"/>
      <c r="E806" s="206"/>
      <c r="F806" s="207"/>
      <c r="G806" s="208"/>
      <c r="H806" s="174">
        <f t="shared" si="1"/>
        <v>0</v>
      </c>
      <c r="I806" s="209"/>
      <c r="J806" s="209"/>
      <c r="K806" s="177">
        <f t="shared" si="2"/>
        <v>0</v>
      </c>
      <c r="L806" s="210"/>
    </row>
    <row r="807" ht="15.75" customHeight="1">
      <c r="A807" s="1"/>
      <c r="B807" s="203"/>
      <c r="C807" s="204"/>
      <c r="D807" s="205"/>
      <c r="E807" s="206"/>
      <c r="F807" s="207"/>
      <c r="G807" s="208"/>
      <c r="H807" s="174">
        <f t="shared" si="1"/>
        <v>0</v>
      </c>
      <c r="I807" s="209"/>
      <c r="J807" s="209"/>
      <c r="K807" s="177">
        <f t="shared" si="2"/>
        <v>0</v>
      </c>
      <c r="L807" s="210"/>
    </row>
    <row r="808" ht="15.75" customHeight="1">
      <c r="A808" s="1"/>
      <c r="B808" s="203"/>
      <c r="C808" s="204"/>
      <c r="D808" s="205"/>
      <c r="E808" s="206"/>
      <c r="F808" s="207"/>
      <c r="G808" s="208"/>
      <c r="H808" s="174">
        <f t="shared" si="1"/>
        <v>0</v>
      </c>
      <c r="I808" s="209"/>
      <c r="J808" s="209"/>
      <c r="K808" s="177">
        <f t="shared" si="2"/>
        <v>0</v>
      </c>
      <c r="L808" s="210"/>
    </row>
    <row r="809" ht="15.75" customHeight="1">
      <c r="A809" s="1"/>
      <c r="B809" s="203"/>
      <c r="C809" s="204"/>
      <c r="D809" s="205"/>
      <c r="E809" s="206"/>
      <c r="F809" s="207"/>
      <c r="G809" s="208"/>
      <c r="H809" s="174">
        <f t="shared" si="1"/>
        <v>0</v>
      </c>
      <c r="I809" s="209"/>
      <c r="J809" s="209"/>
      <c r="K809" s="177">
        <f t="shared" si="2"/>
        <v>0</v>
      </c>
      <c r="L809" s="210"/>
    </row>
    <row r="810" ht="15.75" customHeight="1">
      <c r="A810" s="1"/>
      <c r="B810" s="203"/>
      <c r="C810" s="204"/>
      <c r="D810" s="205"/>
      <c r="E810" s="206"/>
      <c r="F810" s="207"/>
      <c r="G810" s="208"/>
      <c r="H810" s="174">
        <f t="shared" si="1"/>
        <v>0</v>
      </c>
      <c r="I810" s="209"/>
      <c r="J810" s="209"/>
      <c r="K810" s="177">
        <f t="shared" si="2"/>
        <v>0</v>
      </c>
      <c r="L810" s="210"/>
    </row>
    <row r="811" ht="15.75" customHeight="1">
      <c r="A811" s="1"/>
      <c r="B811" s="203"/>
      <c r="C811" s="204"/>
      <c r="D811" s="205"/>
      <c r="E811" s="206"/>
      <c r="F811" s="207"/>
      <c r="G811" s="208"/>
      <c r="H811" s="174">
        <f t="shared" si="1"/>
        <v>0</v>
      </c>
      <c r="I811" s="209"/>
      <c r="J811" s="209"/>
      <c r="K811" s="177">
        <f t="shared" si="2"/>
        <v>0</v>
      </c>
      <c r="L811" s="210"/>
    </row>
    <row r="812" ht="15.75" customHeight="1">
      <c r="A812" s="1"/>
      <c r="B812" s="203"/>
      <c r="C812" s="204"/>
      <c r="D812" s="205"/>
      <c r="E812" s="206"/>
      <c r="F812" s="207"/>
      <c r="G812" s="208"/>
      <c r="H812" s="174">
        <f t="shared" si="1"/>
        <v>0</v>
      </c>
      <c r="I812" s="209"/>
      <c r="J812" s="209"/>
      <c r="K812" s="177">
        <f t="shared" si="2"/>
        <v>0</v>
      </c>
      <c r="L812" s="210"/>
    </row>
    <row r="813" ht="15.75" customHeight="1">
      <c r="A813" s="1"/>
      <c r="B813" s="203"/>
      <c r="C813" s="204"/>
      <c r="D813" s="205"/>
      <c r="E813" s="206"/>
      <c r="F813" s="207"/>
      <c r="G813" s="208"/>
      <c r="H813" s="174">
        <f t="shared" si="1"/>
        <v>0</v>
      </c>
      <c r="I813" s="209"/>
      <c r="J813" s="209"/>
      <c r="K813" s="177">
        <f t="shared" si="2"/>
        <v>0</v>
      </c>
      <c r="L813" s="210"/>
    </row>
    <row r="814" ht="15.75" customHeight="1">
      <c r="A814" s="1"/>
      <c r="B814" s="203"/>
      <c r="C814" s="204"/>
      <c r="D814" s="205"/>
      <c r="E814" s="206"/>
      <c r="F814" s="207"/>
      <c r="G814" s="208"/>
      <c r="H814" s="174">
        <f t="shared" si="1"/>
        <v>0</v>
      </c>
      <c r="I814" s="209"/>
      <c r="J814" s="209"/>
      <c r="K814" s="177">
        <f t="shared" si="2"/>
        <v>0</v>
      </c>
      <c r="L814" s="210"/>
    </row>
    <row r="815" ht="15.75" customHeight="1">
      <c r="A815" s="1"/>
      <c r="B815" s="203"/>
      <c r="C815" s="204"/>
      <c r="D815" s="205"/>
      <c r="E815" s="206"/>
      <c r="F815" s="207"/>
      <c r="G815" s="208"/>
      <c r="H815" s="174">
        <f t="shared" si="1"/>
        <v>0</v>
      </c>
      <c r="I815" s="209"/>
      <c r="J815" s="209"/>
      <c r="K815" s="177">
        <f t="shared" si="2"/>
        <v>0</v>
      </c>
      <c r="L815" s="210"/>
    </row>
    <row r="816" ht="15.75" customHeight="1">
      <c r="A816" s="1"/>
      <c r="B816" s="203"/>
      <c r="C816" s="204"/>
      <c r="D816" s="205"/>
      <c r="E816" s="206"/>
      <c r="F816" s="207"/>
      <c r="G816" s="208"/>
      <c r="H816" s="174">
        <f t="shared" si="1"/>
        <v>0</v>
      </c>
      <c r="I816" s="209"/>
      <c r="J816" s="209"/>
      <c r="K816" s="177">
        <f t="shared" si="2"/>
        <v>0</v>
      </c>
      <c r="L816" s="210"/>
    </row>
    <row r="817" ht="15.75" customHeight="1">
      <c r="A817" s="1"/>
      <c r="B817" s="203"/>
      <c r="C817" s="204"/>
      <c r="D817" s="205"/>
      <c r="E817" s="206"/>
      <c r="F817" s="207"/>
      <c r="G817" s="208"/>
      <c r="H817" s="174">
        <f t="shared" si="1"/>
        <v>0</v>
      </c>
      <c r="I817" s="209"/>
      <c r="J817" s="209"/>
      <c r="K817" s="177">
        <f t="shared" si="2"/>
        <v>0</v>
      </c>
      <c r="L817" s="210"/>
    </row>
    <row r="818" ht="15.75" customHeight="1">
      <c r="A818" s="1"/>
      <c r="B818" s="203"/>
      <c r="C818" s="204"/>
      <c r="D818" s="205"/>
      <c r="E818" s="206"/>
      <c r="F818" s="207"/>
      <c r="G818" s="208"/>
      <c r="H818" s="174">
        <f t="shared" si="1"/>
        <v>0</v>
      </c>
      <c r="I818" s="209"/>
      <c r="J818" s="209"/>
      <c r="K818" s="177">
        <f t="shared" si="2"/>
        <v>0</v>
      </c>
      <c r="L818" s="210"/>
    </row>
    <row r="819" ht="15.75" customHeight="1">
      <c r="A819" s="1"/>
      <c r="B819" s="203"/>
      <c r="C819" s="204"/>
      <c r="D819" s="205"/>
      <c r="E819" s="206"/>
      <c r="F819" s="207"/>
      <c r="G819" s="208"/>
      <c r="H819" s="174">
        <f t="shared" si="1"/>
        <v>0</v>
      </c>
      <c r="I819" s="209"/>
      <c r="J819" s="209"/>
      <c r="K819" s="177">
        <f t="shared" si="2"/>
        <v>0</v>
      </c>
      <c r="L819" s="210"/>
    </row>
    <row r="820" ht="15.75" customHeight="1">
      <c r="A820" s="1"/>
      <c r="B820" s="203"/>
      <c r="C820" s="204"/>
      <c r="D820" s="205"/>
      <c r="E820" s="206"/>
      <c r="F820" s="207"/>
      <c r="G820" s="208"/>
      <c r="H820" s="174">
        <f t="shared" si="1"/>
        <v>0</v>
      </c>
      <c r="I820" s="209"/>
      <c r="J820" s="209"/>
      <c r="K820" s="177">
        <f t="shared" si="2"/>
        <v>0</v>
      </c>
      <c r="L820" s="210"/>
    </row>
    <row r="821" ht="15.75" customHeight="1">
      <c r="A821" s="1"/>
      <c r="B821" s="203"/>
      <c r="C821" s="204"/>
      <c r="D821" s="205"/>
      <c r="E821" s="206"/>
      <c r="F821" s="207"/>
      <c r="G821" s="208"/>
      <c r="H821" s="174">
        <f t="shared" si="1"/>
        <v>0</v>
      </c>
      <c r="I821" s="209"/>
      <c r="J821" s="209"/>
      <c r="K821" s="177">
        <f t="shared" si="2"/>
        <v>0</v>
      </c>
      <c r="L821" s="210"/>
    </row>
    <row r="822" ht="15.75" customHeight="1">
      <c r="A822" s="1"/>
      <c r="B822" s="203"/>
      <c r="C822" s="204"/>
      <c r="D822" s="205"/>
      <c r="E822" s="206"/>
      <c r="F822" s="207"/>
      <c r="G822" s="208"/>
      <c r="H822" s="174">
        <f t="shared" si="1"/>
        <v>0</v>
      </c>
      <c r="I822" s="209"/>
      <c r="J822" s="209"/>
      <c r="K822" s="177">
        <f t="shared" si="2"/>
        <v>0</v>
      </c>
      <c r="L822" s="210"/>
    </row>
    <row r="823" ht="15.75" customHeight="1">
      <c r="A823" s="1"/>
      <c r="B823" s="203"/>
      <c r="C823" s="204"/>
      <c r="D823" s="205"/>
      <c r="E823" s="206"/>
      <c r="F823" s="207"/>
      <c r="G823" s="208"/>
      <c r="H823" s="174">
        <f t="shared" si="1"/>
        <v>0</v>
      </c>
      <c r="I823" s="209"/>
      <c r="J823" s="209"/>
      <c r="K823" s="177">
        <f t="shared" si="2"/>
        <v>0</v>
      </c>
      <c r="L823" s="210"/>
    </row>
    <row r="824" ht="15.75" customHeight="1">
      <c r="A824" s="1"/>
      <c r="B824" s="203"/>
      <c r="C824" s="204"/>
      <c r="D824" s="205"/>
      <c r="E824" s="206"/>
      <c r="F824" s="207"/>
      <c r="G824" s="208"/>
      <c r="H824" s="174">
        <f t="shared" si="1"/>
        <v>0</v>
      </c>
      <c r="I824" s="209"/>
      <c r="J824" s="209"/>
      <c r="K824" s="177">
        <f t="shared" si="2"/>
        <v>0</v>
      </c>
      <c r="L824" s="210"/>
    </row>
    <row r="825" ht="15.75" customHeight="1">
      <c r="A825" s="1"/>
      <c r="B825" s="203"/>
      <c r="C825" s="204"/>
      <c r="D825" s="205"/>
      <c r="E825" s="206"/>
      <c r="F825" s="207"/>
      <c r="G825" s="208"/>
      <c r="H825" s="174">
        <f t="shared" si="1"/>
        <v>0</v>
      </c>
      <c r="I825" s="209"/>
      <c r="J825" s="209"/>
      <c r="K825" s="177">
        <f t="shared" si="2"/>
        <v>0</v>
      </c>
      <c r="L825" s="210"/>
    </row>
    <row r="826" ht="15.75" customHeight="1">
      <c r="A826" s="1"/>
      <c r="B826" s="203"/>
      <c r="C826" s="204"/>
      <c r="D826" s="205"/>
      <c r="E826" s="206"/>
      <c r="F826" s="207"/>
      <c r="G826" s="208"/>
      <c r="H826" s="174">
        <f t="shared" si="1"/>
        <v>0</v>
      </c>
      <c r="I826" s="209"/>
      <c r="J826" s="209"/>
      <c r="K826" s="177">
        <f t="shared" si="2"/>
        <v>0</v>
      </c>
      <c r="L826" s="210"/>
    </row>
    <row r="827" ht="15.75" customHeight="1">
      <c r="A827" s="1"/>
      <c r="B827" s="203"/>
      <c r="C827" s="204"/>
      <c r="D827" s="205"/>
      <c r="E827" s="206"/>
      <c r="F827" s="207"/>
      <c r="G827" s="208"/>
      <c r="H827" s="174">
        <f t="shared" si="1"/>
        <v>0</v>
      </c>
      <c r="I827" s="209"/>
      <c r="J827" s="209"/>
      <c r="K827" s="177">
        <f t="shared" si="2"/>
        <v>0</v>
      </c>
      <c r="L827" s="210"/>
    </row>
    <row r="828" ht="15.75" customHeight="1">
      <c r="A828" s="1"/>
      <c r="B828" s="203"/>
      <c r="C828" s="204"/>
      <c r="D828" s="205"/>
      <c r="E828" s="206"/>
      <c r="F828" s="207"/>
      <c r="G828" s="208"/>
      <c r="H828" s="174">
        <f t="shared" si="1"/>
        <v>0</v>
      </c>
      <c r="I828" s="209"/>
      <c r="J828" s="209"/>
      <c r="K828" s="177">
        <f t="shared" si="2"/>
        <v>0</v>
      </c>
      <c r="L828" s="210"/>
    </row>
    <row r="829" ht="15.75" customHeight="1">
      <c r="A829" s="1"/>
      <c r="B829" s="203"/>
      <c r="C829" s="204"/>
      <c r="D829" s="205"/>
      <c r="E829" s="206"/>
      <c r="F829" s="207"/>
      <c r="G829" s="208"/>
      <c r="H829" s="174">
        <f t="shared" si="1"/>
        <v>0</v>
      </c>
      <c r="I829" s="209"/>
      <c r="J829" s="209"/>
      <c r="K829" s="177">
        <f t="shared" si="2"/>
        <v>0</v>
      </c>
      <c r="L829" s="210"/>
    </row>
    <row r="830" ht="15.75" customHeight="1">
      <c r="A830" s="1"/>
      <c r="B830" s="203"/>
      <c r="C830" s="204"/>
      <c r="D830" s="205"/>
      <c r="E830" s="206"/>
      <c r="F830" s="207"/>
      <c r="G830" s="208"/>
      <c r="H830" s="174">
        <f t="shared" si="1"/>
        <v>0</v>
      </c>
      <c r="I830" s="209"/>
      <c r="J830" s="209"/>
      <c r="K830" s="177">
        <f t="shared" si="2"/>
        <v>0</v>
      </c>
      <c r="L830" s="210"/>
    </row>
    <row r="831" ht="15.75" customHeight="1">
      <c r="A831" s="1"/>
      <c r="B831" s="203"/>
      <c r="C831" s="204"/>
      <c r="D831" s="205"/>
      <c r="E831" s="206"/>
      <c r="F831" s="207"/>
      <c r="G831" s="208"/>
      <c r="H831" s="174">
        <f t="shared" si="1"/>
        <v>0</v>
      </c>
      <c r="I831" s="209"/>
      <c r="J831" s="209"/>
      <c r="K831" s="177">
        <f t="shared" si="2"/>
        <v>0</v>
      </c>
      <c r="L831" s="210"/>
    </row>
    <row r="832" ht="15.75" customHeight="1">
      <c r="A832" s="1"/>
      <c r="B832" s="203"/>
      <c r="C832" s="204"/>
      <c r="D832" s="205"/>
      <c r="E832" s="206"/>
      <c r="F832" s="207"/>
      <c r="G832" s="208"/>
      <c r="H832" s="174">
        <f t="shared" si="1"/>
        <v>0</v>
      </c>
      <c r="I832" s="209"/>
      <c r="J832" s="209"/>
      <c r="K832" s="177">
        <f t="shared" si="2"/>
        <v>0</v>
      </c>
      <c r="L832" s="210"/>
    </row>
    <row r="833" ht="15.75" customHeight="1">
      <c r="A833" s="1"/>
      <c r="B833" s="203"/>
      <c r="C833" s="204"/>
      <c r="D833" s="205"/>
      <c r="E833" s="206"/>
      <c r="F833" s="207"/>
      <c r="G833" s="208"/>
      <c r="H833" s="174">
        <f t="shared" si="1"/>
        <v>0</v>
      </c>
      <c r="I833" s="209"/>
      <c r="J833" s="209"/>
      <c r="K833" s="177">
        <f t="shared" si="2"/>
        <v>0</v>
      </c>
      <c r="L833" s="210"/>
    </row>
    <row r="834" ht="15.75" customHeight="1">
      <c r="A834" s="1"/>
      <c r="B834" s="203"/>
      <c r="C834" s="204"/>
      <c r="D834" s="205"/>
      <c r="E834" s="206"/>
      <c r="F834" s="207"/>
      <c r="G834" s="208"/>
      <c r="H834" s="174">
        <f t="shared" si="1"/>
        <v>0</v>
      </c>
      <c r="I834" s="209"/>
      <c r="J834" s="209"/>
      <c r="K834" s="177">
        <f t="shared" si="2"/>
        <v>0</v>
      </c>
      <c r="L834" s="210"/>
    </row>
    <row r="835" ht="15.75" customHeight="1">
      <c r="A835" s="1"/>
      <c r="B835" s="203"/>
      <c r="C835" s="204"/>
      <c r="D835" s="205"/>
      <c r="E835" s="206"/>
      <c r="F835" s="207"/>
      <c r="G835" s="208"/>
      <c r="H835" s="174">
        <f t="shared" si="1"/>
        <v>0</v>
      </c>
      <c r="I835" s="209"/>
      <c r="J835" s="209"/>
      <c r="K835" s="177">
        <f t="shared" si="2"/>
        <v>0</v>
      </c>
      <c r="L835" s="210"/>
    </row>
    <row r="836" ht="15.75" customHeight="1">
      <c r="A836" s="1"/>
      <c r="B836" s="203"/>
      <c r="C836" s="204"/>
      <c r="D836" s="205"/>
      <c r="E836" s="206"/>
      <c r="F836" s="207"/>
      <c r="G836" s="208"/>
      <c r="H836" s="174">
        <f t="shared" si="1"/>
        <v>0</v>
      </c>
      <c r="I836" s="209"/>
      <c r="J836" s="209"/>
      <c r="K836" s="177">
        <f t="shared" si="2"/>
        <v>0</v>
      </c>
      <c r="L836" s="210"/>
    </row>
    <row r="837" ht="15.75" customHeight="1">
      <c r="A837" s="1"/>
      <c r="B837" s="203"/>
      <c r="C837" s="204"/>
      <c r="D837" s="205"/>
      <c r="E837" s="206"/>
      <c r="F837" s="207"/>
      <c r="G837" s="208"/>
      <c r="H837" s="174">
        <f t="shared" si="1"/>
        <v>0</v>
      </c>
      <c r="I837" s="209"/>
      <c r="J837" s="209"/>
      <c r="K837" s="177">
        <f t="shared" si="2"/>
        <v>0</v>
      </c>
      <c r="L837" s="210"/>
    </row>
    <row r="838" ht="15.75" customHeight="1">
      <c r="A838" s="1"/>
      <c r="B838" s="203"/>
      <c r="C838" s="204"/>
      <c r="D838" s="205"/>
      <c r="E838" s="206"/>
      <c r="F838" s="207"/>
      <c r="G838" s="208"/>
      <c r="H838" s="174">
        <f t="shared" si="1"/>
        <v>0</v>
      </c>
      <c r="I838" s="209"/>
      <c r="J838" s="209"/>
      <c r="K838" s="177">
        <f t="shared" si="2"/>
        <v>0</v>
      </c>
      <c r="L838" s="210"/>
    </row>
    <row r="839" ht="15.75" customHeight="1">
      <c r="A839" s="1"/>
      <c r="B839" s="203"/>
      <c r="C839" s="204"/>
      <c r="D839" s="205"/>
      <c r="E839" s="206"/>
      <c r="F839" s="207"/>
      <c r="G839" s="208"/>
      <c r="H839" s="174">
        <f t="shared" si="1"/>
        <v>0</v>
      </c>
      <c r="I839" s="209"/>
      <c r="J839" s="209"/>
      <c r="K839" s="177">
        <f t="shared" si="2"/>
        <v>0</v>
      </c>
      <c r="L839" s="210"/>
    </row>
    <row r="840" ht="15.75" customHeight="1">
      <c r="A840" s="1"/>
      <c r="B840" s="203"/>
      <c r="C840" s="204"/>
      <c r="D840" s="205"/>
      <c r="E840" s="206"/>
      <c r="F840" s="207"/>
      <c r="G840" s="208"/>
      <c r="H840" s="174">
        <f t="shared" si="1"/>
        <v>0</v>
      </c>
      <c r="I840" s="209"/>
      <c r="J840" s="209"/>
      <c r="K840" s="177">
        <f t="shared" si="2"/>
        <v>0</v>
      </c>
      <c r="L840" s="210"/>
    </row>
    <row r="841" ht="15.75" customHeight="1">
      <c r="A841" s="1"/>
      <c r="B841" s="203"/>
      <c r="C841" s="204"/>
      <c r="D841" s="205"/>
      <c r="E841" s="206"/>
      <c r="F841" s="207"/>
      <c r="G841" s="208"/>
      <c r="H841" s="174">
        <f t="shared" si="1"/>
        <v>0</v>
      </c>
      <c r="I841" s="209"/>
      <c r="J841" s="209"/>
      <c r="K841" s="177">
        <f t="shared" si="2"/>
        <v>0</v>
      </c>
      <c r="L841" s="210"/>
    </row>
    <row r="842" ht="15.75" customHeight="1">
      <c r="A842" s="1"/>
      <c r="B842" s="203"/>
      <c r="C842" s="204"/>
      <c r="D842" s="205"/>
      <c r="E842" s="206"/>
      <c r="F842" s="207"/>
      <c r="G842" s="208"/>
      <c r="H842" s="174">
        <f t="shared" si="1"/>
        <v>0</v>
      </c>
      <c r="I842" s="209"/>
      <c r="J842" s="209"/>
      <c r="K842" s="177">
        <f t="shared" si="2"/>
        <v>0</v>
      </c>
      <c r="L842" s="210"/>
    </row>
    <row r="843" ht="15.75" customHeight="1">
      <c r="A843" s="1"/>
      <c r="B843" s="203"/>
      <c r="C843" s="204"/>
      <c r="D843" s="205"/>
      <c r="E843" s="206"/>
      <c r="F843" s="207"/>
      <c r="G843" s="208"/>
      <c r="H843" s="174">
        <f t="shared" si="1"/>
        <v>0</v>
      </c>
      <c r="I843" s="209"/>
      <c r="J843" s="209"/>
      <c r="K843" s="177">
        <f t="shared" si="2"/>
        <v>0</v>
      </c>
      <c r="L843" s="210"/>
    </row>
    <row r="844" ht="15.75" customHeight="1">
      <c r="A844" s="1"/>
      <c r="B844" s="203"/>
      <c r="C844" s="204"/>
      <c r="D844" s="205"/>
      <c r="E844" s="206"/>
      <c r="F844" s="207"/>
      <c r="G844" s="208"/>
      <c r="H844" s="174">
        <f t="shared" si="1"/>
        <v>0</v>
      </c>
      <c r="I844" s="209"/>
      <c r="J844" s="209"/>
      <c r="K844" s="177">
        <f t="shared" si="2"/>
        <v>0</v>
      </c>
      <c r="L844" s="210"/>
    </row>
    <row r="845" ht="15.75" customHeight="1">
      <c r="A845" s="1"/>
      <c r="B845" s="203"/>
      <c r="C845" s="204"/>
      <c r="D845" s="205"/>
      <c r="E845" s="206"/>
      <c r="F845" s="207"/>
      <c r="G845" s="208"/>
      <c r="H845" s="174">
        <f t="shared" si="1"/>
        <v>0</v>
      </c>
      <c r="I845" s="209"/>
      <c r="J845" s="209"/>
      <c r="K845" s="177">
        <f t="shared" si="2"/>
        <v>0</v>
      </c>
      <c r="L845" s="210"/>
    </row>
    <row r="846" ht="15.75" customHeight="1">
      <c r="A846" s="1"/>
      <c r="B846" s="203"/>
      <c r="C846" s="204"/>
      <c r="D846" s="205"/>
      <c r="E846" s="206"/>
      <c r="F846" s="207"/>
      <c r="G846" s="208"/>
      <c r="H846" s="174">
        <f t="shared" si="1"/>
        <v>0</v>
      </c>
      <c r="I846" s="209"/>
      <c r="J846" s="209"/>
      <c r="K846" s="177">
        <f t="shared" si="2"/>
        <v>0</v>
      </c>
      <c r="L846" s="210"/>
    </row>
    <row r="847" ht="15.75" customHeight="1">
      <c r="A847" s="1"/>
      <c r="B847" s="203"/>
      <c r="C847" s="204"/>
      <c r="D847" s="205"/>
      <c r="E847" s="206"/>
      <c r="F847" s="207"/>
      <c r="G847" s="208"/>
      <c r="H847" s="174">
        <f t="shared" si="1"/>
        <v>0</v>
      </c>
      <c r="I847" s="209"/>
      <c r="J847" s="209"/>
      <c r="K847" s="177">
        <f t="shared" si="2"/>
        <v>0</v>
      </c>
      <c r="L847" s="210"/>
    </row>
    <row r="848" ht="15.75" customHeight="1">
      <c r="A848" s="1"/>
      <c r="B848" s="203"/>
      <c r="C848" s="204"/>
      <c r="D848" s="205"/>
      <c r="E848" s="206"/>
      <c r="F848" s="207"/>
      <c r="G848" s="208"/>
      <c r="H848" s="174">
        <f t="shared" si="1"/>
        <v>0</v>
      </c>
      <c r="I848" s="209"/>
      <c r="J848" s="209"/>
      <c r="K848" s="177">
        <f t="shared" si="2"/>
        <v>0</v>
      </c>
      <c r="L848" s="210"/>
    </row>
    <row r="849" ht="15.75" customHeight="1">
      <c r="A849" s="1"/>
      <c r="B849" s="203"/>
      <c r="C849" s="204"/>
      <c r="D849" s="205"/>
      <c r="E849" s="206"/>
      <c r="F849" s="207"/>
      <c r="G849" s="208"/>
      <c r="H849" s="174">
        <f t="shared" si="1"/>
        <v>0</v>
      </c>
      <c r="I849" s="209"/>
      <c r="J849" s="209"/>
      <c r="K849" s="177">
        <f t="shared" si="2"/>
        <v>0</v>
      </c>
      <c r="L849" s="210"/>
    </row>
    <row r="850" ht="15.75" customHeight="1">
      <c r="A850" s="1"/>
      <c r="B850" s="203"/>
      <c r="C850" s="204"/>
      <c r="D850" s="205"/>
      <c r="E850" s="206"/>
      <c r="F850" s="207"/>
      <c r="G850" s="208"/>
      <c r="H850" s="174">
        <f t="shared" si="1"/>
        <v>0</v>
      </c>
      <c r="I850" s="209"/>
      <c r="J850" s="209"/>
      <c r="K850" s="177">
        <f t="shared" si="2"/>
        <v>0</v>
      </c>
      <c r="L850" s="210"/>
    </row>
    <row r="851" ht="15.75" customHeight="1">
      <c r="A851" s="1"/>
      <c r="B851" s="203"/>
      <c r="C851" s="204"/>
      <c r="D851" s="205"/>
      <c r="E851" s="206"/>
      <c r="F851" s="207"/>
      <c r="G851" s="208"/>
      <c r="H851" s="174">
        <f t="shared" si="1"/>
        <v>0</v>
      </c>
      <c r="I851" s="209"/>
      <c r="J851" s="209"/>
      <c r="K851" s="177">
        <f t="shared" si="2"/>
        <v>0</v>
      </c>
      <c r="L851" s="210"/>
    </row>
    <row r="852" ht="15.75" customHeight="1">
      <c r="A852" s="1"/>
      <c r="B852" s="203"/>
      <c r="C852" s="204"/>
      <c r="D852" s="205"/>
      <c r="E852" s="206"/>
      <c r="F852" s="207"/>
      <c r="G852" s="208"/>
      <c r="H852" s="174">
        <f t="shared" si="1"/>
        <v>0</v>
      </c>
      <c r="I852" s="209"/>
      <c r="J852" s="209"/>
      <c r="K852" s="177">
        <f t="shared" si="2"/>
        <v>0</v>
      </c>
      <c r="L852" s="210"/>
    </row>
    <row r="853" ht="15.75" customHeight="1">
      <c r="A853" s="1"/>
      <c r="B853" s="203"/>
      <c r="C853" s="204"/>
      <c r="D853" s="205"/>
      <c r="E853" s="206"/>
      <c r="F853" s="207"/>
      <c r="G853" s="208"/>
      <c r="H853" s="174">
        <f t="shared" si="1"/>
        <v>0</v>
      </c>
      <c r="I853" s="209"/>
      <c r="J853" s="209"/>
      <c r="K853" s="177">
        <f t="shared" si="2"/>
        <v>0</v>
      </c>
      <c r="L853" s="210"/>
    </row>
    <row r="854" ht="15.75" customHeight="1">
      <c r="A854" s="1"/>
      <c r="B854" s="203"/>
      <c r="C854" s="204"/>
      <c r="D854" s="205"/>
      <c r="E854" s="206"/>
      <c r="F854" s="207"/>
      <c r="G854" s="208"/>
      <c r="H854" s="174">
        <f t="shared" si="1"/>
        <v>0</v>
      </c>
      <c r="I854" s="209"/>
      <c r="J854" s="209"/>
      <c r="K854" s="177">
        <f t="shared" si="2"/>
        <v>0</v>
      </c>
      <c r="L854" s="210"/>
    </row>
    <row r="855" ht="15.75" customHeight="1">
      <c r="A855" s="1"/>
      <c r="B855" s="203"/>
      <c r="C855" s="204"/>
      <c r="D855" s="205"/>
      <c r="E855" s="206"/>
      <c r="F855" s="207"/>
      <c r="G855" s="208"/>
      <c r="H855" s="174">
        <f t="shared" si="1"/>
        <v>0</v>
      </c>
      <c r="I855" s="209"/>
      <c r="J855" s="209"/>
      <c r="K855" s="177">
        <f t="shared" si="2"/>
        <v>0</v>
      </c>
      <c r="L855" s="210"/>
    </row>
    <row r="856" ht="15.75" customHeight="1">
      <c r="A856" s="1"/>
      <c r="B856" s="203"/>
      <c r="C856" s="204"/>
      <c r="D856" s="205"/>
      <c r="E856" s="206"/>
      <c r="F856" s="207"/>
      <c r="G856" s="208"/>
      <c r="H856" s="174">
        <f t="shared" si="1"/>
        <v>0</v>
      </c>
      <c r="I856" s="209"/>
      <c r="J856" s="209"/>
      <c r="K856" s="177">
        <f t="shared" si="2"/>
        <v>0</v>
      </c>
      <c r="L856" s="210"/>
    </row>
    <row r="857" ht="15.75" customHeight="1">
      <c r="A857" s="1"/>
      <c r="B857" s="203"/>
      <c r="C857" s="204"/>
      <c r="D857" s="205"/>
      <c r="E857" s="206"/>
      <c r="F857" s="207"/>
      <c r="G857" s="208"/>
      <c r="H857" s="174">
        <f t="shared" si="1"/>
        <v>0</v>
      </c>
      <c r="I857" s="209"/>
      <c r="J857" s="209"/>
      <c r="K857" s="177">
        <f t="shared" si="2"/>
        <v>0</v>
      </c>
      <c r="L857" s="210"/>
    </row>
    <row r="858" ht="15.75" customHeight="1">
      <c r="A858" s="1"/>
      <c r="B858" s="203"/>
      <c r="C858" s="204"/>
      <c r="D858" s="205"/>
      <c r="E858" s="206"/>
      <c r="F858" s="207"/>
      <c r="G858" s="208"/>
      <c r="H858" s="174">
        <f t="shared" si="1"/>
        <v>0</v>
      </c>
      <c r="I858" s="209"/>
      <c r="J858" s="209"/>
      <c r="K858" s="177">
        <f t="shared" si="2"/>
        <v>0</v>
      </c>
      <c r="L858" s="210"/>
    </row>
    <row r="859" ht="15.75" customHeight="1">
      <c r="A859" s="1"/>
      <c r="B859" s="203"/>
      <c r="C859" s="204"/>
      <c r="D859" s="205"/>
      <c r="E859" s="206"/>
      <c r="F859" s="207"/>
      <c r="G859" s="208"/>
      <c r="H859" s="174">
        <f t="shared" si="1"/>
        <v>0</v>
      </c>
      <c r="I859" s="209"/>
      <c r="J859" s="209"/>
      <c r="K859" s="177">
        <f t="shared" si="2"/>
        <v>0</v>
      </c>
      <c r="L859" s="210"/>
    </row>
    <row r="860" ht="15.75" customHeight="1">
      <c r="A860" s="1"/>
      <c r="B860" s="203"/>
      <c r="C860" s="204"/>
      <c r="D860" s="205"/>
      <c r="E860" s="206"/>
      <c r="F860" s="207"/>
      <c r="G860" s="208"/>
      <c r="H860" s="174">
        <f t="shared" si="1"/>
        <v>0</v>
      </c>
      <c r="I860" s="209"/>
      <c r="J860" s="209"/>
      <c r="K860" s="177">
        <f t="shared" si="2"/>
        <v>0</v>
      </c>
      <c r="L860" s="210"/>
    </row>
    <row r="861" ht="15.75" customHeight="1">
      <c r="A861" s="1"/>
      <c r="B861" s="203"/>
      <c r="C861" s="204"/>
      <c r="D861" s="205"/>
      <c r="E861" s="206"/>
      <c r="F861" s="207"/>
      <c r="G861" s="208"/>
      <c r="H861" s="174">
        <f t="shared" si="1"/>
        <v>0</v>
      </c>
      <c r="I861" s="209"/>
      <c r="J861" s="209"/>
      <c r="K861" s="177">
        <f t="shared" si="2"/>
        <v>0</v>
      </c>
      <c r="L861" s="210"/>
    </row>
    <row r="862" ht="15.75" customHeight="1">
      <c r="A862" s="1"/>
      <c r="B862" s="203"/>
      <c r="C862" s="204"/>
      <c r="D862" s="205"/>
      <c r="E862" s="206"/>
      <c r="F862" s="207"/>
      <c r="G862" s="208"/>
      <c r="H862" s="174">
        <f t="shared" si="1"/>
        <v>0</v>
      </c>
      <c r="I862" s="209"/>
      <c r="J862" s="209"/>
      <c r="K862" s="177">
        <f t="shared" si="2"/>
        <v>0</v>
      </c>
      <c r="L862" s="210"/>
    </row>
    <row r="863" ht="15.75" customHeight="1">
      <c r="A863" s="1"/>
      <c r="B863" s="203"/>
      <c r="C863" s="204"/>
      <c r="D863" s="205"/>
      <c r="E863" s="206"/>
      <c r="F863" s="207"/>
      <c r="G863" s="208"/>
      <c r="H863" s="174">
        <f t="shared" si="1"/>
        <v>0</v>
      </c>
      <c r="I863" s="209"/>
      <c r="J863" s="209"/>
      <c r="K863" s="177">
        <f t="shared" si="2"/>
        <v>0</v>
      </c>
      <c r="L863" s="210"/>
    </row>
    <row r="864" ht="15.75" customHeight="1">
      <c r="A864" s="1"/>
      <c r="B864" s="203"/>
      <c r="C864" s="204"/>
      <c r="D864" s="205"/>
      <c r="E864" s="206"/>
      <c r="F864" s="207"/>
      <c r="G864" s="208"/>
      <c r="H864" s="174">
        <f t="shared" si="1"/>
        <v>0</v>
      </c>
      <c r="I864" s="209"/>
      <c r="J864" s="209"/>
      <c r="K864" s="177">
        <f t="shared" si="2"/>
        <v>0</v>
      </c>
      <c r="L864" s="210"/>
    </row>
    <row r="865" ht="15.75" customHeight="1">
      <c r="A865" s="1"/>
      <c r="B865" s="203"/>
      <c r="C865" s="204"/>
      <c r="D865" s="205"/>
      <c r="E865" s="206"/>
      <c r="F865" s="207"/>
      <c r="G865" s="208"/>
      <c r="H865" s="174">
        <f t="shared" si="1"/>
        <v>0</v>
      </c>
      <c r="I865" s="209"/>
      <c r="J865" s="209"/>
      <c r="K865" s="177">
        <f t="shared" si="2"/>
        <v>0</v>
      </c>
      <c r="L865" s="210"/>
    </row>
    <row r="866" ht="15.75" customHeight="1">
      <c r="A866" s="1"/>
      <c r="B866" s="203"/>
      <c r="C866" s="204"/>
      <c r="D866" s="205"/>
      <c r="E866" s="206"/>
      <c r="F866" s="207"/>
      <c r="G866" s="208"/>
      <c r="H866" s="174">
        <f t="shared" si="1"/>
        <v>0</v>
      </c>
      <c r="I866" s="209"/>
      <c r="J866" s="209"/>
      <c r="K866" s="177">
        <f t="shared" si="2"/>
        <v>0</v>
      </c>
      <c r="L866" s="210"/>
    </row>
    <row r="867" ht="15.75" customHeight="1">
      <c r="A867" s="1"/>
      <c r="B867" s="203"/>
      <c r="C867" s="204"/>
      <c r="D867" s="205"/>
      <c r="E867" s="206"/>
      <c r="F867" s="207"/>
      <c r="G867" s="208"/>
      <c r="H867" s="174">
        <f t="shared" si="1"/>
        <v>0</v>
      </c>
      <c r="I867" s="209"/>
      <c r="J867" s="209"/>
      <c r="K867" s="177">
        <f t="shared" si="2"/>
        <v>0</v>
      </c>
      <c r="L867" s="210"/>
    </row>
    <row r="868" ht="15.75" customHeight="1">
      <c r="A868" s="1"/>
      <c r="B868" s="203"/>
      <c r="C868" s="204"/>
      <c r="D868" s="205"/>
      <c r="E868" s="206"/>
      <c r="F868" s="207"/>
      <c r="G868" s="208"/>
      <c r="H868" s="174">
        <f t="shared" si="1"/>
        <v>0</v>
      </c>
      <c r="I868" s="209"/>
      <c r="J868" s="209"/>
      <c r="K868" s="177">
        <f t="shared" si="2"/>
        <v>0</v>
      </c>
      <c r="L868" s="210"/>
    </row>
    <row r="869" ht="15.75" customHeight="1">
      <c r="A869" s="1"/>
      <c r="B869" s="203"/>
      <c r="C869" s="204"/>
      <c r="D869" s="205"/>
      <c r="E869" s="206"/>
      <c r="F869" s="207"/>
      <c r="G869" s="208"/>
      <c r="H869" s="174">
        <f t="shared" si="1"/>
        <v>0</v>
      </c>
      <c r="I869" s="209"/>
      <c r="J869" s="209"/>
      <c r="K869" s="177">
        <f t="shared" si="2"/>
        <v>0</v>
      </c>
      <c r="L869" s="210"/>
    </row>
    <row r="870" ht="15.75" customHeight="1">
      <c r="A870" s="1"/>
      <c r="B870" s="203"/>
      <c r="C870" s="204"/>
      <c r="D870" s="205"/>
      <c r="E870" s="206"/>
      <c r="F870" s="207"/>
      <c r="G870" s="208"/>
      <c r="H870" s="174">
        <f t="shared" si="1"/>
        <v>0</v>
      </c>
      <c r="I870" s="209"/>
      <c r="J870" s="209"/>
      <c r="K870" s="177">
        <f t="shared" si="2"/>
        <v>0</v>
      </c>
      <c r="L870" s="210"/>
    </row>
    <row r="871" ht="15.75" customHeight="1">
      <c r="A871" s="1"/>
      <c r="B871" s="203"/>
      <c r="C871" s="204"/>
      <c r="D871" s="205"/>
      <c r="E871" s="206"/>
      <c r="F871" s="207"/>
      <c r="G871" s="208"/>
      <c r="H871" s="174">
        <f t="shared" si="1"/>
        <v>0</v>
      </c>
      <c r="I871" s="209"/>
      <c r="J871" s="209"/>
      <c r="K871" s="177">
        <f t="shared" si="2"/>
        <v>0</v>
      </c>
      <c r="L871" s="210"/>
    </row>
    <row r="872" ht="15.75" customHeight="1">
      <c r="A872" s="1"/>
      <c r="B872" s="203"/>
      <c r="C872" s="204"/>
      <c r="D872" s="205"/>
      <c r="E872" s="206"/>
      <c r="F872" s="207"/>
      <c r="G872" s="208"/>
      <c r="H872" s="174">
        <f t="shared" si="1"/>
        <v>0</v>
      </c>
      <c r="I872" s="209"/>
      <c r="J872" s="209"/>
      <c r="K872" s="177">
        <f t="shared" si="2"/>
        <v>0</v>
      </c>
      <c r="L872" s="210"/>
    </row>
    <row r="873" ht="15.75" customHeight="1">
      <c r="A873" s="1"/>
      <c r="B873" s="203"/>
      <c r="C873" s="204"/>
      <c r="D873" s="205"/>
      <c r="E873" s="206"/>
      <c r="F873" s="207"/>
      <c r="G873" s="208"/>
      <c r="H873" s="174">
        <f t="shared" si="1"/>
        <v>0</v>
      </c>
      <c r="I873" s="209"/>
      <c r="J873" s="209"/>
      <c r="K873" s="177">
        <f t="shared" si="2"/>
        <v>0</v>
      </c>
      <c r="L873" s="210"/>
    </row>
    <row r="874" ht="15.75" customHeight="1">
      <c r="A874" s="1"/>
      <c r="B874" s="203"/>
      <c r="C874" s="204"/>
      <c r="D874" s="205"/>
      <c r="E874" s="206"/>
      <c r="F874" s="207"/>
      <c r="G874" s="208"/>
      <c r="H874" s="174">
        <f t="shared" si="1"/>
        <v>0</v>
      </c>
      <c r="I874" s="209"/>
      <c r="J874" s="209"/>
      <c r="K874" s="177">
        <f t="shared" si="2"/>
        <v>0</v>
      </c>
      <c r="L874" s="210"/>
    </row>
    <row r="875" ht="15.75" customHeight="1">
      <c r="A875" s="1"/>
      <c r="B875" s="203"/>
      <c r="C875" s="204"/>
      <c r="D875" s="205"/>
      <c r="E875" s="206"/>
      <c r="F875" s="207"/>
      <c r="G875" s="208"/>
      <c r="H875" s="174">
        <f t="shared" si="1"/>
        <v>0</v>
      </c>
      <c r="I875" s="209"/>
      <c r="J875" s="209"/>
      <c r="K875" s="177">
        <f t="shared" si="2"/>
        <v>0</v>
      </c>
      <c r="L875" s="210"/>
    </row>
    <row r="876" ht="15.75" customHeight="1">
      <c r="A876" s="1"/>
      <c r="B876" s="203"/>
      <c r="C876" s="204"/>
      <c r="D876" s="205"/>
      <c r="E876" s="206"/>
      <c r="F876" s="207"/>
      <c r="G876" s="208"/>
      <c r="H876" s="174">
        <f t="shared" si="1"/>
        <v>0</v>
      </c>
      <c r="I876" s="209"/>
      <c r="J876" s="209"/>
      <c r="K876" s="177">
        <f t="shared" si="2"/>
        <v>0</v>
      </c>
      <c r="L876" s="210"/>
    </row>
    <row r="877" ht="15.75" customHeight="1">
      <c r="A877" s="1"/>
      <c r="B877" s="203"/>
      <c r="C877" s="204"/>
      <c r="D877" s="205"/>
      <c r="E877" s="206"/>
      <c r="F877" s="207"/>
      <c r="G877" s="208"/>
      <c r="H877" s="174">
        <f t="shared" si="1"/>
        <v>0</v>
      </c>
      <c r="I877" s="209"/>
      <c r="J877" s="209"/>
      <c r="K877" s="177">
        <f t="shared" si="2"/>
        <v>0</v>
      </c>
      <c r="L877" s="210"/>
    </row>
    <row r="878" ht="15.75" customHeight="1">
      <c r="A878" s="1"/>
      <c r="B878" s="203"/>
      <c r="C878" s="204"/>
      <c r="D878" s="205"/>
      <c r="E878" s="206"/>
      <c r="F878" s="207"/>
      <c r="G878" s="208"/>
      <c r="H878" s="174">
        <f t="shared" si="1"/>
        <v>0</v>
      </c>
      <c r="I878" s="209"/>
      <c r="J878" s="209"/>
      <c r="K878" s="177">
        <f t="shared" si="2"/>
        <v>0</v>
      </c>
      <c r="L878" s="210"/>
    </row>
    <row r="879" ht="15.75" customHeight="1">
      <c r="A879" s="1"/>
      <c r="B879" s="203"/>
      <c r="C879" s="204"/>
      <c r="D879" s="205"/>
      <c r="E879" s="206"/>
      <c r="F879" s="207"/>
      <c r="G879" s="208"/>
      <c r="H879" s="174">
        <f t="shared" si="1"/>
        <v>0</v>
      </c>
      <c r="I879" s="209"/>
      <c r="J879" s="209"/>
      <c r="K879" s="177">
        <f t="shared" si="2"/>
        <v>0</v>
      </c>
      <c r="L879" s="210"/>
    </row>
    <row r="880" ht="15.75" customHeight="1">
      <c r="A880" s="1"/>
      <c r="B880" s="203"/>
      <c r="C880" s="204"/>
      <c r="D880" s="205"/>
      <c r="E880" s="206"/>
      <c r="F880" s="207"/>
      <c r="G880" s="208"/>
      <c r="H880" s="174">
        <f t="shared" si="1"/>
        <v>0</v>
      </c>
      <c r="I880" s="209"/>
      <c r="J880" s="209"/>
      <c r="K880" s="177">
        <f t="shared" si="2"/>
        <v>0</v>
      </c>
      <c r="L880" s="210"/>
    </row>
    <row r="881" ht="15.75" customHeight="1">
      <c r="A881" s="1"/>
      <c r="B881" s="203"/>
      <c r="C881" s="204"/>
      <c r="D881" s="205"/>
      <c r="E881" s="206"/>
      <c r="F881" s="207"/>
      <c r="G881" s="208"/>
      <c r="H881" s="174">
        <f t="shared" si="1"/>
        <v>0</v>
      </c>
      <c r="I881" s="209"/>
      <c r="J881" s="209"/>
      <c r="K881" s="177">
        <f t="shared" si="2"/>
        <v>0</v>
      </c>
      <c r="L881" s="210"/>
    </row>
    <row r="882" ht="15.75" customHeight="1">
      <c r="A882" s="1"/>
      <c r="B882" s="203"/>
      <c r="C882" s="204"/>
      <c r="D882" s="205"/>
      <c r="E882" s="206"/>
      <c r="F882" s="207"/>
      <c r="G882" s="208"/>
      <c r="H882" s="174">
        <f t="shared" si="1"/>
        <v>0</v>
      </c>
      <c r="I882" s="209"/>
      <c r="J882" s="209"/>
      <c r="K882" s="177">
        <f t="shared" si="2"/>
        <v>0</v>
      </c>
      <c r="L882" s="210"/>
    </row>
    <row r="883" ht="15.75" customHeight="1">
      <c r="A883" s="1"/>
      <c r="B883" s="203"/>
      <c r="C883" s="204"/>
      <c r="D883" s="205"/>
      <c r="E883" s="206"/>
      <c r="F883" s="207"/>
      <c r="G883" s="208"/>
      <c r="H883" s="174">
        <f t="shared" si="1"/>
        <v>0</v>
      </c>
      <c r="I883" s="209"/>
      <c r="J883" s="209"/>
      <c r="K883" s="177">
        <f t="shared" si="2"/>
        <v>0</v>
      </c>
      <c r="L883" s="210"/>
    </row>
    <row r="884" ht="15.75" customHeight="1">
      <c r="A884" s="1"/>
      <c r="B884" s="203"/>
      <c r="C884" s="204"/>
      <c r="D884" s="205"/>
      <c r="E884" s="206"/>
      <c r="F884" s="207"/>
      <c r="G884" s="208"/>
      <c r="H884" s="174">
        <f t="shared" si="1"/>
        <v>0</v>
      </c>
      <c r="I884" s="209"/>
      <c r="J884" s="209"/>
      <c r="K884" s="177">
        <f t="shared" si="2"/>
        <v>0</v>
      </c>
      <c r="L884" s="210"/>
    </row>
    <row r="885" ht="15.75" customHeight="1">
      <c r="A885" s="1"/>
      <c r="B885" s="203"/>
      <c r="C885" s="204"/>
      <c r="D885" s="205"/>
      <c r="E885" s="206"/>
      <c r="F885" s="207"/>
      <c r="G885" s="208"/>
      <c r="H885" s="174">
        <f t="shared" si="1"/>
        <v>0</v>
      </c>
      <c r="I885" s="209"/>
      <c r="J885" s="209"/>
      <c r="K885" s="177">
        <f t="shared" si="2"/>
        <v>0</v>
      </c>
      <c r="L885" s="210"/>
    </row>
    <row r="886" ht="15.75" customHeight="1">
      <c r="A886" s="1"/>
      <c r="B886" s="203"/>
      <c r="C886" s="204"/>
      <c r="D886" s="205"/>
      <c r="E886" s="206"/>
      <c r="F886" s="207"/>
      <c r="G886" s="208"/>
      <c r="H886" s="174">
        <f t="shared" si="1"/>
        <v>0</v>
      </c>
      <c r="I886" s="209"/>
      <c r="J886" s="209"/>
      <c r="K886" s="177">
        <f t="shared" si="2"/>
        <v>0</v>
      </c>
      <c r="L886" s="210"/>
    </row>
    <row r="887" ht="15.75" customHeight="1">
      <c r="A887" s="1"/>
      <c r="B887" s="203"/>
      <c r="C887" s="204"/>
      <c r="D887" s="205"/>
      <c r="E887" s="206"/>
      <c r="F887" s="207"/>
      <c r="G887" s="208"/>
      <c r="H887" s="174">
        <f t="shared" si="1"/>
        <v>0</v>
      </c>
      <c r="I887" s="209"/>
      <c r="J887" s="209"/>
      <c r="K887" s="177">
        <f t="shared" si="2"/>
        <v>0</v>
      </c>
      <c r="L887" s="210"/>
    </row>
    <row r="888" ht="15.75" customHeight="1">
      <c r="A888" s="1"/>
      <c r="B888" s="203"/>
      <c r="C888" s="204"/>
      <c r="D888" s="205"/>
      <c r="E888" s="206"/>
      <c r="F888" s="207"/>
      <c r="G888" s="208"/>
      <c r="H888" s="174">
        <f t="shared" si="1"/>
        <v>0</v>
      </c>
      <c r="I888" s="209"/>
      <c r="J888" s="209"/>
      <c r="K888" s="177">
        <f t="shared" si="2"/>
        <v>0</v>
      </c>
      <c r="L888" s="210"/>
    </row>
    <row r="889" ht="15.75" customHeight="1">
      <c r="A889" s="77"/>
      <c r="B889" s="203"/>
      <c r="C889" s="204"/>
      <c r="D889" s="205"/>
      <c r="E889" s="206"/>
      <c r="F889" s="204"/>
      <c r="G889" s="204"/>
      <c r="H889" s="174">
        <f t="shared" si="1"/>
        <v>0</v>
      </c>
      <c r="I889" s="204"/>
      <c r="J889" s="204"/>
      <c r="K889" s="177">
        <f t="shared" si="2"/>
        <v>0</v>
      </c>
      <c r="L889" s="210"/>
    </row>
    <row r="890" ht="15.75" customHeight="1">
      <c r="A890" s="77"/>
      <c r="B890" s="203"/>
      <c r="C890" s="204"/>
      <c r="D890" s="205"/>
      <c r="E890" s="206"/>
      <c r="F890" s="204"/>
      <c r="G890" s="204"/>
      <c r="H890" s="174">
        <f t="shared" si="1"/>
        <v>0</v>
      </c>
      <c r="I890" s="204"/>
      <c r="J890" s="204"/>
      <c r="K890" s="177">
        <f t="shared" si="2"/>
        <v>0</v>
      </c>
      <c r="L890" s="210"/>
    </row>
    <row r="891" ht="15.75" customHeight="1">
      <c r="A891" s="77"/>
      <c r="B891" s="203"/>
      <c r="C891" s="204"/>
      <c r="D891" s="205"/>
      <c r="E891" s="206"/>
      <c r="F891" s="204"/>
      <c r="G891" s="204"/>
      <c r="H891" s="174">
        <f t="shared" si="1"/>
        <v>0</v>
      </c>
      <c r="I891" s="204"/>
      <c r="J891" s="204"/>
      <c r="K891" s="177">
        <f t="shared" si="2"/>
        <v>0</v>
      </c>
      <c r="L891" s="210"/>
    </row>
    <row r="892" ht="15.75" customHeight="1">
      <c r="A892" s="77"/>
      <c r="B892" s="203"/>
      <c r="C892" s="204"/>
      <c r="D892" s="205"/>
      <c r="E892" s="206"/>
      <c r="F892" s="204"/>
      <c r="G892" s="204"/>
      <c r="H892" s="174">
        <f t="shared" si="1"/>
        <v>0</v>
      </c>
      <c r="I892" s="204"/>
      <c r="J892" s="204"/>
      <c r="K892" s="177">
        <f t="shared" si="2"/>
        <v>0</v>
      </c>
      <c r="L892" s="210"/>
    </row>
    <row r="893" ht="15.75" customHeight="1">
      <c r="A893" s="77"/>
      <c r="B893" s="203"/>
      <c r="C893" s="204"/>
      <c r="D893" s="205"/>
      <c r="E893" s="206"/>
      <c r="F893" s="204"/>
      <c r="G893" s="204"/>
      <c r="H893" s="174">
        <f t="shared" si="1"/>
        <v>0</v>
      </c>
      <c r="I893" s="204"/>
      <c r="J893" s="204"/>
      <c r="K893" s="177">
        <f t="shared" si="2"/>
        <v>0</v>
      </c>
      <c r="L893" s="210"/>
    </row>
    <row r="894" ht="15.75" customHeight="1">
      <c r="A894" s="77"/>
      <c r="B894" s="203"/>
      <c r="C894" s="204"/>
      <c r="D894" s="205"/>
      <c r="E894" s="206"/>
      <c r="F894" s="204"/>
      <c r="G894" s="204"/>
      <c r="H894" s="174">
        <f t="shared" si="1"/>
        <v>0</v>
      </c>
      <c r="I894" s="204"/>
      <c r="J894" s="204"/>
      <c r="K894" s="177">
        <f t="shared" si="2"/>
        <v>0</v>
      </c>
      <c r="L894" s="210"/>
    </row>
    <row r="895" ht="15.75" customHeight="1">
      <c r="A895" s="77"/>
      <c r="B895" s="203"/>
      <c r="C895" s="204"/>
      <c r="D895" s="205"/>
      <c r="E895" s="206"/>
      <c r="F895" s="204"/>
      <c r="G895" s="204"/>
      <c r="H895" s="174">
        <f t="shared" si="1"/>
        <v>0</v>
      </c>
      <c r="I895" s="204"/>
      <c r="J895" s="204"/>
      <c r="K895" s="177">
        <f t="shared" si="2"/>
        <v>0</v>
      </c>
      <c r="L895" s="210"/>
    </row>
    <row r="896" ht="15.75" customHeight="1">
      <c r="A896" s="77"/>
      <c r="B896" s="203"/>
      <c r="C896" s="204"/>
      <c r="D896" s="205"/>
      <c r="E896" s="206"/>
      <c r="F896" s="204"/>
      <c r="G896" s="204"/>
      <c r="H896" s="174">
        <f t="shared" si="1"/>
        <v>0</v>
      </c>
      <c r="I896" s="204"/>
      <c r="J896" s="204"/>
      <c r="K896" s="177">
        <f t="shared" si="2"/>
        <v>0</v>
      </c>
      <c r="L896" s="210"/>
    </row>
    <row r="897" ht="15.75" customHeight="1">
      <c r="A897" s="77"/>
      <c r="B897" s="203"/>
      <c r="C897" s="204"/>
      <c r="D897" s="205"/>
      <c r="E897" s="206"/>
      <c r="F897" s="204"/>
      <c r="G897" s="204"/>
      <c r="H897" s="174">
        <f t="shared" si="1"/>
        <v>0</v>
      </c>
      <c r="I897" s="204"/>
      <c r="J897" s="204"/>
      <c r="K897" s="177">
        <f t="shared" si="2"/>
        <v>0</v>
      </c>
      <c r="L897" s="210"/>
    </row>
    <row r="898" ht="15.75" customHeight="1">
      <c r="A898" s="77"/>
      <c r="B898" s="203"/>
      <c r="C898" s="204"/>
      <c r="D898" s="205"/>
      <c r="E898" s="206"/>
      <c r="F898" s="204"/>
      <c r="G898" s="204"/>
      <c r="H898" s="174">
        <f t="shared" si="1"/>
        <v>0</v>
      </c>
      <c r="I898" s="204"/>
      <c r="J898" s="204"/>
      <c r="K898" s="177">
        <f t="shared" si="2"/>
        <v>0</v>
      </c>
      <c r="L898" s="210"/>
    </row>
    <row r="899" ht="15.75" customHeight="1">
      <c r="A899" s="77"/>
      <c r="B899" s="203"/>
      <c r="C899" s="204"/>
      <c r="D899" s="205"/>
      <c r="E899" s="206"/>
      <c r="F899" s="204"/>
      <c r="G899" s="204"/>
      <c r="H899" s="174">
        <f t="shared" si="1"/>
        <v>0</v>
      </c>
      <c r="I899" s="204"/>
      <c r="J899" s="204"/>
      <c r="K899" s="177">
        <f t="shared" si="2"/>
        <v>0</v>
      </c>
      <c r="L899" s="210"/>
    </row>
    <row r="900" ht="15.75" customHeight="1">
      <c r="A900" s="77"/>
      <c r="B900" s="203"/>
      <c r="C900" s="204"/>
      <c r="D900" s="205"/>
      <c r="E900" s="206"/>
      <c r="F900" s="204"/>
      <c r="G900" s="204"/>
      <c r="H900" s="174">
        <f t="shared" si="1"/>
        <v>0</v>
      </c>
      <c r="I900" s="204"/>
      <c r="J900" s="204"/>
      <c r="K900" s="177">
        <f t="shared" si="2"/>
        <v>0</v>
      </c>
      <c r="L900" s="210"/>
    </row>
    <row r="901" ht="15.75" customHeight="1">
      <c r="A901" s="77"/>
      <c r="B901" s="203"/>
      <c r="C901" s="204"/>
      <c r="D901" s="205"/>
      <c r="E901" s="206"/>
      <c r="F901" s="204"/>
      <c r="G901" s="204"/>
      <c r="H901" s="174">
        <f t="shared" si="1"/>
        <v>0</v>
      </c>
      <c r="I901" s="204"/>
      <c r="J901" s="204"/>
      <c r="K901" s="177">
        <f t="shared" si="2"/>
        <v>0</v>
      </c>
      <c r="L901" s="210"/>
    </row>
    <row r="902" ht="15.75" customHeight="1">
      <c r="A902" s="77"/>
      <c r="B902" s="203"/>
      <c r="C902" s="204"/>
      <c r="D902" s="205"/>
      <c r="E902" s="206"/>
      <c r="F902" s="204"/>
      <c r="G902" s="204"/>
      <c r="H902" s="174">
        <f t="shared" si="1"/>
        <v>0</v>
      </c>
      <c r="I902" s="204"/>
      <c r="J902" s="204"/>
      <c r="K902" s="177">
        <f t="shared" si="2"/>
        <v>0</v>
      </c>
      <c r="L902" s="210"/>
    </row>
  </sheetData>
  <autoFilter ref="$B$1:$L$902"/>
  <dataValidations>
    <dataValidation type="list" allowBlank="1" showErrorMessage="1" sqref="J2:J902">
      <formula1>"2,00%,1,50%,1,00%,0,75%,0,50%"</formula1>
    </dataValidation>
    <dataValidation type="list" allowBlank="1" showErrorMessage="1" sqref="E2:E902">
      <formula1>"Poliamida,Romantic ,Suplex Zero,Boxer,Viés,Telinha,Dry Poliester,Dry Poliamida,Suplex blackout,Suede Liso,Tanga Maju,Cós Laser,Tanga Laser"</formula1>
    </dataValidation>
    <dataValidation type="list" allowBlank="1" showErrorMessage="1" sqref="I2:I902">
      <formula1>"Pago,Aguardando Pagamento"</formula1>
    </dataValidation>
    <dataValidation type="list" allowBlank="1" showErrorMessage="1" sqref="L2:L902">
      <formula1>"Janeiro,Fevereiro,Março,Abril,Maio,Junho,Julho,Agosto,Setembro,Outubro,Novembro,Dezembro"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2" max="2" width="16.75"/>
    <col customWidth="1" min="3" max="3" width="18.25"/>
    <col customWidth="1" min="4" max="4" width="21.0"/>
    <col customWidth="1" min="5" max="5" width="19.0"/>
    <col customWidth="1" min="6" max="6" width="16.63"/>
    <col customWidth="1" min="7" max="7" width="16.75"/>
    <col customWidth="1" min="8" max="8" width="17.88"/>
    <col customWidth="1" min="9" max="9" width="15.63"/>
    <col hidden="1" min="10" max="10" width="12.63"/>
    <col customWidth="1" min="11" max="11" width="15.38"/>
    <col customWidth="1" min="12" max="12" width="17.75"/>
  </cols>
  <sheetData>
    <row r="1">
      <c r="B1" s="211" t="s">
        <v>92</v>
      </c>
      <c r="C1" s="212" t="s">
        <v>1</v>
      </c>
      <c r="D1" s="212" t="s">
        <v>4</v>
      </c>
      <c r="E1" s="212" t="s">
        <v>6</v>
      </c>
      <c r="F1" s="212" t="s">
        <v>94</v>
      </c>
      <c r="G1" s="212" t="s">
        <v>119</v>
      </c>
      <c r="H1" s="212" t="s">
        <v>95</v>
      </c>
      <c r="I1" s="212" t="s">
        <v>8</v>
      </c>
      <c r="J1" s="212"/>
      <c r="K1" s="213" t="s">
        <v>120</v>
      </c>
      <c r="L1" s="213" t="s">
        <v>121</v>
      </c>
    </row>
    <row r="2" hidden="1">
      <c r="B2" s="214">
        <v>45672.0</v>
      </c>
      <c r="C2" s="215" t="s">
        <v>122</v>
      </c>
      <c r="D2" s="216" t="s">
        <v>102</v>
      </c>
      <c r="E2" s="217">
        <v>192.45</v>
      </c>
      <c r="F2" s="218">
        <v>28.4</v>
      </c>
      <c r="G2" s="219">
        <f t="shared" ref="G2:G171" si="1">E2*F2</f>
        <v>5465.58</v>
      </c>
      <c r="H2" s="216" t="s">
        <v>98</v>
      </c>
      <c r="I2" s="220">
        <v>0.02</v>
      </c>
      <c r="J2" s="220"/>
      <c r="K2" s="219">
        <f t="shared" ref="K2:K171" si="2">G2*I2</f>
        <v>109.3116</v>
      </c>
      <c r="L2" s="216" t="s">
        <v>15</v>
      </c>
    </row>
    <row r="3" hidden="1">
      <c r="B3" s="214">
        <v>45672.0</v>
      </c>
      <c r="C3" s="215" t="s">
        <v>123</v>
      </c>
      <c r="D3" s="216" t="s">
        <v>102</v>
      </c>
      <c r="E3" s="217">
        <v>18.1</v>
      </c>
      <c r="F3" s="218">
        <v>28.39</v>
      </c>
      <c r="G3" s="219">
        <f t="shared" si="1"/>
        <v>513.859</v>
      </c>
      <c r="H3" s="216" t="s">
        <v>98</v>
      </c>
      <c r="I3" s="220">
        <v>0.02</v>
      </c>
      <c r="J3" s="220"/>
      <c r="K3" s="219">
        <f t="shared" si="2"/>
        <v>10.27718</v>
      </c>
      <c r="L3" s="216" t="s">
        <v>15</v>
      </c>
    </row>
    <row r="4" hidden="1">
      <c r="B4" s="214">
        <v>45673.0</v>
      </c>
      <c r="C4" s="215" t="s">
        <v>124</v>
      </c>
      <c r="D4" s="216" t="s">
        <v>102</v>
      </c>
      <c r="E4" s="217">
        <v>74.07</v>
      </c>
      <c r="F4" s="218">
        <v>28.4</v>
      </c>
      <c r="G4" s="219">
        <f t="shared" si="1"/>
        <v>2103.588</v>
      </c>
      <c r="H4" s="216" t="s">
        <v>98</v>
      </c>
      <c r="I4" s="220">
        <v>0.02</v>
      </c>
      <c r="J4" s="220"/>
      <c r="K4" s="219">
        <f t="shared" si="2"/>
        <v>42.07176</v>
      </c>
      <c r="L4" s="216" t="s">
        <v>15</v>
      </c>
    </row>
    <row r="5" hidden="1">
      <c r="B5" s="221">
        <v>45679.0</v>
      </c>
      <c r="C5" s="215" t="s">
        <v>125</v>
      </c>
      <c r="D5" s="216" t="s">
        <v>102</v>
      </c>
      <c r="E5" s="215">
        <v>112.4</v>
      </c>
      <c r="F5" s="218">
        <v>29.9</v>
      </c>
      <c r="G5" s="219">
        <f t="shared" si="1"/>
        <v>3360.76</v>
      </c>
      <c r="H5" s="216" t="s">
        <v>98</v>
      </c>
      <c r="I5" s="220">
        <v>0.02</v>
      </c>
      <c r="J5" s="220"/>
      <c r="K5" s="219">
        <f t="shared" si="2"/>
        <v>67.2152</v>
      </c>
      <c r="L5" s="216" t="s">
        <v>15</v>
      </c>
    </row>
    <row r="6" hidden="1">
      <c r="B6" s="221">
        <v>45688.0</v>
      </c>
      <c r="C6" s="215" t="s">
        <v>125</v>
      </c>
      <c r="D6" s="216" t="s">
        <v>102</v>
      </c>
      <c r="E6" s="215">
        <v>33.6</v>
      </c>
      <c r="F6" s="218">
        <v>29.9</v>
      </c>
      <c r="G6" s="219">
        <f t="shared" si="1"/>
        <v>1004.64</v>
      </c>
      <c r="H6" s="216" t="s">
        <v>98</v>
      </c>
      <c r="I6" s="220">
        <v>0.02</v>
      </c>
      <c r="J6" s="220"/>
      <c r="K6" s="219">
        <f t="shared" si="2"/>
        <v>20.0928</v>
      </c>
      <c r="L6" s="216" t="s">
        <v>15</v>
      </c>
    </row>
    <row r="7" hidden="1">
      <c r="B7" s="222">
        <v>45671.0</v>
      </c>
      <c r="C7" s="223" t="s">
        <v>126</v>
      </c>
      <c r="D7" s="224" t="s">
        <v>102</v>
      </c>
      <c r="E7" s="225">
        <v>547.82</v>
      </c>
      <c r="F7" s="226">
        <v>28.4</v>
      </c>
      <c r="G7" s="101">
        <f t="shared" si="1"/>
        <v>15558.088</v>
      </c>
      <c r="H7" s="224" t="s">
        <v>98</v>
      </c>
      <c r="I7" s="227">
        <v>0.01</v>
      </c>
      <c r="J7" s="227"/>
      <c r="K7" s="101">
        <f t="shared" si="2"/>
        <v>155.58088</v>
      </c>
      <c r="L7" s="224" t="s">
        <v>28</v>
      </c>
    </row>
    <row r="8" hidden="1">
      <c r="B8" s="228">
        <v>45691.0</v>
      </c>
      <c r="C8" s="223" t="s">
        <v>122</v>
      </c>
      <c r="D8" s="224" t="s">
        <v>102</v>
      </c>
      <c r="E8" s="223">
        <v>185.4</v>
      </c>
      <c r="F8" s="226">
        <v>28.4</v>
      </c>
      <c r="G8" s="101">
        <f t="shared" si="1"/>
        <v>5265.36</v>
      </c>
      <c r="H8" s="224" t="s">
        <v>98</v>
      </c>
      <c r="I8" s="227">
        <v>0.01</v>
      </c>
      <c r="J8" s="227"/>
      <c r="K8" s="101">
        <f t="shared" si="2"/>
        <v>52.6536</v>
      </c>
      <c r="L8" s="224" t="s">
        <v>28</v>
      </c>
    </row>
    <row r="9" hidden="1">
      <c r="B9" s="228">
        <v>45693.0</v>
      </c>
      <c r="C9" s="114" t="s">
        <v>124</v>
      </c>
      <c r="D9" s="25" t="s">
        <v>102</v>
      </c>
      <c r="E9" s="114">
        <v>189.9</v>
      </c>
      <c r="F9" s="229">
        <v>28.4</v>
      </c>
      <c r="G9" s="101">
        <f t="shared" si="1"/>
        <v>5393.16</v>
      </c>
      <c r="H9" s="25" t="s">
        <v>98</v>
      </c>
      <c r="I9" s="230">
        <v>0.01</v>
      </c>
      <c r="J9" s="227"/>
      <c r="K9" s="101">
        <f t="shared" si="2"/>
        <v>53.9316</v>
      </c>
      <c r="L9" s="25" t="s">
        <v>28</v>
      </c>
    </row>
    <row r="10" hidden="1">
      <c r="B10" s="228">
        <v>45693.0</v>
      </c>
      <c r="C10" s="114" t="s">
        <v>122</v>
      </c>
      <c r="D10" s="25" t="s">
        <v>102</v>
      </c>
      <c r="E10" s="114">
        <v>59.66</v>
      </c>
      <c r="F10" s="229">
        <v>28.4</v>
      </c>
      <c r="G10" s="101">
        <f t="shared" si="1"/>
        <v>1694.344</v>
      </c>
      <c r="H10" s="25" t="s">
        <v>98</v>
      </c>
      <c r="I10" s="230">
        <v>0.01</v>
      </c>
      <c r="J10" s="227"/>
      <c r="K10" s="101">
        <f t="shared" si="2"/>
        <v>16.94344</v>
      </c>
      <c r="L10" s="25" t="s">
        <v>28</v>
      </c>
    </row>
    <row r="11" hidden="1">
      <c r="B11" s="228">
        <v>45694.0</v>
      </c>
      <c r="C11" s="114" t="s">
        <v>126</v>
      </c>
      <c r="D11" s="25" t="s">
        <v>102</v>
      </c>
      <c r="E11" s="114">
        <v>313.99</v>
      </c>
      <c r="F11" s="229">
        <v>28.4</v>
      </c>
      <c r="G11" s="101">
        <f t="shared" si="1"/>
        <v>8917.316</v>
      </c>
      <c r="H11" s="25" t="s">
        <v>98</v>
      </c>
      <c r="I11" s="230">
        <v>0.01</v>
      </c>
      <c r="J11" s="227"/>
      <c r="K11" s="101">
        <f t="shared" si="2"/>
        <v>89.17316</v>
      </c>
      <c r="L11" s="25" t="s">
        <v>23</v>
      </c>
    </row>
    <row r="12" hidden="1">
      <c r="B12" s="228">
        <v>45694.0</v>
      </c>
      <c r="C12" s="114" t="s">
        <v>125</v>
      </c>
      <c r="D12" s="25" t="s">
        <v>102</v>
      </c>
      <c r="E12" s="114">
        <v>36.68</v>
      </c>
      <c r="F12" s="229">
        <v>29.9</v>
      </c>
      <c r="G12" s="101">
        <f t="shared" si="1"/>
        <v>1096.732</v>
      </c>
      <c r="H12" s="25" t="s">
        <v>98</v>
      </c>
      <c r="I12" s="230">
        <v>0.02</v>
      </c>
      <c r="J12" s="227"/>
      <c r="K12" s="101">
        <f t="shared" si="2"/>
        <v>21.93464</v>
      </c>
      <c r="L12" s="25" t="s">
        <v>28</v>
      </c>
    </row>
    <row r="13" hidden="1">
      <c r="B13" s="88" t="s">
        <v>127</v>
      </c>
      <c r="C13" s="114" t="s">
        <v>125</v>
      </c>
      <c r="D13" s="25" t="s">
        <v>102</v>
      </c>
      <c r="E13" s="114">
        <v>36.62</v>
      </c>
      <c r="F13" s="229">
        <v>29.9</v>
      </c>
      <c r="G13" s="101">
        <f t="shared" si="1"/>
        <v>1094.938</v>
      </c>
      <c r="H13" s="25" t="s">
        <v>98</v>
      </c>
      <c r="I13" s="230">
        <v>0.02</v>
      </c>
      <c r="J13" s="227"/>
      <c r="K13" s="101">
        <f t="shared" si="2"/>
        <v>21.89876</v>
      </c>
      <c r="L13" s="25" t="s">
        <v>28</v>
      </c>
    </row>
    <row r="14" hidden="1">
      <c r="B14" s="88" t="s">
        <v>128</v>
      </c>
      <c r="C14" s="114" t="s">
        <v>125</v>
      </c>
      <c r="D14" s="25" t="s">
        <v>102</v>
      </c>
      <c r="E14" s="114">
        <v>37.15</v>
      </c>
      <c r="F14" s="229">
        <v>29.9</v>
      </c>
      <c r="G14" s="101">
        <f t="shared" si="1"/>
        <v>1110.785</v>
      </c>
      <c r="H14" s="25" t="s">
        <v>98</v>
      </c>
      <c r="I14" s="230">
        <v>0.02</v>
      </c>
      <c r="J14" s="227"/>
      <c r="K14" s="101">
        <f t="shared" si="2"/>
        <v>22.2157</v>
      </c>
      <c r="L14" s="25" t="s">
        <v>28</v>
      </c>
    </row>
    <row r="15" hidden="1">
      <c r="B15" s="228">
        <v>45707.0</v>
      </c>
      <c r="C15" s="114" t="s">
        <v>122</v>
      </c>
      <c r="D15" s="25" t="s">
        <v>102</v>
      </c>
      <c r="E15" s="114">
        <v>152.44</v>
      </c>
      <c r="F15" s="229">
        <v>28.4</v>
      </c>
      <c r="G15" s="101">
        <f t="shared" si="1"/>
        <v>4329.296</v>
      </c>
      <c r="H15" s="25" t="s">
        <v>98</v>
      </c>
      <c r="I15" s="230">
        <v>0.01</v>
      </c>
      <c r="J15" s="227"/>
      <c r="K15" s="101">
        <f t="shared" si="2"/>
        <v>43.29296</v>
      </c>
      <c r="L15" s="25" t="s">
        <v>28</v>
      </c>
    </row>
    <row r="16" hidden="1">
      <c r="B16" s="228">
        <v>45707.0</v>
      </c>
      <c r="C16" s="114" t="s">
        <v>126</v>
      </c>
      <c r="D16" s="25" t="s">
        <v>102</v>
      </c>
      <c r="E16" s="114">
        <v>835.22</v>
      </c>
      <c r="F16" s="229">
        <v>28.4</v>
      </c>
      <c r="G16" s="101">
        <f t="shared" si="1"/>
        <v>23720.248</v>
      </c>
      <c r="H16" s="25" t="s">
        <v>98</v>
      </c>
      <c r="I16" s="230">
        <v>0.01</v>
      </c>
      <c r="J16" s="227"/>
      <c r="K16" s="101">
        <f t="shared" si="2"/>
        <v>237.20248</v>
      </c>
      <c r="L16" s="25" t="s">
        <v>32</v>
      </c>
    </row>
    <row r="17" hidden="1">
      <c r="B17" s="228">
        <v>45708.0</v>
      </c>
      <c r="C17" s="114" t="s">
        <v>129</v>
      </c>
      <c r="D17" s="25" t="s">
        <v>102</v>
      </c>
      <c r="E17" s="114">
        <v>187.7</v>
      </c>
      <c r="F17" s="229">
        <v>26.0</v>
      </c>
      <c r="G17" s="101">
        <f t="shared" si="1"/>
        <v>4880.2</v>
      </c>
      <c r="H17" s="25" t="s">
        <v>98</v>
      </c>
      <c r="I17" s="230">
        <v>0.01</v>
      </c>
      <c r="J17" s="227"/>
      <c r="K17" s="101">
        <f t="shared" si="2"/>
        <v>48.802</v>
      </c>
      <c r="L17" s="25" t="s">
        <v>23</v>
      </c>
    </row>
    <row r="18" hidden="1">
      <c r="B18" s="228">
        <v>45709.0</v>
      </c>
      <c r="C18" s="114" t="s">
        <v>130</v>
      </c>
      <c r="D18" s="25" t="s">
        <v>102</v>
      </c>
      <c r="E18" s="114">
        <v>56.61</v>
      </c>
      <c r="F18" s="229">
        <v>29.9</v>
      </c>
      <c r="G18" s="101">
        <f t="shared" si="1"/>
        <v>1692.639</v>
      </c>
      <c r="H18" s="25" t="s">
        <v>98</v>
      </c>
      <c r="I18" s="230">
        <v>0.02</v>
      </c>
      <c r="J18" s="227"/>
      <c r="K18" s="101">
        <f t="shared" si="2"/>
        <v>33.85278</v>
      </c>
      <c r="L18" s="25" t="s">
        <v>28</v>
      </c>
    </row>
    <row r="19" hidden="1">
      <c r="B19" s="228">
        <v>45726.0</v>
      </c>
      <c r="C19" s="114" t="s">
        <v>130</v>
      </c>
      <c r="D19" s="25" t="s">
        <v>102</v>
      </c>
      <c r="E19" s="114">
        <v>74.87</v>
      </c>
      <c r="F19" s="229">
        <v>29.9</v>
      </c>
      <c r="G19" s="101">
        <f t="shared" si="1"/>
        <v>2238.613</v>
      </c>
      <c r="H19" s="25" t="s">
        <v>98</v>
      </c>
      <c r="I19" s="230">
        <v>0.02</v>
      </c>
      <c r="J19" s="227"/>
      <c r="K19" s="101">
        <f t="shared" si="2"/>
        <v>44.77226</v>
      </c>
      <c r="L19" s="25" t="s">
        <v>23</v>
      </c>
    </row>
    <row r="20" hidden="1">
      <c r="B20" s="228">
        <v>45727.0</v>
      </c>
      <c r="C20" s="114" t="s">
        <v>124</v>
      </c>
      <c r="D20" s="25" t="s">
        <v>102</v>
      </c>
      <c r="E20" s="114">
        <v>19.18</v>
      </c>
      <c r="F20" s="229">
        <v>28.9</v>
      </c>
      <c r="G20" s="101">
        <f t="shared" si="1"/>
        <v>554.302</v>
      </c>
      <c r="H20" s="25" t="s">
        <v>98</v>
      </c>
      <c r="I20" s="230">
        <v>0.02</v>
      </c>
      <c r="J20" s="227"/>
      <c r="K20" s="101">
        <f t="shared" si="2"/>
        <v>11.08604</v>
      </c>
      <c r="L20" s="25" t="s">
        <v>23</v>
      </c>
    </row>
    <row r="21" hidden="1">
      <c r="B21" s="228">
        <v>45729.0</v>
      </c>
      <c r="C21" s="114" t="s">
        <v>124</v>
      </c>
      <c r="D21" s="25" t="s">
        <v>102</v>
      </c>
      <c r="E21" s="114">
        <v>94.6</v>
      </c>
      <c r="F21" s="229">
        <v>28.9</v>
      </c>
      <c r="G21" s="101">
        <f t="shared" si="1"/>
        <v>2733.94</v>
      </c>
      <c r="H21" s="25" t="s">
        <v>98</v>
      </c>
      <c r="I21" s="230">
        <v>0.02</v>
      </c>
      <c r="J21" s="227"/>
      <c r="K21" s="101">
        <f t="shared" si="2"/>
        <v>54.6788</v>
      </c>
      <c r="L21" s="25" t="s">
        <v>23</v>
      </c>
    </row>
    <row r="22" hidden="1">
      <c r="B22" s="228">
        <v>45729.0</v>
      </c>
      <c r="C22" s="114" t="s">
        <v>124</v>
      </c>
      <c r="D22" s="25" t="s">
        <v>102</v>
      </c>
      <c r="E22" s="114">
        <v>19.13</v>
      </c>
      <c r="F22" s="229">
        <v>28.9</v>
      </c>
      <c r="G22" s="101">
        <f t="shared" si="1"/>
        <v>552.857</v>
      </c>
      <c r="H22" s="25" t="s">
        <v>98</v>
      </c>
      <c r="I22" s="230">
        <v>0.02</v>
      </c>
      <c r="J22" s="227"/>
      <c r="K22" s="101">
        <f t="shared" si="2"/>
        <v>11.05714</v>
      </c>
      <c r="L22" s="25" t="s">
        <v>23</v>
      </c>
    </row>
    <row r="23" hidden="1">
      <c r="B23" s="228">
        <v>45734.0</v>
      </c>
      <c r="C23" s="114" t="s">
        <v>125</v>
      </c>
      <c r="D23" s="25" t="s">
        <v>102</v>
      </c>
      <c r="E23" s="114">
        <v>37.81</v>
      </c>
      <c r="F23" s="229">
        <v>29.9</v>
      </c>
      <c r="G23" s="101">
        <f t="shared" si="1"/>
        <v>1130.519</v>
      </c>
      <c r="H23" s="25" t="s">
        <v>98</v>
      </c>
      <c r="I23" s="230">
        <v>0.02</v>
      </c>
      <c r="J23" s="227"/>
      <c r="K23" s="101">
        <f t="shared" si="2"/>
        <v>22.61038</v>
      </c>
      <c r="L23" s="25" t="s">
        <v>23</v>
      </c>
    </row>
    <row r="24" hidden="1">
      <c r="B24" s="228">
        <v>45736.0</v>
      </c>
      <c r="C24" s="114" t="s">
        <v>125</v>
      </c>
      <c r="D24" s="25" t="s">
        <v>102</v>
      </c>
      <c r="E24" s="114">
        <v>37.23</v>
      </c>
      <c r="F24" s="229">
        <v>29.9</v>
      </c>
      <c r="G24" s="101">
        <f t="shared" si="1"/>
        <v>1113.177</v>
      </c>
      <c r="H24" s="25" t="s">
        <v>98</v>
      </c>
      <c r="I24" s="230">
        <v>0.02</v>
      </c>
      <c r="J24" s="227"/>
      <c r="K24" s="101">
        <f t="shared" si="2"/>
        <v>22.26354</v>
      </c>
      <c r="L24" s="25" t="s">
        <v>23</v>
      </c>
    </row>
    <row r="25" hidden="1">
      <c r="B25" s="228">
        <v>45740.0</v>
      </c>
      <c r="C25" s="114" t="s">
        <v>125</v>
      </c>
      <c r="D25" s="25" t="s">
        <v>102</v>
      </c>
      <c r="E25" s="114">
        <v>376.73</v>
      </c>
      <c r="F25" s="229">
        <v>29.9</v>
      </c>
      <c r="G25" s="101">
        <f t="shared" si="1"/>
        <v>11264.227</v>
      </c>
      <c r="H25" s="25" t="s">
        <v>98</v>
      </c>
      <c r="I25" s="230">
        <v>0.02</v>
      </c>
      <c r="J25" s="227"/>
      <c r="K25" s="101">
        <f t="shared" si="2"/>
        <v>225.28454</v>
      </c>
      <c r="L25" s="25" t="s">
        <v>23</v>
      </c>
    </row>
    <row r="26" hidden="1">
      <c r="B26" s="228">
        <v>45748.0</v>
      </c>
      <c r="C26" s="114" t="s">
        <v>125</v>
      </c>
      <c r="D26" s="25" t="s">
        <v>102</v>
      </c>
      <c r="E26" s="114">
        <v>236.45</v>
      </c>
      <c r="F26" s="229">
        <v>29.9</v>
      </c>
      <c r="G26" s="101">
        <f t="shared" si="1"/>
        <v>7069.855</v>
      </c>
      <c r="H26" s="25" t="s">
        <v>98</v>
      </c>
      <c r="I26" s="230">
        <v>0.02</v>
      </c>
      <c r="J26" s="227"/>
      <c r="K26" s="101">
        <f t="shared" si="2"/>
        <v>141.3971</v>
      </c>
      <c r="L26" s="25" t="s">
        <v>32</v>
      </c>
    </row>
    <row r="27" hidden="1">
      <c r="B27" s="228">
        <v>45761.0</v>
      </c>
      <c r="C27" s="114" t="s">
        <v>125</v>
      </c>
      <c r="D27" s="25" t="s">
        <v>102</v>
      </c>
      <c r="E27" s="114">
        <v>260.49</v>
      </c>
      <c r="F27" s="229">
        <v>29.9</v>
      </c>
      <c r="G27" s="101">
        <f t="shared" si="1"/>
        <v>7788.651</v>
      </c>
      <c r="H27" s="25" t="s">
        <v>98</v>
      </c>
      <c r="I27" s="230">
        <v>0.02</v>
      </c>
      <c r="J27" s="227"/>
      <c r="K27" s="101">
        <f t="shared" si="2"/>
        <v>155.77302</v>
      </c>
      <c r="L27" s="25" t="s">
        <v>32</v>
      </c>
    </row>
    <row r="28" hidden="1">
      <c r="B28" s="228">
        <v>45763.0</v>
      </c>
      <c r="C28" s="114" t="s">
        <v>124</v>
      </c>
      <c r="D28" s="25" t="s">
        <v>102</v>
      </c>
      <c r="E28" s="114">
        <v>135.51</v>
      </c>
      <c r="F28" s="229">
        <v>28.9</v>
      </c>
      <c r="G28" s="101">
        <f t="shared" si="1"/>
        <v>3916.239</v>
      </c>
      <c r="H28" s="25" t="s">
        <v>98</v>
      </c>
      <c r="I28" s="230">
        <v>0.02</v>
      </c>
      <c r="J28" s="227"/>
      <c r="K28" s="101">
        <f t="shared" si="2"/>
        <v>78.32478</v>
      </c>
      <c r="L28" s="25" t="s">
        <v>32</v>
      </c>
      <c r="M28" s="231" t="s">
        <v>131</v>
      </c>
    </row>
    <row r="29" hidden="1">
      <c r="B29" s="228">
        <v>45771.0</v>
      </c>
      <c r="C29" s="114" t="s">
        <v>125</v>
      </c>
      <c r="D29" s="25" t="s">
        <v>102</v>
      </c>
      <c r="E29" s="114">
        <v>285.31</v>
      </c>
      <c r="F29" s="229">
        <v>29.9</v>
      </c>
      <c r="G29" s="101">
        <f t="shared" si="1"/>
        <v>8530.769</v>
      </c>
      <c r="H29" s="25" t="s">
        <v>98</v>
      </c>
      <c r="I29" s="230">
        <v>0.02</v>
      </c>
      <c r="J29" s="227"/>
      <c r="K29" s="101">
        <f t="shared" si="2"/>
        <v>170.61538</v>
      </c>
      <c r="L29" s="25" t="s">
        <v>32</v>
      </c>
    </row>
    <row r="30" hidden="1">
      <c r="B30" s="228">
        <v>45806.0</v>
      </c>
      <c r="C30" s="114" t="s">
        <v>125</v>
      </c>
      <c r="D30" s="25" t="s">
        <v>102</v>
      </c>
      <c r="E30" s="114">
        <v>191.71</v>
      </c>
      <c r="F30" s="229">
        <v>29.9</v>
      </c>
      <c r="G30" s="101">
        <f t="shared" si="1"/>
        <v>5732.129</v>
      </c>
      <c r="H30" s="25" t="s">
        <v>98</v>
      </c>
      <c r="I30" s="230">
        <v>0.02</v>
      </c>
      <c r="J30" s="227"/>
      <c r="K30" s="101">
        <f t="shared" si="2"/>
        <v>114.64258</v>
      </c>
      <c r="L30" s="25" t="s">
        <v>32</v>
      </c>
    </row>
    <row r="31" hidden="1">
      <c r="B31" s="228">
        <v>45778.0</v>
      </c>
      <c r="C31" s="114" t="s">
        <v>124</v>
      </c>
      <c r="D31" s="25" t="s">
        <v>102</v>
      </c>
      <c r="E31" s="232">
        <v>38.9</v>
      </c>
      <c r="F31" s="229">
        <v>28.9</v>
      </c>
      <c r="G31" s="101">
        <f t="shared" si="1"/>
        <v>1124.21</v>
      </c>
      <c r="H31" s="25" t="s">
        <v>98</v>
      </c>
      <c r="I31" s="230">
        <v>0.02</v>
      </c>
      <c r="J31" s="227"/>
      <c r="K31" s="101">
        <f t="shared" si="2"/>
        <v>22.4842</v>
      </c>
      <c r="L31" s="25" t="s">
        <v>42</v>
      </c>
      <c r="M31" s="50" t="s">
        <v>132</v>
      </c>
    </row>
    <row r="32" hidden="1">
      <c r="B32" s="228">
        <v>45789.0</v>
      </c>
      <c r="C32" s="114" t="s">
        <v>125</v>
      </c>
      <c r="D32" s="25" t="s">
        <v>102</v>
      </c>
      <c r="E32" s="232">
        <v>153.09</v>
      </c>
      <c r="F32" s="229">
        <v>29.9</v>
      </c>
      <c r="G32" s="101">
        <f t="shared" si="1"/>
        <v>4577.391</v>
      </c>
      <c r="H32" s="25" t="s">
        <v>98</v>
      </c>
      <c r="I32" s="230">
        <v>0.02</v>
      </c>
      <c r="J32" s="227"/>
      <c r="K32" s="101">
        <f t="shared" si="2"/>
        <v>91.54782</v>
      </c>
      <c r="L32" s="25" t="s">
        <v>42</v>
      </c>
    </row>
    <row r="33" hidden="1">
      <c r="B33" s="228">
        <v>45791.0</v>
      </c>
      <c r="C33" s="114" t="s">
        <v>125</v>
      </c>
      <c r="D33" s="25" t="s">
        <v>102</v>
      </c>
      <c r="E33" s="232">
        <v>151.39</v>
      </c>
      <c r="F33" s="229">
        <v>29.9</v>
      </c>
      <c r="G33" s="101">
        <f t="shared" si="1"/>
        <v>4526.561</v>
      </c>
      <c r="H33" s="25" t="s">
        <v>98</v>
      </c>
      <c r="I33" s="230">
        <v>0.02</v>
      </c>
      <c r="J33" s="227"/>
      <c r="K33" s="101">
        <f t="shared" si="2"/>
        <v>90.53122</v>
      </c>
      <c r="L33" s="25" t="s">
        <v>42</v>
      </c>
    </row>
    <row r="34" hidden="1">
      <c r="B34" s="228">
        <v>45799.0</v>
      </c>
      <c r="C34" s="114" t="s">
        <v>125</v>
      </c>
      <c r="D34" s="25" t="s">
        <v>102</v>
      </c>
      <c r="E34" s="232">
        <v>189.14</v>
      </c>
      <c r="F34" s="229">
        <v>29.0</v>
      </c>
      <c r="G34" s="101">
        <f t="shared" si="1"/>
        <v>5485.06</v>
      </c>
      <c r="H34" s="25" t="s">
        <v>98</v>
      </c>
      <c r="I34" s="230">
        <v>0.02</v>
      </c>
      <c r="J34" s="227"/>
      <c r="K34" s="101">
        <f t="shared" si="2"/>
        <v>109.7012</v>
      </c>
      <c r="L34" s="25" t="s">
        <v>42</v>
      </c>
    </row>
    <row r="35" hidden="1">
      <c r="B35" s="228">
        <v>45810.0</v>
      </c>
      <c r="C35" s="114" t="s">
        <v>125</v>
      </c>
      <c r="D35" s="25" t="s">
        <v>102</v>
      </c>
      <c r="E35" s="232">
        <v>289.31</v>
      </c>
      <c r="F35" s="229">
        <v>29.0</v>
      </c>
      <c r="G35" s="101">
        <f t="shared" si="1"/>
        <v>8389.99</v>
      </c>
      <c r="H35" s="25" t="s">
        <v>98</v>
      </c>
      <c r="I35" s="230">
        <v>0.02</v>
      </c>
      <c r="J35" s="227"/>
      <c r="K35" s="101">
        <f t="shared" si="2"/>
        <v>167.7998</v>
      </c>
      <c r="L35" s="25" t="s">
        <v>42</v>
      </c>
    </row>
    <row r="36" hidden="1">
      <c r="B36" s="228">
        <v>45818.0</v>
      </c>
      <c r="C36" s="114" t="s">
        <v>126</v>
      </c>
      <c r="D36" s="25" t="s">
        <v>109</v>
      </c>
      <c r="E36" s="232">
        <v>300.0</v>
      </c>
      <c r="F36" s="229">
        <v>41.74</v>
      </c>
      <c r="G36" s="101">
        <f t="shared" si="1"/>
        <v>12522</v>
      </c>
      <c r="H36" s="25" t="s">
        <v>98</v>
      </c>
      <c r="I36" s="230">
        <v>0.01</v>
      </c>
      <c r="J36" s="227"/>
      <c r="K36" s="101">
        <f t="shared" si="2"/>
        <v>125.22</v>
      </c>
      <c r="L36" s="25" t="s">
        <v>42</v>
      </c>
    </row>
    <row r="37" hidden="1">
      <c r="B37" s="233"/>
      <c r="C37" s="114" t="s">
        <v>125</v>
      </c>
      <c r="D37" s="25" t="s">
        <v>109</v>
      </c>
      <c r="E37" s="232">
        <v>300.0</v>
      </c>
      <c r="F37" s="229">
        <v>41.74</v>
      </c>
      <c r="G37" s="101">
        <f t="shared" si="1"/>
        <v>12522</v>
      </c>
      <c r="H37" s="25" t="s">
        <v>98</v>
      </c>
      <c r="I37" s="230">
        <v>0.01</v>
      </c>
      <c r="J37" s="223"/>
      <c r="K37" s="101">
        <f t="shared" si="2"/>
        <v>125.22</v>
      </c>
      <c r="L37" s="25" t="s">
        <v>38</v>
      </c>
    </row>
    <row r="38" hidden="1">
      <c r="B38" s="228">
        <v>45852.0</v>
      </c>
      <c r="C38" s="114" t="s">
        <v>125</v>
      </c>
      <c r="D38" s="25" t="s">
        <v>102</v>
      </c>
      <c r="E38" s="114">
        <v>117.89</v>
      </c>
      <c r="F38" s="229">
        <v>29.0</v>
      </c>
      <c r="G38" s="101">
        <f t="shared" si="1"/>
        <v>3418.81</v>
      </c>
      <c r="H38" s="25" t="s">
        <v>98</v>
      </c>
      <c r="I38" s="230">
        <v>0.02</v>
      </c>
      <c r="J38" s="223"/>
      <c r="K38" s="101">
        <f t="shared" si="2"/>
        <v>68.3762</v>
      </c>
      <c r="L38" s="25" t="s">
        <v>47</v>
      </c>
      <c r="N38" s="162" t="s">
        <v>81</v>
      </c>
    </row>
    <row r="39" hidden="1">
      <c r="B39" s="228">
        <v>45853.0</v>
      </c>
      <c r="C39" s="114" t="s">
        <v>26</v>
      </c>
      <c r="D39" s="25" t="s">
        <v>133</v>
      </c>
      <c r="E39" s="232">
        <v>120.0</v>
      </c>
      <c r="F39" s="229">
        <v>17.5</v>
      </c>
      <c r="G39" s="101">
        <f t="shared" si="1"/>
        <v>2100</v>
      </c>
      <c r="H39" s="25" t="s">
        <v>98</v>
      </c>
      <c r="I39" s="230">
        <v>0.02</v>
      </c>
      <c r="J39" s="223"/>
      <c r="K39" s="101">
        <f t="shared" si="2"/>
        <v>42</v>
      </c>
      <c r="L39" s="25" t="s">
        <v>47</v>
      </c>
    </row>
    <row r="40" hidden="1">
      <c r="B40" s="228">
        <v>45853.0</v>
      </c>
      <c r="C40" s="114" t="s">
        <v>26</v>
      </c>
      <c r="D40" s="25" t="s">
        <v>133</v>
      </c>
      <c r="E40" s="232">
        <v>40.0</v>
      </c>
      <c r="F40" s="229">
        <v>17.5</v>
      </c>
      <c r="G40" s="101">
        <f t="shared" si="1"/>
        <v>700</v>
      </c>
      <c r="H40" s="25" t="s">
        <v>98</v>
      </c>
      <c r="I40" s="230">
        <v>0.02</v>
      </c>
      <c r="J40" s="223"/>
      <c r="K40" s="101">
        <f t="shared" si="2"/>
        <v>14</v>
      </c>
      <c r="L40" s="25" t="s">
        <v>47</v>
      </c>
    </row>
    <row r="41" hidden="1">
      <c r="B41" s="228">
        <v>45853.0</v>
      </c>
      <c r="C41" s="114" t="s">
        <v>26</v>
      </c>
      <c r="D41" s="25" t="s">
        <v>134</v>
      </c>
      <c r="E41" s="232">
        <v>4000.0</v>
      </c>
      <c r="F41" s="229">
        <v>1.75</v>
      </c>
      <c r="G41" s="101">
        <f t="shared" si="1"/>
        <v>7000</v>
      </c>
      <c r="H41" s="25" t="s">
        <v>98</v>
      </c>
      <c r="I41" s="230">
        <v>0.02</v>
      </c>
      <c r="J41" s="223"/>
      <c r="K41" s="101">
        <f t="shared" si="2"/>
        <v>140</v>
      </c>
      <c r="L41" s="25" t="s">
        <v>69</v>
      </c>
    </row>
    <row r="42" hidden="1">
      <c r="B42" s="228">
        <v>45860.0</v>
      </c>
      <c r="C42" s="114" t="s">
        <v>60</v>
      </c>
      <c r="D42" s="25" t="s">
        <v>102</v>
      </c>
      <c r="E42" s="232">
        <v>341.28</v>
      </c>
      <c r="F42" s="229">
        <v>29.0</v>
      </c>
      <c r="G42" s="101">
        <f t="shared" si="1"/>
        <v>9897.12</v>
      </c>
      <c r="H42" s="25" t="s">
        <v>98</v>
      </c>
      <c r="I42" s="230">
        <v>0.02</v>
      </c>
      <c r="J42" s="223"/>
      <c r="K42" s="101">
        <f t="shared" si="2"/>
        <v>197.9424</v>
      </c>
      <c r="L42" s="25" t="s">
        <v>47</v>
      </c>
    </row>
    <row r="43" hidden="1">
      <c r="B43" s="228">
        <v>45860.0</v>
      </c>
      <c r="C43" s="114" t="s">
        <v>60</v>
      </c>
      <c r="D43" s="25" t="s">
        <v>97</v>
      </c>
      <c r="E43" s="232">
        <v>66.85</v>
      </c>
      <c r="F43" s="229">
        <v>53.9</v>
      </c>
      <c r="G43" s="101">
        <f t="shared" si="1"/>
        <v>3603.215</v>
      </c>
      <c r="H43" s="25" t="s">
        <v>98</v>
      </c>
      <c r="I43" s="230">
        <v>0.02</v>
      </c>
      <c r="J43" s="223"/>
      <c r="K43" s="101">
        <f t="shared" si="2"/>
        <v>72.0643</v>
      </c>
      <c r="L43" s="25"/>
    </row>
    <row r="44" hidden="1">
      <c r="B44" s="228">
        <v>45867.0</v>
      </c>
      <c r="C44" s="114" t="s">
        <v>61</v>
      </c>
      <c r="D44" s="25" t="s">
        <v>102</v>
      </c>
      <c r="E44" s="232">
        <v>763.47</v>
      </c>
      <c r="F44" s="229">
        <v>27.9</v>
      </c>
      <c r="G44" s="101">
        <f t="shared" si="1"/>
        <v>21300.813</v>
      </c>
      <c r="H44" s="25" t="s">
        <v>135</v>
      </c>
      <c r="I44" s="230">
        <v>0.01</v>
      </c>
      <c r="J44" s="223"/>
      <c r="K44" s="101">
        <f t="shared" si="2"/>
        <v>213.00813</v>
      </c>
      <c r="L44" s="25"/>
    </row>
    <row r="45" hidden="1">
      <c r="B45" s="234">
        <v>45873.0</v>
      </c>
      <c r="C45" s="25" t="s">
        <v>60</v>
      </c>
      <c r="D45" s="25" t="s">
        <v>102</v>
      </c>
      <c r="E45" s="235">
        <v>285.09</v>
      </c>
      <c r="F45" s="100">
        <v>29.0</v>
      </c>
      <c r="G45" s="101">
        <f t="shared" si="1"/>
        <v>8267.61</v>
      </c>
      <c r="H45" s="25" t="s">
        <v>98</v>
      </c>
      <c r="I45" s="230">
        <v>0.02</v>
      </c>
      <c r="J45" s="224"/>
      <c r="K45" s="101">
        <f t="shared" si="2"/>
        <v>165.3522</v>
      </c>
      <c r="L45" s="25"/>
    </row>
    <row r="46" hidden="1">
      <c r="B46" s="234">
        <v>45873.0</v>
      </c>
      <c r="C46" s="25" t="s">
        <v>60</v>
      </c>
      <c r="D46" s="25" t="s">
        <v>133</v>
      </c>
      <c r="E46" s="235">
        <v>120.0</v>
      </c>
      <c r="F46" s="100">
        <v>17.5</v>
      </c>
      <c r="G46" s="101">
        <f t="shared" si="1"/>
        <v>2100</v>
      </c>
      <c r="H46" s="25" t="s">
        <v>135</v>
      </c>
      <c r="I46" s="230">
        <v>0.02</v>
      </c>
      <c r="J46" s="224"/>
      <c r="K46" s="101">
        <f t="shared" si="2"/>
        <v>42</v>
      </c>
      <c r="L46" s="25"/>
    </row>
    <row r="47" hidden="1">
      <c r="B47" s="234">
        <v>45877.0</v>
      </c>
      <c r="C47" s="25" t="s">
        <v>124</v>
      </c>
      <c r="D47" s="25" t="s">
        <v>102</v>
      </c>
      <c r="E47" s="235">
        <v>18.71</v>
      </c>
      <c r="F47" s="100">
        <v>27.9</v>
      </c>
      <c r="G47" s="101">
        <f t="shared" si="1"/>
        <v>522.009</v>
      </c>
      <c r="H47" s="25" t="s">
        <v>98</v>
      </c>
      <c r="I47" s="230">
        <v>0.01</v>
      </c>
      <c r="J47" s="224"/>
      <c r="K47" s="101">
        <f t="shared" si="2"/>
        <v>5.22009</v>
      </c>
      <c r="L47" s="25"/>
    </row>
    <row r="48" hidden="1">
      <c r="B48" s="234">
        <v>45881.0</v>
      </c>
      <c r="C48" s="25" t="s">
        <v>136</v>
      </c>
      <c r="D48" s="25" t="s">
        <v>102</v>
      </c>
      <c r="E48" s="235">
        <v>387.65</v>
      </c>
      <c r="F48" s="100">
        <v>27.9</v>
      </c>
      <c r="G48" s="101">
        <f t="shared" si="1"/>
        <v>10815.435</v>
      </c>
      <c r="H48" s="25" t="s">
        <v>135</v>
      </c>
      <c r="I48" s="230">
        <v>0.01</v>
      </c>
      <c r="J48" s="224"/>
      <c r="K48" s="101">
        <f t="shared" si="2"/>
        <v>108.15435</v>
      </c>
      <c r="L48" s="25"/>
    </row>
    <row r="49" hidden="1">
      <c r="B49" s="234">
        <v>45877.0</v>
      </c>
      <c r="C49" s="25" t="s">
        <v>60</v>
      </c>
      <c r="D49" s="25" t="s">
        <v>102</v>
      </c>
      <c r="E49" s="235">
        <v>576.64</v>
      </c>
      <c r="F49" s="100">
        <v>29.0</v>
      </c>
      <c r="G49" s="101">
        <f t="shared" si="1"/>
        <v>16722.56</v>
      </c>
      <c r="H49" s="25" t="s">
        <v>98</v>
      </c>
      <c r="I49" s="230">
        <v>0.02</v>
      </c>
      <c r="J49" s="224"/>
      <c r="K49" s="101">
        <f t="shared" si="2"/>
        <v>334.4512</v>
      </c>
      <c r="L49" s="25"/>
    </row>
    <row r="50" hidden="1">
      <c r="B50" s="234">
        <v>45883.0</v>
      </c>
      <c r="C50" s="25" t="s">
        <v>124</v>
      </c>
      <c r="D50" s="25" t="s">
        <v>102</v>
      </c>
      <c r="E50" s="235">
        <v>18.73</v>
      </c>
      <c r="F50" s="100">
        <v>27.9</v>
      </c>
      <c r="G50" s="101">
        <f t="shared" si="1"/>
        <v>522.567</v>
      </c>
      <c r="H50" s="25" t="s">
        <v>98</v>
      </c>
      <c r="I50" s="230">
        <v>0.01</v>
      </c>
      <c r="J50" s="224"/>
      <c r="K50" s="101">
        <f t="shared" si="2"/>
        <v>5.22567</v>
      </c>
      <c r="L50" s="25"/>
    </row>
    <row r="51" hidden="1">
      <c r="B51" s="234">
        <v>45884.0</v>
      </c>
      <c r="C51" s="25" t="s">
        <v>124</v>
      </c>
      <c r="D51" s="25" t="s">
        <v>102</v>
      </c>
      <c r="E51" s="235">
        <v>16.67</v>
      </c>
      <c r="F51" s="100">
        <v>27.9</v>
      </c>
      <c r="G51" s="101">
        <f t="shared" si="1"/>
        <v>465.093</v>
      </c>
      <c r="H51" s="25" t="s">
        <v>98</v>
      </c>
      <c r="I51" s="230">
        <v>0.01</v>
      </c>
      <c r="J51" s="224"/>
      <c r="K51" s="101">
        <f t="shared" si="2"/>
        <v>4.65093</v>
      </c>
      <c r="L51" s="25"/>
    </row>
    <row r="52" hidden="1">
      <c r="B52" s="234">
        <v>45887.0</v>
      </c>
      <c r="C52" s="25" t="s">
        <v>60</v>
      </c>
      <c r="D52" s="25" t="s">
        <v>102</v>
      </c>
      <c r="E52" s="235">
        <v>478.49</v>
      </c>
      <c r="F52" s="100">
        <v>29.0</v>
      </c>
      <c r="G52" s="101">
        <f t="shared" si="1"/>
        <v>13876.21</v>
      </c>
      <c r="H52" s="25" t="s">
        <v>135</v>
      </c>
      <c r="I52" s="230">
        <v>0.02</v>
      </c>
      <c r="J52" s="224"/>
      <c r="K52" s="101">
        <f t="shared" si="2"/>
        <v>277.5242</v>
      </c>
      <c r="L52" s="25"/>
    </row>
    <row r="53" hidden="1">
      <c r="B53" s="234">
        <v>45890.0</v>
      </c>
      <c r="C53" s="25" t="s">
        <v>60</v>
      </c>
      <c r="D53" s="25" t="s">
        <v>102</v>
      </c>
      <c r="E53" s="235">
        <v>150.2</v>
      </c>
      <c r="F53" s="100">
        <v>29.0</v>
      </c>
      <c r="G53" s="101">
        <f t="shared" si="1"/>
        <v>4355.8</v>
      </c>
      <c r="H53" s="25" t="s">
        <v>135</v>
      </c>
      <c r="I53" s="230">
        <v>0.02</v>
      </c>
      <c r="J53" s="224"/>
      <c r="K53" s="101">
        <f t="shared" si="2"/>
        <v>87.116</v>
      </c>
      <c r="L53" s="25"/>
    </row>
    <row r="54" hidden="1">
      <c r="B54" s="234">
        <v>45891.0</v>
      </c>
      <c r="C54" s="25" t="s">
        <v>26</v>
      </c>
      <c r="D54" s="25" t="s">
        <v>133</v>
      </c>
      <c r="E54" s="235">
        <v>200.0</v>
      </c>
      <c r="F54" s="100">
        <v>17.5</v>
      </c>
      <c r="G54" s="101">
        <f t="shared" si="1"/>
        <v>3500</v>
      </c>
      <c r="H54" s="25" t="s">
        <v>98</v>
      </c>
      <c r="I54" s="230">
        <v>0.02</v>
      </c>
      <c r="J54" s="224"/>
      <c r="K54" s="101">
        <f t="shared" si="2"/>
        <v>70</v>
      </c>
      <c r="L54" s="25"/>
    </row>
    <row r="55" hidden="1">
      <c r="B55" s="236">
        <v>45896.0</v>
      </c>
      <c r="C55" s="237" t="s">
        <v>60</v>
      </c>
      <c r="D55" s="237" t="s">
        <v>102</v>
      </c>
      <c r="E55" s="238">
        <v>495.45</v>
      </c>
      <c r="F55" s="239">
        <v>29.0</v>
      </c>
      <c r="G55" s="240">
        <f t="shared" si="1"/>
        <v>14368.05</v>
      </c>
      <c r="H55" s="237" t="s">
        <v>135</v>
      </c>
      <c r="I55" s="241">
        <v>0.02</v>
      </c>
      <c r="J55" s="242"/>
      <c r="K55" s="240">
        <f t="shared" si="2"/>
        <v>287.361</v>
      </c>
      <c r="L55" s="237"/>
    </row>
    <row r="56" hidden="1">
      <c r="B56" s="234">
        <v>45901.0</v>
      </c>
      <c r="C56" s="25" t="s">
        <v>124</v>
      </c>
      <c r="D56" s="25" t="s">
        <v>102</v>
      </c>
      <c r="E56" s="235">
        <v>231.01</v>
      </c>
      <c r="F56" s="100">
        <v>27.9</v>
      </c>
      <c r="G56" s="101">
        <f t="shared" si="1"/>
        <v>6445.179</v>
      </c>
      <c r="H56" s="25" t="s">
        <v>135</v>
      </c>
      <c r="I56" s="230">
        <v>0.01</v>
      </c>
      <c r="J56" s="224"/>
      <c r="K56" s="101">
        <f t="shared" si="2"/>
        <v>64.45179</v>
      </c>
      <c r="L56" s="25"/>
    </row>
    <row r="57" hidden="1">
      <c r="B57" s="236">
        <v>45902.0</v>
      </c>
      <c r="C57" s="237" t="s">
        <v>125</v>
      </c>
      <c r="D57" s="237" t="s">
        <v>102</v>
      </c>
      <c r="E57" s="238">
        <v>154.69</v>
      </c>
      <c r="F57" s="239">
        <v>29.0</v>
      </c>
      <c r="G57" s="240">
        <f t="shared" si="1"/>
        <v>4486.01</v>
      </c>
      <c r="H57" s="237" t="s">
        <v>135</v>
      </c>
      <c r="I57" s="241">
        <v>0.02</v>
      </c>
      <c r="J57" s="242"/>
      <c r="K57" s="240">
        <f t="shared" si="2"/>
        <v>89.7202</v>
      </c>
      <c r="L57" s="237"/>
    </row>
    <row r="58" hidden="1">
      <c r="B58" s="234">
        <v>45902.0</v>
      </c>
      <c r="C58" s="25" t="s">
        <v>136</v>
      </c>
      <c r="D58" s="25" t="s">
        <v>102</v>
      </c>
      <c r="E58" s="235">
        <v>376.95</v>
      </c>
      <c r="F58" s="100">
        <v>27.9</v>
      </c>
      <c r="G58" s="101">
        <f t="shared" si="1"/>
        <v>10516.905</v>
      </c>
      <c r="H58" s="25" t="s">
        <v>135</v>
      </c>
      <c r="I58" s="230">
        <v>0.01</v>
      </c>
      <c r="J58" s="224"/>
      <c r="K58" s="101">
        <f t="shared" si="2"/>
        <v>105.16905</v>
      </c>
      <c r="L58" s="25"/>
    </row>
    <row r="59" hidden="1">
      <c r="B59" s="234">
        <v>45902.0</v>
      </c>
      <c r="C59" s="25" t="s">
        <v>125</v>
      </c>
      <c r="D59" s="25" t="s">
        <v>133</v>
      </c>
      <c r="E59" s="235">
        <v>200.0</v>
      </c>
      <c r="F59" s="100">
        <v>17.5</v>
      </c>
      <c r="G59" s="101">
        <f t="shared" si="1"/>
        <v>3500</v>
      </c>
      <c r="H59" s="25" t="s">
        <v>98</v>
      </c>
      <c r="I59" s="230">
        <v>0.02</v>
      </c>
      <c r="J59" s="224"/>
      <c r="K59" s="101">
        <f t="shared" si="2"/>
        <v>70</v>
      </c>
      <c r="L59" s="25"/>
    </row>
    <row r="60" hidden="1">
      <c r="B60" s="234">
        <v>45908.0</v>
      </c>
      <c r="C60" s="25" t="s">
        <v>136</v>
      </c>
      <c r="D60" s="25" t="s">
        <v>102</v>
      </c>
      <c r="E60" s="235">
        <v>393.5</v>
      </c>
      <c r="F60" s="100">
        <v>27.9</v>
      </c>
      <c r="G60" s="101">
        <f t="shared" si="1"/>
        <v>10978.65</v>
      </c>
      <c r="H60" s="25" t="s">
        <v>135</v>
      </c>
      <c r="I60" s="230">
        <v>0.01</v>
      </c>
      <c r="J60" s="224"/>
      <c r="K60" s="101">
        <f t="shared" si="2"/>
        <v>109.7865</v>
      </c>
      <c r="L60" s="25"/>
    </row>
    <row r="61" hidden="1">
      <c r="B61" s="236">
        <v>45908.0</v>
      </c>
      <c r="C61" s="237" t="s">
        <v>60</v>
      </c>
      <c r="D61" s="237" t="s">
        <v>102</v>
      </c>
      <c r="E61" s="238">
        <v>194.45</v>
      </c>
      <c r="F61" s="239">
        <v>29.0</v>
      </c>
      <c r="G61" s="240">
        <f t="shared" si="1"/>
        <v>5639.05</v>
      </c>
      <c r="H61" s="237" t="s">
        <v>135</v>
      </c>
      <c r="I61" s="241">
        <v>0.02</v>
      </c>
      <c r="J61" s="242"/>
      <c r="K61" s="240">
        <f t="shared" si="2"/>
        <v>112.781</v>
      </c>
      <c r="L61" s="237"/>
    </row>
    <row r="62" hidden="1">
      <c r="B62" s="234">
        <v>45910.0</v>
      </c>
      <c r="C62" s="25" t="s">
        <v>137</v>
      </c>
      <c r="D62" s="25" t="s">
        <v>102</v>
      </c>
      <c r="E62" s="235">
        <v>173.78</v>
      </c>
      <c r="F62" s="100">
        <v>27.9</v>
      </c>
      <c r="G62" s="101">
        <f t="shared" si="1"/>
        <v>4848.462</v>
      </c>
      <c r="H62" s="25" t="s">
        <v>135</v>
      </c>
      <c r="I62" s="230">
        <v>0.01</v>
      </c>
      <c r="J62" s="224"/>
      <c r="K62" s="101">
        <f t="shared" si="2"/>
        <v>48.48462</v>
      </c>
      <c r="L62" s="25"/>
    </row>
    <row r="63" hidden="1">
      <c r="B63" s="234">
        <v>45910.0</v>
      </c>
      <c r="C63" s="25" t="s">
        <v>138</v>
      </c>
      <c r="D63" s="25" t="s">
        <v>97</v>
      </c>
      <c r="E63" s="235">
        <v>54.8</v>
      </c>
      <c r="F63" s="100">
        <v>53.9</v>
      </c>
      <c r="G63" s="101">
        <f t="shared" si="1"/>
        <v>2953.72</v>
      </c>
      <c r="H63" s="25" t="s">
        <v>98</v>
      </c>
      <c r="I63" s="230">
        <v>0.02</v>
      </c>
      <c r="J63" s="224"/>
      <c r="K63" s="101">
        <f t="shared" si="2"/>
        <v>59.0744</v>
      </c>
      <c r="L63" s="25"/>
    </row>
    <row r="64" hidden="1">
      <c r="B64" s="234">
        <v>45911.0</v>
      </c>
      <c r="C64" s="25" t="s">
        <v>138</v>
      </c>
      <c r="D64" s="25" t="s">
        <v>97</v>
      </c>
      <c r="E64" s="235">
        <v>13.82</v>
      </c>
      <c r="F64" s="100">
        <v>53.9</v>
      </c>
      <c r="G64" s="101">
        <f t="shared" si="1"/>
        <v>744.898</v>
      </c>
      <c r="H64" s="25" t="s">
        <v>98</v>
      </c>
      <c r="I64" s="230">
        <v>0.02</v>
      </c>
      <c r="J64" s="224"/>
      <c r="K64" s="101">
        <f t="shared" si="2"/>
        <v>14.89796</v>
      </c>
      <c r="L64" s="25"/>
    </row>
    <row r="65" hidden="1">
      <c r="B65" s="234">
        <v>45911.0</v>
      </c>
      <c r="C65" s="25" t="s">
        <v>139</v>
      </c>
      <c r="D65" s="25" t="s">
        <v>97</v>
      </c>
      <c r="E65" s="235">
        <v>28.42</v>
      </c>
      <c r="F65" s="100">
        <v>54.9</v>
      </c>
      <c r="G65" s="101">
        <f t="shared" si="1"/>
        <v>1560.258</v>
      </c>
      <c r="H65" s="25" t="s">
        <v>98</v>
      </c>
      <c r="I65" s="230">
        <v>0.02</v>
      </c>
      <c r="J65" s="224"/>
      <c r="K65" s="101">
        <f t="shared" si="2"/>
        <v>31.20516</v>
      </c>
      <c r="L65" s="25"/>
    </row>
    <row r="66" hidden="1">
      <c r="B66" s="236">
        <v>45917.0</v>
      </c>
      <c r="C66" s="237" t="s">
        <v>125</v>
      </c>
      <c r="D66" s="237" t="s">
        <v>102</v>
      </c>
      <c r="E66" s="238">
        <v>145.77</v>
      </c>
      <c r="F66" s="239">
        <v>53.9</v>
      </c>
      <c r="G66" s="240">
        <f t="shared" si="1"/>
        <v>7857.003</v>
      </c>
      <c r="H66" s="237" t="s">
        <v>135</v>
      </c>
      <c r="I66" s="241">
        <v>0.02</v>
      </c>
      <c r="J66" s="242"/>
      <c r="K66" s="240">
        <f t="shared" si="2"/>
        <v>157.14006</v>
      </c>
      <c r="L66" s="237"/>
    </row>
    <row r="67" hidden="1">
      <c r="B67" s="233"/>
      <c r="C67" s="114" t="s">
        <v>136</v>
      </c>
      <c r="D67" s="25" t="s">
        <v>133</v>
      </c>
      <c r="E67" s="232">
        <v>880.0</v>
      </c>
      <c r="F67" s="229">
        <v>17.5</v>
      </c>
      <c r="G67" s="101">
        <f t="shared" si="1"/>
        <v>15400</v>
      </c>
      <c r="H67" s="25" t="s">
        <v>135</v>
      </c>
      <c r="I67" s="230">
        <v>0.02</v>
      </c>
      <c r="J67" s="223"/>
      <c r="K67" s="101">
        <f t="shared" si="2"/>
        <v>308</v>
      </c>
      <c r="L67" s="224"/>
    </row>
    <row r="68" hidden="1">
      <c r="B68" s="233"/>
      <c r="C68" s="114" t="s">
        <v>136</v>
      </c>
      <c r="D68" s="25" t="s">
        <v>133</v>
      </c>
      <c r="E68" s="232">
        <v>300.0</v>
      </c>
      <c r="F68" s="229">
        <v>14.5</v>
      </c>
      <c r="G68" s="101">
        <f t="shared" si="1"/>
        <v>4350</v>
      </c>
      <c r="H68" s="25" t="s">
        <v>135</v>
      </c>
      <c r="I68" s="230">
        <v>0.02</v>
      </c>
      <c r="J68" s="223"/>
      <c r="K68" s="101">
        <f t="shared" si="2"/>
        <v>87</v>
      </c>
      <c r="L68" s="224"/>
    </row>
    <row r="69" hidden="1">
      <c r="B69" s="236">
        <v>45936.0</v>
      </c>
      <c r="C69" s="237" t="s">
        <v>125</v>
      </c>
      <c r="D69" s="237" t="s">
        <v>97</v>
      </c>
      <c r="E69" s="238">
        <v>53.9</v>
      </c>
      <c r="F69" s="239">
        <v>173.47</v>
      </c>
      <c r="G69" s="240">
        <f t="shared" si="1"/>
        <v>9350.033</v>
      </c>
      <c r="H69" s="237" t="s">
        <v>135</v>
      </c>
      <c r="I69" s="241">
        <v>0.02</v>
      </c>
      <c r="J69" s="242"/>
      <c r="K69" s="240">
        <f t="shared" si="2"/>
        <v>187.00066</v>
      </c>
      <c r="L69" s="237"/>
    </row>
    <row r="70" hidden="1">
      <c r="B70" s="228">
        <v>45936.0</v>
      </c>
      <c r="C70" s="114" t="s">
        <v>125</v>
      </c>
      <c r="D70" s="25" t="s">
        <v>102</v>
      </c>
      <c r="E70" s="232">
        <v>29.0</v>
      </c>
      <c r="F70" s="229">
        <v>56.76</v>
      </c>
      <c r="G70" s="101">
        <f t="shared" si="1"/>
        <v>1646.04</v>
      </c>
      <c r="H70" s="25" t="s">
        <v>135</v>
      </c>
      <c r="I70" s="230">
        <v>0.02</v>
      </c>
      <c r="J70" s="223"/>
      <c r="K70" s="101">
        <f t="shared" si="2"/>
        <v>32.9208</v>
      </c>
      <c r="L70" s="224"/>
    </row>
    <row r="71">
      <c r="B71" s="243">
        <v>45954.0</v>
      </c>
      <c r="C71" s="114" t="s">
        <v>60</v>
      </c>
      <c r="D71" s="25" t="s">
        <v>102</v>
      </c>
      <c r="E71" s="232">
        <v>607.41</v>
      </c>
      <c r="F71" s="229">
        <v>29.0</v>
      </c>
      <c r="G71" s="101">
        <f t="shared" si="1"/>
        <v>17614.89</v>
      </c>
      <c r="H71" s="25" t="s">
        <v>135</v>
      </c>
      <c r="I71" s="230">
        <v>0.02</v>
      </c>
      <c r="J71" s="223"/>
      <c r="K71" s="101">
        <f t="shared" si="2"/>
        <v>352.2978</v>
      </c>
      <c r="L71" s="224"/>
    </row>
    <row r="72">
      <c r="B72" s="243">
        <v>45958.0</v>
      </c>
      <c r="C72" s="114" t="s">
        <v>60</v>
      </c>
      <c r="D72" s="25" t="s">
        <v>102</v>
      </c>
      <c r="E72" s="232">
        <v>135.29</v>
      </c>
      <c r="F72" s="229">
        <v>29.0</v>
      </c>
      <c r="G72" s="101">
        <f t="shared" si="1"/>
        <v>3923.41</v>
      </c>
      <c r="H72" s="25" t="s">
        <v>135</v>
      </c>
      <c r="I72" s="230">
        <v>0.02</v>
      </c>
      <c r="J72" s="223"/>
      <c r="K72" s="101">
        <f t="shared" si="2"/>
        <v>78.4682</v>
      </c>
      <c r="L72" s="224"/>
    </row>
    <row r="73">
      <c r="B73" s="228">
        <v>45964.0</v>
      </c>
      <c r="C73" s="114" t="s">
        <v>60</v>
      </c>
      <c r="D73" s="25" t="s">
        <v>102</v>
      </c>
      <c r="E73" s="232">
        <v>671.36</v>
      </c>
      <c r="F73" s="229">
        <v>29.0</v>
      </c>
      <c r="G73" s="101">
        <f t="shared" si="1"/>
        <v>19469.44</v>
      </c>
      <c r="H73" s="25" t="s">
        <v>135</v>
      </c>
      <c r="I73" s="230">
        <v>0.02</v>
      </c>
      <c r="J73" s="223"/>
      <c r="K73" s="101">
        <f t="shared" si="2"/>
        <v>389.3888</v>
      </c>
      <c r="L73" s="224"/>
    </row>
    <row r="74">
      <c r="B74" s="243">
        <v>45971.0</v>
      </c>
      <c r="C74" s="114" t="s">
        <v>60</v>
      </c>
      <c r="D74" s="25" t="s">
        <v>102</v>
      </c>
      <c r="E74" s="232">
        <v>342.09</v>
      </c>
      <c r="F74" s="229">
        <v>29.0</v>
      </c>
      <c r="G74" s="101">
        <f t="shared" si="1"/>
        <v>9920.61</v>
      </c>
      <c r="H74" s="25" t="s">
        <v>135</v>
      </c>
      <c r="I74" s="230">
        <v>0.02</v>
      </c>
      <c r="J74" s="223"/>
      <c r="K74" s="101">
        <f t="shared" si="2"/>
        <v>198.4122</v>
      </c>
      <c r="L74" s="224"/>
    </row>
    <row r="75">
      <c r="B75" s="243">
        <v>45974.0</v>
      </c>
      <c r="C75" s="114" t="s">
        <v>60</v>
      </c>
      <c r="D75" s="25" t="s">
        <v>102</v>
      </c>
      <c r="E75" s="232">
        <v>38.46</v>
      </c>
      <c r="F75" s="229">
        <v>29.0</v>
      </c>
      <c r="G75" s="101">
        <f t="shared" si="1"/>
        <v>1115.34</v>
      </c>
      <c r="H75" s="25" t="s">
        <v>135</v>
      </c>
      <c r="I75" s="230">
        <v>0.02</v>
      </c>
      <c r="J75" s="223"/>
      <c r="K75" s="101">
        <f t="shared" si="2"/>
        <v>22.3068</v>
      </c>
      <c r="L75" s="224"/>
    </row>
    <row r="76">
      <c r="B76" s="243">
        <v>45978.0</v>
      </c>
      <c r="C76" s="114" t="s">
        <v>60</v>
      </c>
      <c r="D76" s="25" t="s">
        <v>102</v>
      </c>
      <c r="E76" s="232">
        <v>454.68</v>
      </c>
      <c r="F76" s="229">
        <v>29.0</v>
      </c>
      <c r="G76" s="101">
        <f t="shared" si="1"/>
        <v>13185.72</v>
      </c>
      <c r="H76" s="25" t="s">
        <v>135</v>
      </c>
      <c r="I76" s="230">
        <v>0.02</v>
      </c>
      <c r="J76" s="223"/>
      <c r="K76" s="101">
        <f t="shared" si="2"/>
        <v>263.7144</v>
      </c>
      <c r="L76" s="224"/>
    </row>
    <row r="77">
      <c r="B77" s="243">
        <v>45985.0</v>
      </c>
      <c r="C77" s="114" t="s">
        <v>60</v>
      </c>
      <c r="D77" s="25" t="s">
        <v>102</v>
      </c>
      <c r="E77" s="232">
        <v>300.7</v>
      </c>
      <c r="F77" s="229">
        <v>29.0</v>
      </c>
      <c r="G77" s="101">
        <f t="shared" si="1"/>
        <v>8720.3</v>
      </c>
      <c r="H77" s="25" t="s">
        <v>135</v>
      </c>
      <c r="I77" s="230">
        <v>0.02</v>
      </c>
      <c r="J77" s="223"/>
      <c r="K77" s="101">
        <f t="shared" si="2"/>
        <v>174.406</v>
      </c>
      <c r="L77" s="224"/>
    </row>
    <row r="78">
      <c r="B78" s="243">
        <v>45985.0</v>
      </c>
      <c r="C78" s="114" t="s">
        <v>60</v>
      </c>
      <c r="D78" s="25" t="s">
        <v>97</v>
      </c>
      <c r="E78" s="232">
        <v>150.4</v>
      </c>
      <c r="F78" s="229">
        <v>53.9</v>
      </c>
      <c r="G78" s="101">
        <f t="shared" si="1"/>
        <v>8106.56</v>
      </c>
      <c r="H78" s="25" t="s">
        <v>135</v>
      </c>
      <c r="I78" s="230">
        <v>0.02</v>
      </c>
      <c r="J78" s="79"/>
      <c r="K78" s="101">
        <f t="shared" si="2"/>
        <v>162.1312</v>
      </c>
      <c r="L78" s="224"/>
    </row>
    <row r="79">
      <c r="B79" s="244"/>
      <c r="C79" s="79"/>
      <c r="D79" s="224"/>
      <c r="E79" s="232">
        <v>0.0</v>
      </c>
      <c r="F79" s="229">
        <v>0.0</v>
      </c>
      <c r="G79" s="101">
        <f t="shared" si="1"/>
        <v>0</v>
      </c>
      <c r="H79" s="224"/>
      <c r="I79" s="227"/>
      <c r="J79" s="79"/>
      <c r="K79" s="101">
        <f t="shared" si="2"/>
        <v>0</v>
      </c>
      <c r="L79" s="224"/>
    </row>
    <row r="80">
      <c r="B80" s="244"/>
      <c r="C80" s="79"/>
      <c r="D80" s="224"/>
      <c r="E80" s="232">
        <v>0.0</v>
      </c>
      <c r="F80" s="229">
        <v>0.0</v>
      </c>
      <c r="G80" s="101">
        <f t="shared" si="1"/>
        <v>0</v>
      </c>
      <c r="H80" s="224"/>
      <c r="I80" s="227"/>
      <c r="J80" s="79"/>
      <c r="K80" s="101">
        <f t="shared" si="2"/>
        <v>0</v>
      </c>
      <c r="L80" s="224"/>
    </row>
    <row r="81">
      <c r="B81" s="244"/>
      <c r="C81" s="79"/>
      <c r="D81" s="224"/>
      <c r="E81" s="232">
        <v>0.0</v>
      </c>
      <c r="F81" s="229">
        <v>0.0</v>
      </c>
      <c r="G81" s="101">
        <f t="shared" si="1"/>
        <v>0</v>
      </c>
      <c r="H81" s="224"/>
      <c r="I81" s="227"/>
      <c r="J81" s="79"/>
      <c r="K81" s="101">
        <f t="shared" si="2"/>
        <v>0</v>
      </c>
      <c r="L81" s="224"/>
    </row>
    <row r="82">
      <c r="B82" s="244"/>
      <c r="C82" s="79"/>
      <c r="D82" s="224"/>
      <c r="E82" s="232">
        <v>0.0</v>
      </c>
      <c r="F82" s="229">
        <v>0.0</v>
      </c>
      <c r="G82" s="101">
        <f t="shared" si="1"/>
        <v>0</v>
      </c>
      <c r="H82" s="224"/>
      <c r="I82" s="227"/>
      <c r="J82" s="79"/>
      <c r="K82" s="101">
        <f t="shared" si="2"/>
        <v>0</v>
      </c>
      <c r="L82" s="224"/>
    </row>
    <row r="83">
      <c r="B83" s="244"/>
      <c r="C83" s="79"/>
      <c r="D83" s="224"/>
      <c r="E83" s="232">
        <v>0.0</v>
      </c>
      <c r="F83" s="229">
        <v>0.0</v>
      </c>
      <c r="G83" s="101">
        <f t="shared" si="1"/>
        <v>0</v>
      </c>
      <c r="H83" s="224"/>
      <c r="I83" s="227"/>
      <c r="J83" s="79"/>
      <c r="K83" s="101">
        <f t="shared" si="2"/>
        <v>0</v>
      </c>
      <c r="L83" s="224"/>
    </row>
    <row r="84">
      <c r="B84" s="244"/>
      <c r="C84" s="79"/>
      <c r="D84" s="224"/>
      <c r="E84" s="232">
        <v>0.0</v>
      </c>
      <c r="F84" s="229">
        <v>0.0</v>
      </c>
      <c r="G84" s="101">
        <f t="shared" si="1"/>
        <v>0</v>
      </c>
      <c r="H84" s="224"/>
      <c r="I84" s="227"/>
      <c r="J84" s="79"/>
      <c r="K84" s="101">
        <f t="shared" si="2"/>
        <v>0</v>
      </c>
      <c r="L84" s="224"/>
    </row>
    <row r="85">
      <c r="B85" s="244"/>
      <c r="C85" s="79"/>
      <c r="D85" s="224"/>
      <c r="E85" s="232">
        <v>0.0</v>
      </c>
      <c r="F85" s="229">
        <v>0.0</v>
      </c>
      <c r="G85" s="101">
        <f t="shared" si="1"/>
        <v>0</v>
      </c>
      <c r="H85" s="224"/>
      <c r="I85" s="227"/>
      <c r="J85" s="79"/>
      <c r="K85" s="101">
        <f t="shared" si="2"/>
        <v>0</v>
      </c>
      <c r="L85" s="224"/>
    </row>
    <row r="86">
      <c r="B86" s="244"/>
      <c r="C86" s="79"/>
      <c r="D86" s="224"/>
      <c r="E86" s="232">
        <v>0.0</v>
      </c>
      <c r="F86" s="229">
        <v>0.0</v>
      </c>
      <c r="G86" s="101">
        <f t="shared" si="1"/>
        <v>0</v>
      </c>
      <c r="H86" s="224"/>
      <c r="I86" s="227"/>
      <c r="J86" s="79"/>
      <c r="K86" s="101">
        <f t="shared" si="2"/>
        <v>0</v>
      </c>
      <c r="L86" s="224"/>
    </row>
    <row r="87">
      <c r="B87" s="244"/>
      <c r="C87" s="79"/>
      <c r="D87" s="224"/>
      <c r="E87" s="232">
        <v>0.0</v>
      </c>
      <c r="F87" s="229">
        <v>0.0</v>
      </c>
      <c r="G87" s="101">
        <f t="shared" si="1"/>
        <v>0</v>
      </c>
      <c r="H87" s="224"/>
      <c r="I87" s="227"/>
      <c r="J87" s="79"/>
      <c r="K87" s="101">
        <f t="shared" si="2"/>
        <v>0</v>
      </c>
      <c r="L87" s="224"/>
    </row>
    <row r="88">
      <c r="B88" s="244"/>
      <c r="C88" s="79"/>
      <c r="D88" s="224"/>
      <c r="E88" s="232">
        <v>0.0</v>
      </c>
      <c r="F88" s="229">
        <v>0.0</v>
      </c>
      <c r="G88" s="101">
        <f t="shared" si="1"/>
        <v>0</v>
      </c>
      <c r="H88" s="224"/>
      <c r="I88" s="227"/>
      <c r="J88" s="79"/>
      <c r="K88" s="101">
        <f t="shared" si="2"/>
        <v>0</v>
      </c>
      <c r="L88" s="224"/>
    </row>
    <row r="89">
      <c r="B89" s="244"/>
      <c r="C89" s="79"/>
      <c r="D89" s="224"/>
      <c r="E89" s="232">
        <v>0.0</v>
      </c>
      <c r="F89" s="229">
        <v>0.0</v>
      </c>
      <c r="G89" s="101">
        <f t="shared" si="1"/>
        <v>0</v>
      </c>
      <c r="H89" s="224"/>
      <c r="I89" s="227"/>
      <c r="J89" s="79"/>
      <c r="K89" s="101">
        <f t="shared" si="2"/>
        <v>0</v>
      </c>
      <c r="L89" s="224"/>
    </row>
    <row r="90">
      <c r="B90" s="244"/>
      <c r="C90" s="79"/>
      <c r="D90" s="224"/>
      <c r="E90" s="232">
        <v>0.0</v>
      </c>
      <c r="F90" s="229">
        <v>0.0</v>
      </c>
      <c r="G90" s="101">
        <f t="shared" si="1"/>
        <v>0</v>
      </c>
      <c r="H90" s="224"/>
      <c r="I90" s="227"/>
      <c r="J90" s="79"/>
      <c r="K90" s="101">
        <f t="shared" si="2"/>
        <v>0</v>
      </c>
      <c r="L90" s="224"/>
    </row>
    <row r="91">
      <c r="B91" s="244"/>
      <c r="C91" s="79"/>
      <c r="D91" s="224"/>
      <c r="E91" s="232">
        <v>0.0</v>
      </c>
      <c r="F91" s="229">
        <v>0.0</v>
      </c>
      <c r="G91" s="101">
        <f t="shared" si="1"/>
        <v>0</v>
      </c>
      <c r="H91" s="224"/>
      <c r="I91" s="227"/>
      <c r="J91" s="79"/>
      <c r="K91" s="101">
        <f t="shared" si="2"/>
        <v>0</v>
      </c>
      <c r="L91" s="224"/>
    </row>
    <row r="92">
      <c r="B92" s="244"/>
      <c r="C92" s="79"/>
      <c r="D92" s="224"/>
      <c r="E92" s="232">
        <v>0.0</v>
      </c>
      <c r="F92" s="229">
        <v>0.0</v>
      </c>
      <c r="G92" s="101">
        <f t="shared" si="1"/>
        <v>0</v>
      </c>
      <c r="H92" s="224"/>
      <c r="I92" s="227"/>
      <c r="J92" s="79"/>
      <c r="K92" s="101">
        <f t="shared" si="2"/>
        <v>0</v>
      </c>
      <c r="L92" s="224"/>
    </row>
    <row r="93">
      <c r="B93" s="244"/>
      <c r="C93" s="79"/>
      <c r="D93" s="224"/>
      <c r="E93" s="232">
        <v>0.0</v>
      </c>
      <c r="F93" s="229">
        <v>0.0</v>
      </c>
      <c r="G93" s="101">
        <f t="shared" si="1"/>
        <v>0</v>
      </c>
      <c r="H93" s="224"/>
      <c r="I93" s="227"/>
      <c r="J93" s="79"/>
      <c r="K93" s="101">
        <f t="shared" si="2"/>
        <v>0</v>
      </c>
      <c r="L93" s="224"/>
    </row>
    <row r="94">
      <c r="B94" s="244"/>
      <c r="C94" s="79"/>
      <c r="D94" s="224"/>
      <c r="E94" s="232">
        <v>0.0</v>
      </c>
      <c r="F94" s="229">
        <v>0.0</v>
      </c>
      <c r="G94" s="101">
        <f t="shared" si="1"/>
        <v>0</v>
      </c>
      <c r="H94" s="224"/>
      <c r="I94" s="227"/>
      <c r="J94" s="79"/>
      <c r="K94" s="101">
        <f t="shared" si="2"/>
        <v>0</v>
      </c>
      <c r="L94" s="224"/>
    </row>
    <row r="95">
      <c r="B95" s="244"/>
      <c r="C95" s="79"/>
      <c r="D95" s="224"/>
      <c r="E95" s="232">
        <v>0.0</v>
      </c>
      <c r="F95" s="229">
        <v>0.0</v>
      </c>
      <c r="G95" s="101">
        <f t="shared" si="1"/>
        <v>0</v>
      </c>
      <c r="H95" s="224"/>
      <c r="I95" s="227"/>
      <c r="J95" s="79"/>
      <c r="K95" s="101">
        <f t="shared" si="2"/>
        <v>0</v>
      </c>
      <c r="L95" s="224"/>
    </row>
    <row r="96">
      <c r="B96" s="244"/>
      <c r="C96" s="79"/>
      <c r="D96" s="224"/>
      <c r="E96" s="232">
        <v>0.0</v>
      </c>
      <c r="F96" s="229">
        <v>0.0</v>
      </c>
      <c r="G96" s="101">
        <f t="shared" si="1"/>
        <v>0</v>
      </c>
      <c r="H96" s="224"/>
      <c r="I96" s="227"/>
      <c r="J96" s="79"/>
      <c r="K96" s="101">
        <f t="shared" si="2"/>
        <v>0</v>
      </c>
      <c r="L96" s="224"/>
    </row>
    <row r="97">
      <c r="B97" s="244"/>
      <c r="C97" s="79"/>
      <c r="D97" s="224"/>
      <c r="E97" s="232">
        <v>0.0</v>
      </c>
      <c r="F97" s="229">
        <v>0.0</v>
      </c>
      <c r="G97" s="101">
        <f t="shared" si="1"/>
        <v>0</v>
      </c>
      <c r="H97" s="224"/>
      <c r="I97" s="227"/>
      <c r="J97" s="79"/>
      <c r="K97" s="101">
        <f t="shared" si="2"/>
        <v>0</v>
      </c>
      <c r="L97" s="224"/>
    </row>
    <row r="98">
      <c r="B98" s="244"/>
      <c r="C98" s="79"/>
      <c r="D98" s="224"/>
      <c r="E98" s="232">
        <v>0.0</v>
      </c>
      <c r="F98" s="229">
        <v>0.0</v>
      </c>
      <c r="G98" s="101">
        <f t="shared" si="1"/>
        <v>0</v>
      </c>
      <c r="H98" s="224"/>
      <c r="I98" s="227"/>
      <c r="J98" s="79"/>
      <c r="K98" s="101">
        <f t="shared" si="2"/>
        <v>0</v>
      </c>
      <c r="L98" s="224"/>
    </row>
    <row r="99">
      <c r="B99" s="244"/>
      <c r="C99" s="79"/>
      <c r="D99" s="224"/>
      <c r="E99" s="232">
        <v>0.0</v>
      </c>
      <c r="F99" s="229">
        <v>0.0</v>
      </c>
      <c r="G99" s="101">
        <f t="shared" si="1"/>
        <v>0</v>
      </c>
      <c r="H99" s="224"/>
      <c r="I99" s="227"/>
      <c r="J99" s="79"/>
      <c r="K99" s="101">
        <f t="shared" si="2"/>
        <v>0</v>
      </c>
      <c r="L99" s="224"/>
    </row>
    <row r="100">
      <c r="B100" s="244"/>
      <c r="C100" s="79"/>
      <c r="D100" s="224"/>
      <c r="E100" s="232">
        <v>0.0</v>
      </c>
      <c r="F100" s="229">
        <v>0.0</v>
      </c>
      <c r="G100" s="101">
        <f t="shared" si="1"/>
        <v>0</v>
      </c>
      <c r="H100" s="224"/>
      <c r="I100" s="227"/>
      <c r="J100" s="79"/>
      <c r="K100" s="101">
        <f t="shared" si="2"/>
        <v>0</v>
      </c>
      <c r="L100" s="224"/>
    </row>
    <row r="101">
      <c r="B101" s="244"/>
      <c r="C101" s="79"/>
      <c r="D101" s="224"/>
      <c r="E101" s="232">
        <v>0.0</v>
      </c>
      <c r="F101" s="229">
        <v>0.0</v>
      </c>
      <c r="G101" s="101">
        <f t="shared" si="1"/>
        <v>0</v>
      </c>
      <c r="H101" s="224"/>
      <c r="I101" s="227"/>
      <c r="J101" s="79"/>
      <c r="K101" s="101">
        <f t="shared" si="2"/>
        <v>0</v>
      </c>
      <c r="L101" s="224"/>
    </row>
    <row r="102">
      <c r="B102" s="244"/>
      <c r="C102" s="79"/>
      <c r="D102" s="224"/>
      <c r="E102" s="232">
        <v>0.0</v>
      </c>
      <c r="F102" s="229">
        <v>0.0</v>
      </c>
      <c r="G102" s="101">
        <f t="shared" si="1"/>
        <v>0</v>
      </c>
      <c r="H102" s="224"/>
      <c r="I102" s="227"/>
      <c r="J102" s="79"/>
      <c r="K102" s="101">
        <f t="shared" si="2"/>
        <v>0</v>
      </c>
      <c r="L102" s="224"/>
    </row>
    <row r="103">
      <c r="B103" s="244"/>
      <c r="C103" s="79"/>
      <c r="D103" s="224"/>
      <c r="E103" s="232">
        <v>0.0</v>
      </c>
      <c r="F103" s="229">
        <v>0.0</v>
      </c>
      <c r="G103" s="101">
        <f t="shared" si="1"/>
        <v>0</v>
      </c>
      <c r="H103" s="224"/>
      <c r="I103" s="227"/>
      <c r="J103" s="79"/>
      <c r="K103" s="101">
        <f t="shared" si="2"/>
        <v>0</v>
      </c>
      <c r="L103" s="224"/>
    </row>
    <row r="104">
      <c r="B104" s="244"/>
      <c r="C104" s="79"/>
      <c r="D104" s="224"/>
      <c r="E104" s="232">
        <v>0.0</v>
      </c>
      <c r="F104" s="229">
        <v>0.0</v>
      </c>
      <c r="G104" s="101">
        <f t="shared" si="1"/>
        <v>0</v>
      </c>
      <c r="H104" s="224"/>
      <c r="I104" s="227"/>
      <c r="J104" s="79"/>
      <c r="K104" s="101">
        <f t="shared" si="2"/>
        <v>0</v>
      </c>
      <c r="L104" s="224"/>
    </row>
    <row r="105">
      <c r="B105" s="244"/>
      <c r="C105" s="79"/>
      <c r="D105" s="224"/>
      <c r="E105" s="232">
        <v>0.0</v>
      </c>
      <c r="F105" s="229">
        <v>0.0</v>
      </c>
      <c r="G105" s="101">
        <f t="shared" si="1"/>
        <v>0</v>
      </c>
      <c r="H105" s="224"/>
      <c r="I105" s="227"/>
      <c r="J105" s="79"/>
      <c r="K105" s="101">
        <f t="shared" si="2"/>
        <v>0</v>
      </c>
      <c r="L105" s="224"/>
    </row>
    <row r="106">
      <c r="B106" s="79"/>
      <c r="C106" s="79"/>
      <c r="D106" s="224"/>
      <c r="E106" s="232">
        <v>0.0</v>
      </c>
      <c r="F106" s="229">
        <v>0.0</v>
      </c>
      <c r="G106" s="101">
        <f t="shared" si="1"/>
        <v>0</v>
      </c>
      <c r="H106" s="224"/>
      <c r="I106" s="227"/>
      <c r="J106" s="79"/>
      <c r="K106" s="101">
        <f t="shared" si="2"/>
        <v>0</v>
      </c>
      <c r="L106" s="224"/>
    </row>
    <row r="107">
      <c r="B107" s="79"/>
      <c r="C107" s="79"/>
      <c r="D107" s="224"/>
      <c r="E107" s="232">
        <v>0.0</v>
      </c>
      <c r="F107" s="229">
        <v>0.0</v>
      </c>
      <c r="G107" s="101">
        <f t="shared" si="1"/>
        <v>0</v>
      </c>
      <c r="H107" s="224"/>
      <c r="I107" s="227"/>
      <c r="J107" s="79"/>
      <c r="K107" s="101">
        <f t="shared" si="2"/>
        <v>0</v>
      </c>
      <c r="L107" s="224"/>
    </row>
    <row r="108">
      <c r="B108" s="79"/>
      <c r="C108" s="79"/>
      <c r="D108" s="224"/>
      <c r="E108" s="232">
        <v>0.0</v>
      </c>
      <c r="F108" s="229">
        <v>0.0</v>
      </c>
      <c r="G108" s="101">
        <f t="shared" si="1"/>
        <v>0</v>
      </c>
      <c r="H108" s="224"/>
      <c r="I108" s="227"/>
      <c r="J108" s="79"/>
      <c r="K108" s="101">
        <f t="shared" si="2"/>
        <v>0</v>
      </c>
      <c r="L108" s="224"/>
    </row>
    <row r="109">
      <c r="B109" s="79"/>
      <c r="C109" s="79"/>
      <c r="D109" s="224"/>
      <c r="E109" s="232">
        <v>0.0</v>
      </c>
      <c r="F109" s="229">
        <v>0.0</v>
      </c>
      <c r="G109" s="101">
        <f t="shared" si="1"/>
        <v>0</v>
      </c>
      <c r="H109" s="224"/>
      <c r="I109" s="227"/>
      <c r="J109" s="79"/>
      <c r="K109" s="101">
        <f t="shared" si="2"/>
        <v>0</v>
      </c>
      <c r="L109" s="224"/>
    </row>
    <row r="110">
      <c r="B110" s="79"/>
      <c r="C110" s="79"/>
      <c r="D110" s="224"/>
      <c r="E110" s="232">
        <v>0.0</v>
      </c>
      <c r="F110" s="229">
        <v>0.0</v>
      </c>
      <c r="G110" s="101">
        <f t="shared" si="1"/>
        <v>0</v>
      </c>
      <c r="H110" s="224"/>
      <c r="I110" s="227"/>
      <c r="J110" s="79"/>
      <c r="K110" s="101">
        <f t="shared" si="2"/>
        <v>0</v>
      </c>
      <c r="L110" s="224"/>
    </row>
    <row r="111">
      <c r="B111" s="79"/>
      <c r="C111" s="79"/>
      <c r="D111" s="224"/>
      <c r="E111" s="232">
        <v>0.0</v>
      </c>
      <c r="F111" s="229">
        <v>0.0</v>
      </c>
      <c r="G111" s="101">
        <f t="shared" si="1"/>
        <v>0</v>
      </c>
      <c r="H111" s="224"/>
      <c r="I111" s="227"/>
      <c r="J111" s="79"/>
      <c r="K111" s="101">
        <f t="shared" si="2"/>
        <v>0</v>
      </c>
      <c r="L111" s="224"/>
    </row>
    <row r="112">
      <c r="B112" s="79"/>
      <c r="C112" s="79"/>
      <c r="D112" s="224"/>
      <c r="E112" s="232">
        <v>0.0</v>
      </c>
      <c r="F112" s="229">
        <v>0.0</v>
      </c>
      <c r="G112" s="101">
        <f t="shared" si="1"/>
        <v>0</v>
      </c>
      <c r="H112" s="224"/>
      <c r="I112" s="227"/>
      <c r="J112" s="79"/>
      <c r="K112" s="101">
        <f t="shared" si="2"/>
        <v>0</v>
      </c>
      <c r="L112" s="224"/>
    </row>
    <row r="113">
      <c r="B113" s="79"/>
      <c r="C113" s="79"/>
      <c r="D113" s="224"/>
      <c r="E113" s="232">
        <v>0.0</v>
      </c>
      <c r="F113" s="229">
        <v>0.0</v>
      </c>
      <c r="G113" s="101">
        <f t="shared" si="1"/>
        <v>0</v>
      </c>
      <c r="H113" s="224"/>
      <c r="I113" s="227"/>
      <c r="J113" s="79"/>
      <c r="K113" s="101">
        <f t="shared" si="2"/>
        <v>0</v>
      </c>
      <c r="L113" s="224"/>
    </row>
    <row r="114">
      <c r="B114" s="79"/>
      <c r="C114" s="79"/>
      <c r="D114" s="224"/>
      <c r="E114" s="232">
        <v>0.0</v>
      </c>
      <c r="F114" s="229">
        <v>0.0</v>
      </c>
      <c r="G114" s="101">
        <f t="shared" si="1"/>
        <v>0</v>
      </c>
      <c r="H114" s="224"/>
      <c r="I114" s="227"/>
      <c r="J114" s="79"/>
      <c r="K114" s="101">
        <f t="shared" si="2"/>
        <v>0</v>
      </c>
      <c r="L114" s="224"/>
    </row>
    <row r="115">
      <c r="B115" s="79"/>
      <c r="C115" s="79"/>
      <c r="D115" s="224"/>
      <c r="E115" s="232">
        <v>0.0</v>
      </c>
      <c r="F115" s="229">
        <v>0.0</v>
      </c>
      <c r="G115" s="101">
        <f t="shared" si="1"/>
        <v>0</v>
      </c>
      <c r="H115" s="224"/>
      <c r="I115" s="227"/>
      <c r="J115" s="79"/>
      <c r="K115" s="101">
        <f t="shared" si="2"/>
        <v>0</v>
      </c>
      <c r="L115" s="224"/>
    </row>
    <row r="116">
      <c r="B116" s="79"/>
      <c r="C116" s="79"/>
      <c r="D116" s="224"/>
      <c r="E116" s="232">
        <v>0.0</v>
      </c>
      <c r="F116" s="229">
        <v>0.0</v>
      </c>
      <c r="G116" s="101">
        <f t="shared" si="1"/>
        <v>0</v>
      </c>
      <c r="H116" s="224"/>
      <c r="I116" s="227"/>
      <c r="J116" s="79"/>
      <c r="K116" s="101">
        <f t="shared" si="2"/>
        <v>0</v>
      </c>
      <c r="L116" s="224"/>
    </row>
    <row r="117">
      <c r="B117" s="79"/>
      <c r="C117" s="79"/>
      <c r="D117" s="224"/>
      <c r="E117" s="232">
        <v>0.0</v>
      </c>
      <c r="F117" s="229">
        <v>0.0</v>
      </c>
      <c r="G117" s="101">
        <f t="shared" si="1"/>
        <v>0</v>
      </c>
      <c r="H117" s="224"/>
      <c r="I117" s="227"/>
      <c r="J117" s="79"/>
      <c r="K117" s="101">
        <f t="shared" si="2"/>
        <v>0</v>
      </c>
      <c r="L117" s="224"/>
    </row>
    <row r="118">
      <c r="B118" s="79"/>
      <c r="C118" s="79"/>
      <c r="D118" s="224"/>
      <c r="E118" s="232">
        <v>0.0</v>
      </c>
      <c r="F118" s="229">
        <v>0.0</v>
      </c>
      <c r="G118" s="101">
        <f t="shared" si="1"/>
        <v>0</v>
      </c>
      <c r="H118" s="224"/>
      <c r="I118" s="227"/>
      <c r="J118" s="79"/>
      <c r="K118" s="101">
        <f t="shared" si="2"/>
        <v>0</v>
      </c>
      <c r="L118" s="224"/>
    </row>
    <row r="119">
      <c r="B119" s="79"/>
      <c r="C119" s="79"/>
      <c r="D119" s="224"/>
      <c r="E119" s="232">
        <v>0.0</v>
      </c>
      <c r="F119" s="229">
        <v>0.0</v>
      </c>
      <c r="G119" s="101">
        <f t="shared" si="1"/>
        <v>0</v>
      </c>
      <c r="H119" s="224"/>
      <c r="I119" s="227"/>
      <c r="J119" s="79"/>
      <c r="K119" s="101">
        <f t="shared" si="2"/>
        <v>0</v>
      </c>
      <c r="L119" s="224"/>
    </row>
    <row r="120">
      <c r="B120" s="79"/>
      <c r="C120" s="79"/>
      <c r="D120" s="224"/>
      <c r="E120" s="232">
        <v>0.0</v>
      </c>
      <c r="F120" s="229">
        <v>0.0</v>
      </c>
      <c r="G120" s="101">
        <f t="shared" si="1"/>
        <v>0</v>
      </c>
      <c r="H120" s="224"/>
      <c r="I120" s="227"/>
      <c r="J120" s="79"/>
      <c r="K120" s="101">
        <f t="shared" si="2"/>
        <v>0</v>
      </c>
      <c r="L120" s="224"/>
    </row>
    <row r="121">
      <c r="B121" s="79"/>
      <c r="C121" s="79"/>
      <c r="D121" s="224"/>
      <c r="E121" s="232">
        <v>0.0</v>
      </c>
      <c r="F121" s="229">
        <v>0.0</v>
      </c>
      <c r="G121" s="101">
        <f t="shared" si="1"/>
        <v>0</v>
      </c>
      <c r="H121" s="224"/>
      <c r="I121" s="227"/>
      <c r="J121" s="79"/>
      <c r="K121" s="101">
        <f t="shared" si="2"/>
        <v>0</v>
      </c>
      <c r="L121" s="224"/>
    </row>
    <row r="122">
      <c r="B122" s="79"/>
      <c r="C122" s="79"/>
      <c r="D122" s="224"/>
      <c r="E122" s="232">
        <v>0.0</v>
      </c>
      <c r="F122" s="229">
        <v>0.0</v>
      </c>
      <c r="G122" s="101">
        <f t="shared" si="1"/>
        <v>0</v>
      </c>
      <c r="H122" s="224"/>
      <c r="I122" s="227"/>
      <c r="J122" s="79"/>
      <c r="K122" s="101">
        <f t="shared" si="2"/>
        <v>0</v>
      </c>
      <c r="L122" s="224"/>
    </row>
    <row r="123">
      <c r="B123" s="79"/>
      <c r="C123" s="79"/>
      <c r="D123" s="224"/>
      <c r="E123" s="232">
        <v>0.0</v>
      </c>
      <c r="F123" s="229">
        <v>0.0</v>
      </c>
      <c r="G123" s="101">
        <f t="shared" si="1"/>
        <v>0</v>
      </c>
      <c r="H123" s="224"/>
      <c r="I123" s="227"/>
      <c r="J123" s="79"/>
      <c r="K123" s="101">
        <f t="shared" si="2"/>
        <v>0</v>
      </c>
      <c r="L123" s="224"/>
    </row>
    <row r="124">
      <c r="B124" s="79"/>
      <c r="C124" s="79"/>
      <c r="D124" s="224"/>
      <c r="E124" s="232">
        <v>0.0</v>
      </c>
      <c r="F124" s="229">
        <v>0.0</v>
      </c>
      <c r="G124" s="101">
        <f t="shared" si="1"/>
        <v>0</v>
      </c>
      <c r="H124" s="224"/>
      <c r="I124" s="227"/>
      <c r="J124" s="79"/>
      <c r="K124" s="101">
        <f t="shared" si="2"/>
        <v>0</v>
      </c>
      <c r="L124" s="224"/>
    </row>
    <row r="125">
      <c r="B125" s="79"/>
      <c r="C125" s="79"/>
      <c r="D125" s="224"/>
      <c r="E125" s="232">
        <v>0.0</v>
      </c>
      <c r="F125" s="229">
        <v>0.0</v>
      </c>
      <c r="G125" s="101">
        <f t="shared" si="1"/>
        <v>0</v>
      </c>
      <c r="H125" s="224"/>
      <c r="I125" s="227"/>
      <c r="J125" s="79"/>
      <c r="K125" s="101">
        <f t="shared" si="2"/>
        <v>0</v>
      </c>
      <c r="L125" s="224"/>
    </row>
    <row r="126">
      <c r="B126" s="79"/>
      <c r="C126" s="79"/>
      <c r="D126" s="224"/>
      <c r="E126" s="232">
        <v>0.0</v>
      </c>
      <c r="F126" s="229">
        <v>0.0</v>
      </c>
      <c r="G126" s="101">
        <f t="shared" si="1"/>
        <v>0</v>
      </c>
      <c r="H126" s="224"/>
      <c r="I126" s="227"/>
      <c r="J126" s="79"/>
      <c r="K126" s="101">
        <f t="shared" si="2"/>
        <v>0</v>
      </c>
      <c r="L126" s="224"/>
    </row>
    <row r="127">
      <c r="B127" s="79"/>
      <c r="C127" s="79"/>
      <c r="D127" s="224"/>
      <c r="E127" s="232">
        <v>0.0</v>
      </c>
      <c r="F127" s="229">
        <v>0.0</v>
      </c>
      <c r="G127" s="101">
        <f t="shared" si="1"/>
        <v>0</v>
      </c>
      <c r="H127" s="224"/>
      <c r="I127" s="227"/>
      <c r="J127" s="79"/>
      <c r="K127" s="101">
        <f t="shared" si="2"/>
        <v>0</v>
      </c>
      <c r="L127" s="224"/>
    </row>
    <row r="128">
      <c r="B128" s="79"/>
      <c r="C128" s="79"/>
      <c r="D128" s="224"/>
      <c r="E128" s="232">
        <v>0.0</v>
      </c>
      <c r="F128" s="229">
        <v>0.0</v>
      </c>
      <c r="G128" s="101">
        <f t="shared" si="1"/>
        <v>0</v>
      </c>
      <c r="H128" s="224"/>
      <c r="I128" s="227"/>
      <c r="J128" s="79"/>
      <c r="K128" s="101">
        <f t="shared" si="2"/>
        <v>0</v>
      </c>
      <c r="L128" s="224"/>
    </row>
    <row r="129">
      <c r="B129" s="79"/>
      <c r="C129" s="79"/>
      <c r="D129" s="224"/>
      <c r="E129" s="232">
        <v>0.0</v>
      </c>
      <c r="F129" s="229">
        <v>0.0</v>
      </c>
      <c r="G129" s="101">
        <f t="shared" si="1"/>
        <v>0</v>
      </c>
      <c r="H129" s="224"/>
      <c r="I129" s="227"/>
      <c r="J129" s="79"/>
      <c r="K129" s="101">
        <f t="shared" si="2"/>
        <v>0</v>
      </c>
      <c r="L129" s="224"/>
    </row>
    <row r="130">
      <c r="B130" s="79"/>
      <c r="C130" s="79"/>
      <c r="D130" s="224"/>
      <c r="E130" s="232">
        <v>0.0</v>
      </c>
      <c r="F130" s="229">
        <v>0.0</v>
      </c>
      <c r="G130" s="101">
        <f t="shared" si="1"/>
        <v>0</v>
      </c>
      <c r="H130" s="224"/>
      <c r="I130" s="227"/>
      <c r="J130" s="79"/>
      <c r="K130" s="101">
        <f t="shared" si="2"/>
        <v>0</v>
      </c>
      <c r="L130" s="224"/>
    </row>
    <row r="131">
      <c r="B131" s="79"/>
      <c r="C131" s="79"/>
      <c r="D131" s="224"/>
      <c r="E131" s="232">
        <v>0.0</v>
      </c>
      <c r="F131" s="229">
        <v>0.0</v>
      </c>
      <c r="G131" s="101">
        <f t="shared" si="1"/>
        <v>0</v>
      </c>
      <c r="H131" s="224"/>
      <c r="I131" s="227"/>
      <c r="J131" s="79"/>
      <c r="K131" s="101">
        <f t="shared" si="2"/>
        <v>0</v>
      </c>
      <c r="L131" s="224"/>
    </row>
    <row r="132">
      <c r="B132" s="79"/>
      <c r="C132" s="79"/>
      <c r="D132" s="224"/>
      <c r="E132" s="232">
        <v>0.0</v>
      </c>
      <c r="F132" s="229">
        <v>0.0</v>
      </c>
      <c r="G132" s="101">
        <f t="shared" si="1"/>
        <v>0</v>
      </c>
      <c r="H132" s="224"/>
      <c r="I132" s="227"/>
      <c r="J132" s="79"/>
      <c r="K132" s="101">
        <f t="shared" si="2"/>
        <v>0</v>
      </c>
      <c r="L132" s="224"/>
    </row>
    <row r="133">
      <c r="B133" s="79"/>
      <c r="C133" s="79"/>
      <c r="D133" s="224"/>
      <c r="E133" s="232">
        <v>0.0</v>
      </c>
      <c r="F133" s="229">
        <v>0.0</v>
      </c>
      <c r="G133" s="101">
        <f t="shared" si="1"/>
        <v>0</v>
      </c>
      <c r="H133" s="224"/>
      <c r="I133" s="227"/>
      <c r="J133" s="79"/>
      <c r="K133" s="101">
        <f t="shared" si="2"/>
        <v>0</v>
      </c>
      <c r="L133" s="224"/>
    </row>
    <row r="134">
      <c r="B134" s="79"/>
      <c r="C134" s="79"/>
      <c r="D134" s="224"/>
      <c r="E134" s="232">
        <v>0.0</v>
      </c>
      <c r="F134" s="229">
        <v>0.0</v>
      </c>
      <c r="G134" s="101">
        <f t="shared" si="1"/>
        <v>0</v>
      </c>
      <c r="H134" s="224"/>
      <c r="I134" s="227"/>
      <c r="J134" s="79"/>
      <c r="K134" s="101">
        <f t="shared" si="2"/>
        <v>0</v>
      </c>
      <c r="L134" s="224"/>
    </row>
    <row r="135">
      <c r="B135" s="79"/>
      <c r="C135" s="79"/>
      <c r="D135" s="224"/>
      <c r="E135" s="232">
        <v>0.0</v>
      </c>
      <c r="F135" s="229">
        <v>0.0</v>
      </c>
      <c r="G135" s="101">
        <f t="shared" si="1"/>
        <v>0</v>
      </c>
      <c r="H135" s="224"/>
      <c r="I135" s="227"/>
      <c r="J135" s="79"/>
      <c r="K135" s="101">
        <f t="shared" si="2"/>
        <v>0</v>
      </c>
      <c r="L135" s="224"/>
    </row>
    <row r="136">
      <c r="B136" s="79"/>
      <c r="C136" s="79"/>
      <c r="D136" s="224"/>
      <c r="E136" s="232">
        <v>0.0</v>
      </c>
      <c r="F136" s="229">
        <v>0.0</v>
      </c>
      <c r="G136" s="101">
        <f t="shared" si="1"/>
        <v>0</v>
      </c>
      <c r="H136" s="224"/>
      <c r="I136" s="227"/>
      <c r="J136" s="79"/>
      <c r="K136" s="101">
        <f t="shared" si="2"/>
        <v>0</v>
      </c>
      <c r="L136" s="224"/>
    </row>
    <row r="137">
      <c r="B137" s="79"/>
      <c r="C137" s="79"/>
      <c r="D137" s="224"/>
      <c r="E137" s="232">
        <v>0.0</v>
      </c>
      <c r="F137" s="229">
        <v>0.0</v>
      </c>
      <c r="G137" s="101">
        <f t="shared" si="1"/>
        <v>0</v>
      </c>
      <c r="H137" s="224"/>
      <c r="I137" s="227"/>
      <c r="J137" s="79"/>
      <c r="K137" s="101">
        <f t="shared" si="2"/>
        <v>0</v>
      </c>
      <c r="L137" s="224"/>
    </row>
    <row r="138">
      <c r="B138" s="79"/>
      <c r="C138" s="79"/>
      <c r="D138" s="224"/>
      <c r="E138" s="232">
        <v>0.0</v>
      </c>
      <c r="F138" s="229">
        <v>0.0</v>
      </c>
      <c r="G138" s="101">
        <f t="shared" si="1"/>
        <v>0</v>
      </c>
      <c r="H138" s="224"/>
      <c r="I138" s="227"/>
      <c r="J138" s="79"/>
      <c r="K138" s="101">
        <f t="shared" si="2"/>
        <v>0</v>
      </c>
      <c r="L138" s="224"/>
    </row>
    <row r="139">
      <c r="B139" s="79"/>
      <c r="C139" s="79"/>
      <c r="D139" s="224"/>
      <c r="E139" s="232">
        <v>0.0</v>
      </c>
      <c r="F139" s="229">
        <v>0.0</v>
      </c>
      <c r="G139" s="101">
        <f t="shared" si="1"/>
        <v>0</v>
      </c>
      <c r="H139" s="224"/>
      <c r="I139" s="227"/>
      <c r="J139" s="79"/>
      <c r="K139" s="101">
        <f t="shared" si="2"/>
        <v>0</v>
      </c>
      <c r="L139" s="224"/>
    </row>
    <row r="140">
      <c r="B140" s="79"/>
      <c r="C140" s="79"/>
      <c r="D140" s="224"/>
      <c r="E140" s="232">
        <v>0.0</v>
      </c>
      <c r="F140" s="229">
        <v>0.0</v>
      </c>
      <c r="G140" s="101">
        <f t="shared" si="1"/>
        <v>0</v>
      </c>
      <c r="H140" s="224"/>
      <c r="I140" s="227"/>
      <c r="J140" s="79"/>
      <c r="K140" s="101">
        <f t="shared" si="2"/>
        <v>0</v>
      </c>
      <c r="L140" s="224"/>
    </row>
    <row r="141">
      <c r="B141" s="79"/>
      <c r="C141" s="79"/>
      <c r="D141" s="224"/>
      <c r="E141" s="232">
        <v>0.0</v>
      </c>
      <c r="F141" s="229">
        <v>0.0</v>
      </c>
      <c r="G141" s="101">
        <f t="shared" si="1"/>
        <v>0</v>
      </c>
      <c r="H141" s="224"/>
      <c r="I141" s="227"/>
      <c r="J141" s="79"/>
      <c r="K141" s="101">
        <f t="shared" si="2"/>
        <v>0</v>
      </c>
      <c r="L141" s="224"/>
    </row>
    <row r="142">
      <c r="B142" s="79"/>
      <c r="C142" s="79"/>
      <c r="D142" s="224"/>
      <c r="E142" s="232">
        <v>0.0</v>
      </c>
      <c r="F142" s="229">
        <v>0.0</v>
      </c>
      <c r="G142" s="101">
        <f t="shared" si="1"/>
        <v>0</v>
      </c>
      <c r="H142" s="224"/>
      <c r="I142" s="227"/>
      <c r="J142" s="79"/>
      <c r="K142" s="101">
        <f t="shared" si="2"/>
        <v>0</v>
      </c>
      <c r="L142" s="224"/>
    </row>
    <row r="143">
      <c r="B143" s="79"/>
      <c r="C143" s="79"/>
      <c r="D143" s="224"/>
      <c r="E143" s="232">
        <v>0.0</v>
      </c>
      <c r="F143" s="229">
        <v>0.0</v>
      </c>
      <c r="G143" s="101">
        <f t="shared" si="1"/>
        <v>0</v>
      </c>
      <c r="H143" s="224"/>
      <c r="I143" s="227"/>
      <c r="J143" s="79"/>
      <c r="K143" s="101">
        <f t="shared" si="2"/>
        <v>0</v>
      </c>
      <c r="L143" s="224"/>
    </row>
    <row r="144">
      <c r="B144" s="79"/>
      <c r="C144" s="79"/>
      <c r="D144" s="224"/>
      <c r="E144" s="232">
        <v>0.0</v>
      </c>
      <c r="F144" s="229">
        <v>0.0</v>
      </c>
      <c r="G144" s="101">
        <f t="shared" si="1"/>
        <v>0</v>
      </c>
      <c r="H144" s="224"/>
      <c r="I144" s="227"/>
      <c r="J144" s="79"/>
      <c r="K144" s="101">
        <f t="shared" si="2"/>
        <v>0</v>
      </c>
      <c r="L144" s="224"/>
    </row>
    <row r="145">
      <c r="B145" s="79"/>
      <c r="C145" s="79"/>
      <c r="D145" s="224"/>
      <c r="E145" s="232">
        <v>0.0</v>
      </c>
      <c r="F145" s="229">
        <v>0.0</v>
      </c>
      <c r="G145" s="101">
        <f t="shared" si="1"/>
        <v>0</v>
      </c>
      <c r="H145" s="224"/>
      <c r="I145" s="227"/>
      <c r="J145" s="79"/>
      <c r="K145" s="101">
        <f t="shared" si="2"/>
        <v>0</v>
      </c>
      <c r="L145" s="224"/>
    </row>
    <row r="146">
      <c r="B146" s="79"/>
      <c r="C146" s="79"/>
      <c r="D146" s="224"/>
      <c r="E146" s="232">
        <v>0.0</v>
      </c>
      <c r="F146" s="229">
        <v>0.0</v>
      </c>
      <c r="G146" s="101">
        <f t="shared" si="1"/>
        <v>0</v>
      </c>
      <c r="H146" s="224"/>
      <c r="I146" s="227"/>
      <c r="J146" s="79"/>
      <c r="K146" s="101">
        <f t="shared" si="2"/>
        <v>0</v>
      </c>
      <c r="L146" s="224"/>
    </row>
    <row r="147">
      <c r="B147" s="79"/>
      <c r="C147" s="79"/>
      <c r="D147" s="224"/>
      <c r="E147" s="232">
        <v>0.0</v>
      </c>
      <c r="F147" s="229">
        <v>0.0</v>
      </c>
      <c r="G147" s="101">
        <f t="shared" si="1"/>
        <v>0</v>
      </c>
      <c r="H147" s="224"/>
      <c r="I147" s="227"/>
      <c r="J147" s="79"/>
      <c r="K147" s="101">
        <f t="shared" si="2"/>
        <v>0</v>
      </c>
      <c r="L147" s="224"/>
    </row>
    <row r="148">
      <c r="B148" s="79"/>
      <c r="C148" s="79"/>
      <c r="D148" s="224"/>
      <c r="E148" s="232">
        <v>0.0</v>
      </c>
      <c r="F148" s="229">
        <v>0.0</v>
      </c>
      <c r="G148" s="101">
        <f t="shared" si="1"/>
        <v>0</v>
      </c>
      <c r="H148" s="224"/>
      <c r="I148" s="227"/>
      <c r="J148" s="79"/>
      <c r="K148" s="101">
        <f t="shared" si="2"/>
        <v>0</v>
      </c>
      <c r="L148" s="224"/>
    </row>
    <row r="149">
      <c r="B149" s="79"/>
      <c r="C149" s="79"/>
      <c r="D149" s="224"/>
      <c r="E149" s="232">
        <v>0.0</v>
      </c>
      <c r="F149" s="229">
        <v>0.0</v>
      </c>
      <c r="G149" s="101">
        <f t="shared" si="1"/>
        <v>0</v>
      </c>
      <c r="H149" s="224"/>
      <c r="I149" s="227"/>
      <c r="J149" s="79"/>
      <c r="K149" s="101">
        <f t="shared" si="2"/>
        <v>0</v>
      </c>
      <c r="L149" s="224"/>
    </row>
    <row r="150">
      <c r="B150" s="79"/>
      <c r="C150" s="79"/>
      <c r="D150" s="224"/>
      <c r="E150" s="232">
        <v>0.0</v>
      </c>
      <c r="F150" s="229">
        <v>0.0</v>
      </c>
      <c r="G150" s="101">
        <f t="shared" si="1"/>
        <v>0</v>
      </c>
      <c r="H150" s="224"/>
      <c r="I150" s="227"/>
      <c r="J150" s="79"/>
      <c r="K150" s="101">
        <f t="shared" si="2"/>
        <v>0</v>
      </c>
      <c r="L150" s="224"/>
    </row>
    <row r="151">
      <c r="B151" s="79"/>
      <c r="C151" s="79"/>
      <c r="D151" s="224"/>
      <c r="E151" s="232">
        <v>0.0</v>
      </c>
      <c r="F151" s="229">
        <v>0.0</v>
      </c>
      <c r="G151" s="101">
        <f t="shared" si="1"/>
        <v>0</v>
      </c>
      <c r="H151" s="224"/>
      <c r="I151" s="227"/>
      <c r="J151" s="79"/>
      <c r="K151" s="101">
        <f t="shared" si="2"/>
        <v>0</v>
      </c>
      <c r="L151" s="224"/>
    </row>
    <row r="152">
      <c r="B152" s="79"/>
      <c r="C152" s="79"/>
      <c r="D152" s="224"/>
      <c r="E152" s="232">
        <v>0.0</v>
      </c>
      <c r="F152" s="229">
        <v>0.0</v>
      </c>
      <c r="G152" s="101">
        <f t="shared" si="1"/>
        <v>0</v>
      </c>
      <c r="H152" s="224"/>
      <c r="I152" s="227"/>
      <c r="J152" s="79"/>
      <c r="K152" s="101">
        <f t="shared" si="2"/>
        <v>0</v>
      </c>
      <c r="L152" s="224"/>
    </row>
    <row r="153">
      <c r="B153" s="79"/>
      <c r="C153" s="79"/>
      <c r="D153" s="224"/>
      <c r="E153" s="232">
        <v>0.0</v>
      </c>
      <c r="F153" s="229">
        <v>0.0</v>
      </c>
      <c r="G153" s="101">
        <f t="shared" si="1"/>
        <v>0</v>
      </c>
      <c r="H153" s="224"/>
      <c r="I153" s="227"/>
      <c r="J153" s="79"/>
      <c r="K153" s="101">
        <f t="shared" si="2"/>
        <v>0</v>
      </c>
      <c r="L153" s="224"/>
    </row>
    <row r="154">
      <c r="B154" s="79"/>
      <c r="C154" s="79"/>
      <c r="D154" s="224"/>
      <c r="E154" s="232">
        <v>0.0</v>
      </c>
      <c r="F154" s="229">
        <v>0.0</v>
      </c>
      <c r="G154" s="101">
        <f t="shared" si="1"/>
        <v>0</v>
      </c>
      <c r="H154" s="224"/>
      <c r="I154" s="227"/>
      <c r="J154" s="79"/>
      <c r="K154" s="101">
        <f t="shared" si="2"/>
        <v>0</v>
      </c>
      <c r="L154" s="224"/>
    </row>
    <row r="155">
      <c r="B155" s="79"/>
      <c r="C155" s="79"/>
      <c r="D155" s="224"/>
      <c r="E155" s="232">
        <v>0.0</v>
      </c>
      <c r="F155" s="229">
        <v>0.0</v>
      </c>
      <c r="G155" s="101">
        <f t="shared" si="1"/>
        <v>0</v>
      </c>
      <c r="H155" s="224"/>
      <c r="I155" s="227"/>
      <c r="J155" s="79"/>
      <c r="K155" s="101">
        <f t="shared" si="2"/>
        <v>0</v>
      </c>
      <c r="L155" s="224"/>
    </row>
    <row r="156">
      <c r="B156" s="79"/>
      <c r="C156" s="79"/>
      <c r="D156" s="224"/>
      <c r="E156" s="232">
        <v>0.0</v>
      </c>
      <c r="F156" s="229">
        <v>0.0</v>
      </c>
      <c r="G156" s="101">
        <f t="shared" si="1"/>
        <v>0</v>
      </c>
      <c r="H156" s="224"/>
      <c r="I156" s="227"/>
      <c r="J156" s="79"/>
      <c r="K156" s="101">
        <f t="shared" si="2"/>
        <v>0</v>
      </c>
      <c r="L156" s="224"/>
    </row>
    <row r="157">
      <c r="B157" s="79"/>
      <c r="C157" s="79"/>
      <c r="D157" s="224"/>
      <c r="E157" s="232">
        <v>0.0</v>
      </c>
      <c r="F157" s="229">
        <v>0.0</v>
      </c>
      <c r="G157" s="101">
        <f t="shared" si="1"/>
        <v>0</v>
      </c>
      <c r="H157" s="224"/>
      <c r="I157" s="227"/>
      <c r="J157" s="79"/>
      <c r="K157" s="101">
        <f t="shared" si="2"/>
        <v>0</v>
      </c>
      <c r="L157" s="224"/>
    </row>
    <row r="158">
      <c r="B158" s="79"/>
      <c r="C158" s="79"/>
      <c r="D158" s="224"/>
      <c r="E158" s="232">
        <v>0.0</v>
      </c>
      <c r="F158" s="229">
        <v>0.0</v>
      </c>
      <c r="G158" s="101">
        <f t="shared" si="1"/>
        <v>0</v>
      </c>
      <c r="H158" s="224"/>
      <c r="I158" s="227"/>
      <c r="J158" s="79"/>
      <c r="K158" s="101">
        <f t="shared" si="2"/>
        <v>0</v>
      </c>
      <c r="L158" s="224"/>
    </row>
    <row r="159">
      <c r="B159" s="79"/>
      <c r="C159" s="79"/>
      <c r="D159" s="224"/>
      <c r="E159" s="232">
        <v>0.0</v>
      </c>
      <c r="F159" s="229">
        <v>0.0</v>
      </c>
      <c r="G159" s="101">
        <f t="shared" si="1"/>
        <v>0</v>
      </c>
      <c r="H159" s="224"/>
      <c r="I159" s="227"/>
      <c r="J159" s="79"/>
      <c r="K159" s="101">
        <f t="shared" si="2"/>
        <v>0</v>
      </c>
      <c r="L159" s="224"/>
    </row>
    <row r="160">
      <c r="B160" s="79"/>
      <c r="C160" s="79"/>
      <c r="D160" s="224"/>
      <c r="E160" s="232">
        <v>0.0</v>
      </c>
      <c r="F160" s="229">
        <v>0.0</v>
      </c>
      <c r="G160" s="101">
        <f t="shared" si="1"/>
        <v>0</v>
      </c>
      <c r="H160" s="224"/>
      <c r="I160" s="227"/>
      <c r="J160" s="79"/>
      <c r="K160" s="101">
        <f t="shared" si="2"/>
        <v>0</v>
      </c>
      <c r="L160" s="224"/>
    </row>
    <row r="161">
      <c r="B161" s="79"/>
      <c r="C161" s="79"/>
      <c r="D161" s="224"/>
      <c r="E161" s="232">
        <v>0.0</v>
      </c>
      <c r="F161" s="229">
        <v>0.0</v>
      </c>
      <c r="G161" s="101">
        <f t="shared" si="1"/>
        <v>0</v>
      </c>
      <c r="H161" s="224"/>
      <c r="I161" s="227"/>
      <c r="J161" s="79"/>
      <c r="K161" s="101">
        <f t="shared" si="2"/>
        <v>0</v>
      </c>
      <c r="L161" s="224"/>
    </row>
    <row r="162">
      <c r="B162" s="79"/>
      <c r="C162" s="79"/>
      <c r="D162" s="224"/>
      <c r="E162" s="232">
        <v>0.0</v>
      </c>
      <c r="F162" s="229">
        <v>0.0</v>
      </c>
      <c r="G162" s="101">
        <f t="shared" si="1"/>
        <v>0</v>
      </c>
      <c r="H162" s="224"/>
      <c r="I162" s="227"/>
      <c r="J162" s="79"/>
      <c r="K162" s="101">
        <f t="shared" si="2"/>
        <v>0</v>
      </c>
      <c r="L162" s="224"/>
    </row>
    <row r="163">
      <c r="B163" s="79"/>
      <c r="C163" s="79"/>
      <c r="D163" s="224"/>
      <c r="E163" s="232">
        <v>0.0</v>
      </c>
      <c r="F163" s="229">
        <v>0.0</v>
      </c>
      <c r="G163" s="101">
        <f t="shared" si="1"/>
        <v>0</v>
      </c>
      <c r="H163" s="224"/>
      <c r="I163" s="227"/>
      <c r="J163" s="79"/>
      <c r="K163" s="101">
        <f t="shared" si="2"/>
        <v>0</v>
      </c>
      <c r="L163" s="224"/>
    </row>
    <row r="164">
      <c r="B164" s="79"/>
      <c r="C164" s="79"/>
      <c r="D164" s="224"/>
      <c r="E164" s="232">
        <v>0.0</v>
      </c>
      <c r="F164" s="229">
        <v>0.0</v>
      </c>
      <c r="G164" s="101">
        <f t="shared" si="1"/>
        <v>0</v>
      </c>
      <c r="H164" s="224"/>
      <c r="I164" s="227"/>
      <c r="J164" s="79"/>
      <c r="K164" s="101">
        <f t="shared" si="2"/>
        <v>0</v>
      </c>
      <c r="L164" s="224"/>
    </row>
    <row r="165">
      <c r="B165" s="79"/>
      <c r="C165" s="79"/>
      <c r="D165" s="224"/>
      <c r="E165" s="232">
        <v>0.0</v>
      </c>
      <c r="F165" s="229">
        <v>0.0</v>
      </c>
      <c r="G165" s="101">
        <f t="shared" si="1"/>
        <v>0</v>
      </c>
      <c r="H165" s="224"/>
      <c r="I165" s="227"/>
      <c r="J165" s="79"/>
      <c r="K165" s="101">
        <f t="shared" si="2"/>
        <v>0</v>
      </c>
      <c r="L165" s="224"/>
    </row>
    <row r="166">
      <c r="B166" s="79"/>
      <c r="C166" s="79"/>
      <c r="D166" s="224"/>
      <c r="E166" s="232">
        <v>0.0</v>
      </c>
      <c r="F166" s="229">
        <v>0.0</v>
      </c>
      <c r="G166" s="101">
        <f t="shared" si="1"/>
        <v>0</v>
      </c>
      <c r="H166" s="224"/>
      <c r="I166" s="227"/>
      <c r="J166" s="79"/>
      <c r="K166" s="101">
        <f t="shared" si="2"/>
        <v>0</v>
      </c>
      <c r="L166" s="224"/>
    </row>
    <row r="167">
      <c r="B167" s="79"/>
      <c r="C167" s="79"/>
      <c r="D167" s="224"/>
      <c r="E167" s="232">
        <v>0.0</v>
      </c>
      <c r="F167" s="229">
        <v>0.0</v>
      </c>
      <c r="G167" s="101">
        <f t="shared" si="1"/>
        <v>0</v>
      </c>
      <c r="H167" s="224"/>
      <c r="I167" s="227"/>
      <c r="J167" s="79"/>
      <c r="K167" s="101">
        <f t="shared" si="2"/>
        <v>0</v>
      </c>
      <c r="L167" s="224"/>
    </row>
    <row r="168">
      <c r="B168" s="79"/>
      <c r="C168" s="79"/>
      <c r="D168" s="224"/>
      <c r="E168" s="232">
        <v>0.0</v>
      </c>
      <c r="F168" s="229">
        <v>0.0</v>
      </c>
      <c r="G168" s="101">
        <f t="shared" si="1"/>
        <v>0</v>
      </c>
      <c r="H168" s="224"/>
      <c r="I168" s="227"/>
      <c r="J168" s="79"/>
      <c r="K168" s="101">
        <f t="shared" si="2"/>
        <v>0</v>
      </c>
      <c r="L168" s="224"/>
    </row>
    <row r="169">
      <c r="B169" s="79"/>
      <c r="C169" s="79"/>
      <c r="D169" s="224"/>
      <c r="E169" s="232">
        <v>0.0</v>
      </c>
      <c r="F169" s="229">
        <v>0.0</v>
      </c>
      <c r="G169" s="101">
        <f t="shared" si="1"/>
        <v>0</v>
      </c>
      <c r="H169" s="224"/>
      <c r="I169" s="227"/>
      <c r="J169" s="79"/>
      <c r="K169" s="101">
        <f t="shared" si="2"/>
        <v>0</v>
      </c>
      <c r="L169" s="224"/>
    </row>
    <row r="170">
      <c r="B170" s="79"/>
      <c r="C170" s="79"/>
      <c r="D170" s="224"/>
      <c r="E170" s="232">
        <v>0.0</v>
      </c>
      <c r="F170" s="229">
        <v>0.0</v>
      </c>
      <c r="G170" s="101">
        <f t="shared" si="1"/>
        <v>0</v>
      </c>
      <c r="H170" s="224"/>
      <c r="I170" s="227"/>
      <c r="J170" s="79"/>
      <c r="K170" s="101">
        <f t="shared" si="2"/>
        <v>0</v>
      </c>
      <c r="L170" s="224"/>
    </row>
    <row r="171">
      <c r="B171" s="79"/>
      <c r="C171" s="79"/>
      <c r="D171" s="224"/>
      <c r="E171" s="232">
        <v>0.0</v>
      </c>
      <c r="F171" s="229">
        <v>0.0</v>
      </c>
      <c r="G171" s="101">
        <f t="shared" si="1"/>
        <v>0</v>
      </c>
      <c r="H171" s="224"/>
      <c r="I171" s="227"/>
      <c r="J171" s="79"/>
      <c r="K171" s="101">
        <f t="shared" si="2"/>
        <v>0</v>
      </c>
      <c r="L171" s="224"/>
    </row>
    <row r="172"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</row>
    <row r="173"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</row>
    <row r="174"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</row>
    <row r="175"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</row>
    <row r="176"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</row>
    <row r="177"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</row>
    <row r="178"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</row>
    <row r="179"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</row>
    <row r="180"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</row>
    <row r="181"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</row>
    <row r="182"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</row>
    <row r="183"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</row>
    <row r="184"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</row>
    <row r="185"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</row>
    <row r="186"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</row>
    <row r="187"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</row>
    <row r="188"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</row>
    <row r="189"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</row>
    <row r="190"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</row>
    <row r="191"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</row>
    <row r="192"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</row>
    <row r="193"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</row>
    <row r="194"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</row>
    <row r="195"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</row>
    <row r="196"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</row>
    <row r="197"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</row>
    <row r="198"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</row>
    <row r="199"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</row>
    <row r="200"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</row>
    <row r="201"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</row>
    <row r="202"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</row>
    <row r="203"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</row>
    <row r="204"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</row>
    <row r="205"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</row>
    <row r="206"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</row>
    <row r="207"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</row>
    <row r="208"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</row>
    <row r="209"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</row>
    <row r="210"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</row>
    <row r="211"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</row>
    <row r="212"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</row>
    <row r="213"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</row>
    <row r="214"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</row>
    <row r="215"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</row>
    <row r="216"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</row>
    <row r="217"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</row>
    <row r="218"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</row>
    <row r="219"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</row>
    <row r="220"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</row>
    <row r="221"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</row>
    <row r="222"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</row>
    <row r="223"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</row>
    <row r="224"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</row>
    <row r="225"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</row>
    <row r="226"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</row>
    <row r="227"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</row>
    <row r="228"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</row>
    <row r="229"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</row>
    <row r="230"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</row>
    <row r="231"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</row>
    <row r="232"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</row>
    <row r="233"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</row>
    <row r="234"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</row>
    <row r="235"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</row>
    <row r="236"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</row>
    <row r="237"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</row>
    <row r="238"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</row>
    <row r="239"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</row>
    <row r="240"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</row>
    <row r="241"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</row>
    <row r="242"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</row>
    <row r="243"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</row>
    <row r="244"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</row>
    <row r="245"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</row>
    <row r="246"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</row>
    <row r="247"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</row>
    <row r="248"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</row>
    <row r="249"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</row>
    <row r="250"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</row>
    <row r="251"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</row>
    <row r="252"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</row>
    <row r="253"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</row>
    <row r="254"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</row>
    <row r="255"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</row>
    <row r="256"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</row>
    <row r="257"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</row>
    <row r="258"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</row>
    <row r="259"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</row>
    <row r="260"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</row>
    <row r="261"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</row>
    <row r="262"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</row>
    <row r="263"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</row>
    <row r="264"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</row>
    <row r="265"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</row>
    <row r="266"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</row>
    <row r="267"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</row>
    <row r="268"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</row>
    <row r="269"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</row>
    <row r="270"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</row>
    <row r="271"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</row>
    <row r="272"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</row>
    <row r="273"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</row>
    <row r="274"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</row>
    <row r="275"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</row>
    <row r="276"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</row>
    <row r="277"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</row>
    <row r="278"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</row>
    <row r="279"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</row>
    <row r="280"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</row>
    <row r="281"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</row>
    <row r="282"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</row>
    <row r="283"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</row>
    <row r="284"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</row>
    <row r="285"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</row>
    <row r="286"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</row>
    <row r="287"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</row>
    <row r="288"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</row>
    <row r="289"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</row>
    <row r="290"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</row>
    <row r="291"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</row>
    <row r="292"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</row>
    <row r="293"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</row>
    <row r="294"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</row>
    <row r="295"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</row>
    <row r="296"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</row>
    <row r="297"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</row>
    <row r="298"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</row>
    <row r="299"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</row>
    <row r="300"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</row>
    <row r="301"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</row>
    <row r="302"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</row>
    <row r="303"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</row>
    <row r="304"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</row>
    <row r="305"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</row>
    <row r="306"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</row>
    <row r="307"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</row>
    <row r="308"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</row>
    <row r="309"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</row>
    <row r="310"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</row>
    <row r="311"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</row>
    <row r="312"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</row>
    <row r="313"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</row>
    <row r="314"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</row>
    <row r="315"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</row>
    <row r="316"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</row>
    <row r="317"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</row>
    <row r="318"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</row>
    <row r="319"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</row>
    <row r="320"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</row>
    <row r="321"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</row>
    <row r="322"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</row>
    <row r="323"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</row>
    <row r="324"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</row>
    <row r="325"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</row>
    <row r="326"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</row>
    <row r="327"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</row>
    <row r="328"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</row>
    <row r="329"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</row>
    <row r="330"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</row>
    <row r="331"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</row>
    <row r="332"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</row>
    <row r="333"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</row>
    <row r="334"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</row>
    <row r="335"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</row>
    <row r="336"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</row>
    <row r="337"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</row>
    <row r="338"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</row>
    <row r="339"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</row>
    <row r="340"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</row>
    <row r="341"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</row>
    <row r="342"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</row>
    <row r="343"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</row>
    <row r="344"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</row>
    <row r="345"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</row>
    <row r="346"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</row>
    <row r="347"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</row>
    <row r="348"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</row>
    <row r="349"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</row>
    <row r="350"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</row>
    <row r="351"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</row>
    <row r="352"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</row>
    <row r="353"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</row>
    <row r="354"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</row>
    <row r="355"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</row>
    <row r="356"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</row>
    <row r="357"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</row>
    <row r="358"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</row>
    <row r="359"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</row>
    <row r="360"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</row>
    <row r="361"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</row>
    <row r="362"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</row>
    <row r="363"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</row>
    <row r="364"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</row>
    <row r="365"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</row>
    <row r="366"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</row>
    <row r="367"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</row>
    <row r="368"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</row>
    <row r="369"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</row>
    <row r="370"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</row>
    <row r="371"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</row>
    <row r="372"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</row>
    <row r="373"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</row>
    <row r="374"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</row>
    <row r="375"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</row>
    <row r="376"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</row>
    <row r="377"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</row>
    <row r="378"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</row>
    <row r="379"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</row>
    <row r="380"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</row>
    <row r="381"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</row>
    <row r="382"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</row>
    <row r="383"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</row>
    <row r="384"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</row>
    <row r="385"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</row>
    <row r="386"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</row>
    <row r="387"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</row>
    <row r="388"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</row>
    <row r="389"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</row>
    <row r="390"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</row>
    <row r="391"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</row>
    <row r="392"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</row>
    <row r="393"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</row>
    <row r="394"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</row>
    <row r="395"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</row>
    <row r="396"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</row>
    <row r="397"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</row>
    <row r="398"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</row>
    <row r="399"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</row>
    <row r="400"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</row>
    <row r="401"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</row>
    <row r="402"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</row>
    <row r="403"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</row>
    <row r="404"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</row>
    <row r="405"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</row>
    <row r="406"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</row>
    <row r="407"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</row>
    <row r="408"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</row>
    <row r="409"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</row>
    <row r="410"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</row>
    <row r="411"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</row>
    <row r="412"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</row>
    <row r="413"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</row>
    <row r="414"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</row>
    <row r="415"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</row>
    <row r="416"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</row>
    <row r="417"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</row>
    <row r="418"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</row>
    <row r="419"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</row>
    <row r="420"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</row>
    <row r="421"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</row>
    <row r="422"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</row>
    <row r="423"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</row>
    <row r="424"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</row>
    <row r="425"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</row>
    <row r="426"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</row>
    <row r="427"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</row>
    <row r="428"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</row>
    <row r="429"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</row>
    <row r="430"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</row>
    <row r="431"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</row>
    <row r="432"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</row>
    <row r="433"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</row>
    <row r="434"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</row>
    <row r="435"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</row>
    <row r="436"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</row>
    <row r="437"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</row>
    <row r="438"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</row>
    <row r="439"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</row>
    <row r="440"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</row>
    <row r="441"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</row>
    <row r="442"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</row>
    <row r="443"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</row>
    <row r="444"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</row>
    <row r="445"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</row>
    <row r="446"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</row>
    <row r="447"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</row>
    <row r="448"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</row>
    <row r="449"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</row>
    <row r="450"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</row>
    <row r="451"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</row>
    <row r="452"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</row>
    <row r="453"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</row>
    <row r="454"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</row>
    <row r="455"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</row>
    <row r="456"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</row>
    <row r="457"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</row>
    <row r="458"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</row>
    <row r="459"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</row>
    <row r="460"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</row>
    <row r="461"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</row>
    <row r="462"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</row>
    <row r="463"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</row>
    <row r="464"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</row>
    <row r="465"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</row>
    <row r="466"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</row>
    <row r="467"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</row>
    <row r="468"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</row>
    <row r="469"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</row>
    <row r="470"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</row>
    <row r="471"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</row>
    <row r="472"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</row>
    <row r="473"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</row>
    <row r="474"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</row>
    <row r="475"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</row>
    <row r="476"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</row>
    <row r="477"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</row>
    <row r="478"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</row>
    <row r="479"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</row>
    <row r="480"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</row>
    <row r="481"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</row>
    <row r="482"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</row>
    <row r="483"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</row>
    <row r="484"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</row>
    <row r="485"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</row>
    <row r="486"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</row>
    <row r="487"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</row>
    <row r="488"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</row>
    <row r="489"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</row>
    <row r="490"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</row>
    <row r="491"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</row>
    <row r="492"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</row>
    <row r="493"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</row>
    <row r="494"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</row>
    <row r="495"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</row>
    <row r="496"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</row>
    <row r="497"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</row>
    <row r="498"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</row>
    <row r="499"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</row>
    <row r="500"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</row>
    <row r="501"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</row>
    <row r="502"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</row>
    <row r="503"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</row>
    <row r="504"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</row>
    <row r="505"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</row>
    <row r="506"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</row>
    <row r="507"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</row>
    <row r="508"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</row>
    <row r="509"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</row>
    <row r="510"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</row>
    <row r="511"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</row>
    <row r="512"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</row>
    <row r="513"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</row>
    <row r="514"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</row>
    <row r="515"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</row>
    <row r="516"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</row>
    <row r="517"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</row>
    <row r="518"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</row>
    <row r="519"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</row>
    <row r="520"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</row>
    <row r="521"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</row>
    <row r="522"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</row>
    <row r="523"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</row>
    <row r="524"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</row>
    <row r="525"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</row>
    <row r="526"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</row>
    <row r="527"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</row>
    <row r="528"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</row>
    <row r="529"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</row>
    <row r="530"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</row>
    <row r="531"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</row>
    <row r="532"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</row>
    <row r="533"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</row>
    <row r="534"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</row>
    <row r="535"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</row>
    <row r="536"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</row>
    <row r="537"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</row>
    <row r="538"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</row>
    <row r="539"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</row>
    <row r="540"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</row>
    <row r="541"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</row>
    <row r="542"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</row>
    <row r="543"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</row>
    <row r="544"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</row>
    <row r="545"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</row>
    <row r="546"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</row>
    <row r="547"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</row>
    <row r="548"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</row>
    <row r="549"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</row>
    <row r="550"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</row>
    <row r="551"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</row>
    <row r="552"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</row>
    <row r="553"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</row>
    <row r="554"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</row>
    <row r="555"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</row>
    <row r="556"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</row>
    <row r="557"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</row>
    <row r="558"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</row>
    <row r="559"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</row>
    <row r="560"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</row>
    <row r="561"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</row>
    <row r="562"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</row>
    <row r="563"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</row>
    <row r="564"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</row>
    <row r="565"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</row>
    <row r="566"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</row>
    <row r="567"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</row>
    <row r="568"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</row>
    <row r="569"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</row>
    <row r="570"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</row>
    <row r="571"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</row>
    <row r="572"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</row>
    <row r="573"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</row>
    <row r="574"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</row>
    <row r="575"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</row>
    <row r="576"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</row>
    <row r="577"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</row>
    <row r="578"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</row>
    <row r="579"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</row>
    <row r="580"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</row>
    <row r="581"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</row>
    <row r="582"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</row>
    <row r="583"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</row>
    <row r="584"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</row>
    <row r="585"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</row>
    <row r="586"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</row>
    <row r="587"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</row>
    <row r="588"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</row>
    <row r="589"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</row>
    <row r="590"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</row>
    <row r="591"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</row>
    <row r="592"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</row>
    <row r="593"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</row>
    <row r="594"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</row>
    <row r="595"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</row>
    <row r="596"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</row>
    <row r="597"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</row>
    <row r="598"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</row>
    <row r="599"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</row>
    <row r="600"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</row>
    <row r="601"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</row>
    <row r="602"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</row>
    <row r="603"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</row>
    <row r="604"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</row>
    <row r="605"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</row>
    <row r="606"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</row>
    <row r="607"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</row>
    <row r="608"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</row>
    <row r="609"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</row>
    <row r="610"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</row>
    <row r="611"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</row>
    <row r="612"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</row>
    <row r="613"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</row>
    <row r="614"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</row>
    <row r="615"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</row>
    <row r="616"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</row>
    <row r="617"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</row>
    <row r="618"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</row>
    <row r="619"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</row>
    <row r="620"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</row>
    <row r="621"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</row>
    <row r="622"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</row>
    <row r="623"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</row>
    <row r="624"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</row>
    <row r="625"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</row>
    <row r="626"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</row>
    <row r="627"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</row>
    <row r="628"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</row>
    <row r="629"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</row>
    <row r="630"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</row>
    <row r="631"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</row>
    <row r="632"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</row>
    <row r="633"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</row>
    <row r="634"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</row>
    <row r="635"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</row>
    <row r="636"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</row>
    <row r="637"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</row>
    <row r="638"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</row>
    <row r="639"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</row>
    <row r="640"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</row>
    <row r="641"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</row>
    <row r="642"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</row>
    <row r="643"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</row>
    <row r="644"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</row>
    <row r="645"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</row>
    <row r="646"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</row>
    <row r="647"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</row>
    <row r="648"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</row>
    <row r="649"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</row>
    <row r="650"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</row>
    <row r="651"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</row>
    <row r="652"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</row>
    <row r="653"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</row>
    <row r="654"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</row>
    <row r="655"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</row>
    <row r="656"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</row>
    <row r="657"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</row>
    <row r="658"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</row>
    <row r="659"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</row>
    <row r="660"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</row>
    <row r="661"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</row>
    <row r="662"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</row>
    <row r="663"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</row>
    <row r="664"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</row>
    <row r="665"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</row>
    <row r="666"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</row>
    <row r="667"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</row>
    <row r="668"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</row>
    <row r="669"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</row>
    <row r="670"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</row>
    <row r="671"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</row>
    <row r="672"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</row>
    <row r="673"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</row>
    <row r="674"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</row>
    <row r="675"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</row>
    <row r="676"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</row>
    <row r="677"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</row>
    <row r="678"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</row>
    <row r="679"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</row>
    <row r="680"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</row>
    <row r="681"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</row>
    <row r="682"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</row>
    <row r="683"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</row>
    <row r="684"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</row>
    <row r="685"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</row>
    <row r="686"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</row>
    <row r="687"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</row>
    <row r="688"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</row>
    <row r="689"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</row>
    <row r="690"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</row>
    <row r="691"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</row>
    <row r="692"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</row>
    <row r="693"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</row>
    <row r="694"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</row>
    <row r="695"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</row>
    <row r="696"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</row>
    <row r="697"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</row>
    <row r="698"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</row>
    <row r="699"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</row>
    <row r="700"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</row>
    <row r="701"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</row>
    <row r="702"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</row>
    <row r="703"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</row>
    <row r="704"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</row>
    <row r="705"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</row>
    <row r="706"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</row>
    <row r="707"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</row>
    <row r="708"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</row>
    <row r="709"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</row>
    <row r="710"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</row>
    <row r="711"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</row>
    <row r="712"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</row>
    <row r="713"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</row>
    <row r="714"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</row>
    <row r="715"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</row>
    <row r="716"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</row>
    <row r="717"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</row>
    <row r="718"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</row>
    <row r="719"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</row>
    <row r="720"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</row>
    <row r="721"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</row>
    <row r="722"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</row>
    <row r="723"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</row>
    <row r="724"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</row>
    <row r="725"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</row>
    <row r="726"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</row>
    <row r="727"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</row>
    <row r="728"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</row>
    <row r="729"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</row>
    <row r="730"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</row>
    <row r="731"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</row>
    <row r="732"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</row>
    <row r="733"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</row>
    <row r="734"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</row>
    <row r="735"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</row>
    <row r="736"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</row>
    <row r="737"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</row>
    <row r="738"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</row>
    <row r="739"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</row>
    <row r="740"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</row>
    <row r="741"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</row>
    <row r="742"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</row>
    <row r="743"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</row>
    <row r="744"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</row>
    <row r="745"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</row>
    <row r="746"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</row>
    <row r="747"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</row>
    <row r="748"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</row>
    <row r="749"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</row>
    <row r="750"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</row>
    <row r="751"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</row>
    <row r="752"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</row>
    <row r="753"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</row>
    <row r="754"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</row>
    <row r="755"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</row>
    <row r="756"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</row>
    <row r="757"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</row>
    <row r="758"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</row>
    <row r="759"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</row>
    <row r="760"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</row>
    <row r="761"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</row>
    <row r="762"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</row>
    <row r="763"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</row>
    <row r="764"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</row>
    <row r="765"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</row>
    <row r="766"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</row>
    <row r="767"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</row>
    <row r="768"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</row>
    <row r="769"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</row>
    <row r="770"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</row>
    <row r="771"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</row>
    <row r="772"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</row>
    <row r="773"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</row>
    <row r="774"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</row>
    <row r="775"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</row>
    <row r="776"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</row>
    <row r="777"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</row>
    <row r="778"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</row>
    <row r="779"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</row>
    <row r="780"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</row>
    <row r="781"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</row>
    <row r="782"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</row>
    <row r="783"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</row>
    <row r="784"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</row>
    <row r="785"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</row>
    <row r="786"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</row>
    <row r="787"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</row>
    <row r="788"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</row>
    <row r="789"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</row>
    <row r="790"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</row>
    <row r="791"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</row>
    <row r="792"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</row>
    <row r="793"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</row>
    <row r="794"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</row>
    <row r="795"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</row>
    <row r="796"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</row>
    <row r="797"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</row>
    <row r="798"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</row>
    <row r="799"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</row>
    <row r="800"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</row>
    <row r="801"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</row>
    <row r="802"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</row>
    <row r="803"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</row>
    <row r="804"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</row>
    <row r="805"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</row>
    <row r="806"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</row>
    <row r="807"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</row>
    <row r="808"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</row>
    <row r="809"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</row>
    <row r="810"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</row>
    <row r="811"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</row>
    <row r="812"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</row>
    <row r="813"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</row>
    <row r="814"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</row>
    <row r="815"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</row>
    <row r="816"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</row>
    <row r="817"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</row>
    <row r="818"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</row>
    <row r="819"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</row>
    <row r="820"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</row>
    <row r="821"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</row>
    <row r="822"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</row>
    <row r="823"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</row>
    <row r="824"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</row>
    <row r="825"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</row>
    <row r="826"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</row>
    <row r="827"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</row>
    <row r="828"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</row>
    <row r="829"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</row>
    <row r="830"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</row>
    <row r="831"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</row>
    <row r="832"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</row>
    <row r="833"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</row>
    <row r="834"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</row>
    <row r="835"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</row>
    <row r="836"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</row>
    <row r="837"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</row>
    <row r="838"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</row>
    <row r="839"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</row>
    <row r="840"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</row>
    <row r="841"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</row>
    <row r="842"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</row>
    <row r="843"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</row>
    <row r="844"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</row>
    <row r="845"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</row>
    <row r="846"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</row>
    <row r="847"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</row>
    <row r="848"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</row>
    <row r="849"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</row>
    <row r="850"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</row>
    <row r="851"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</row>
    <row r="852"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</row>
    <row r="853"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</row>
    <row r="854"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</row>
    <row r="855"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</row>
    <row r="856"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</row>
    <row r="857"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</row>
    <row r="858"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</row>
    <row r="859"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</row>
    <row r="860"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</row>
    <row r="861"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</row>
    <row r="862"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</row>
    <row r="863"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</row>
    <row r="864"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</row>
    <row r="865"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</row>
    <row r="866"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</row>
    <row r="867"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</row>
    <row r="868"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</row>
    <row r="869"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</row>
    <row r="870"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</row>
    <row r="871"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</row>
    <row r="872"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</row>
    <row r="873"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</row>
    <row r="874"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</row>
    <row r="875"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</row>
    <row r="876"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</row>
    <row r="877"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</row>
    <row r="878"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</row>
    <row r="879"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</row>
    <row r="880"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</row>
    <row r="881"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</row>
    <row r="882"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</row>
    <row r="883"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</row>
    <row r="884"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</row>
    <row r="885"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</row>
    <row r="886"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</row>
    <row r="887"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</row>
    <row r="888"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</row>
    <row r="889"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</row>
    <row r="890"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</row>
    <row r="891"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</row>
    <row r="892"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</row>
    <row r="893"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</row>
    <row r="894"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</row>
    <row r="895"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</row>
    <row r="896"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</row>
    <row r="897"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</row>
    <row r="898"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</row>
    <row r="899"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</row>
    <row r="900"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</row>
    <row r="901"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</row>
    <row r="902"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</row>
    <row r="903"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</row>
    <row r="904"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</row>
    <row r="905"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</row>
    <row r="906"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</row>
    <row r="907"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</row>
    <row r="908"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</row>
    <row r="909"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</row>
    <row r="910"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</row>
    <row r="911"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</row>
    <row r="912"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</row>
    <row r="913"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</row>
    <row r="914"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</row>
    <row r="915"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</row>
    <row r="916"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</row>
    <row r="917"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</row>
    <row r="918"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</row>
    <row r="919"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</row>
    <row r="920"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</row>
    <row r="921"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</row>
    <row r="922"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</row>
    <row r="923"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</row>
    <row r="924"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</row>
    <row r="925"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</row>
    <row r="926"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</row>
    <row r="927"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</row>
    <row r="928"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</row>
    <row r="929"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</row>
    <row r="930"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</row>
    <row r="931"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</row>
    <row r="932"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</row>
    <row r="933"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</row>
    <row r="934"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</row>
    <row r="935"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</row>
    <row r="936"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</row>
    <row r="937"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</row>
    <row r="938"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</row>
    <row r="939"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</row>
    <row r="940"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</row>
    <row r="941"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</row>
    <row r="942"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</row>
    <row r="943"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</row>
    <row r="944"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</row>
    <row r="945"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</row>
    <row r="946"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</row>
    <row r="947"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</row>
    <row r="948"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</row>
    <row r="949"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</row>
    <row r="950"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</row>
    <row r="951"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</row>
    <row r="952"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</row>
    <row r="953"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</row>
    <row r="954"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</row>
    <row r="955"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</row>
    <row r="956"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</row>
    <row r="957"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</row>
    <row r="958"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</row>
    <row r="959"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</row>
    <row r="960"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</row>
    <row r="961"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</row>
    <row r="962"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</row>
    <row r="963"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</row>
    <row r="964"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</row>
    <row r="965"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</row>
    <row r="966"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</row>
    <row r="967"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</row>
    <row r="968"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</row>
    <row r="969"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</row>
    <row r="970"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</row>
    <row r="971"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</row>
    <row r="972"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</row>
    <row r="973"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</row>
    <row r="974"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</row>
    <row r="975"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</row>
    <row r="976"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</row>
    <row r="977"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</row>
    <row r="978"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</row>
    <row r="979"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</row>
    <row r="980"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</row>
    <row r="981"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</row>
    <row r="982"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</row>
    <row r="983"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</row>
    <row r="984"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</row>
    <row r="985"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</row>
    <row r="986"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</row>
    <row r="987"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</row>
    <row r="988"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</row>
    <row r="989"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</row>
    <row r="990"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</row>
    <row r="991"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</row>
    <row r="992"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</row>
    <row r="993"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</row>
    <row r="994"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</row>
    <row r="995"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</row>
    <row r="996"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</row>
    <row r="997"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</row>
    <row r="998"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</row>
    <row r="999"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</row>
    <row r="1000"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</row>
    <row r="1001"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</row>
    <row r="1002">
      <c r="B1002" s="79"/>
      <c r="C1002" s="79"/>
      <c r="D1002" s="79"/>
      <c r="E1002" s="79"/>
      <c r="F1002" s="79"/>
      <c r="G1002" s="79"/>
      <c r="H1002" s="79"/>
      <c r="I1002" s="79"/>
      <c r="J1002" s="79"/>
      <c r="K1002" s="79"/>
      <c r="L1002" s="79"/>
    </row>
    <row r="1003">
      <c r="B1003" s="79"/>
      <c r="C1003" s="79"/>
      <c r="D1003" s="79"/>
      <c r="E1003" s="79"/>
      <c r="F1003" s="79"/>
      <c r="G1003" s="79"/>
      <c r="H1003" s="79"/>
      <c r="I1003" s="79"/>
      <c r="J1003" s="79"/>
      <c r="K1003" s="79"/>
      <c r="L1003" s="79"/>
    </row>
    <row r="1004">
      <c r="B1004" s="79"/>
      <c r="C1004" s="79"/>
      <c r="D1004" s="79"/>
      <c r="E1004" s="79"/>
      <c r="F1004" s="79"/>
      <c r="G1004" s="79"/>
      <c r="H1004" s="79"/>
      <c r="I1004" s="79"/>
      <c r="J1004" s="79"/>
      <c r="K1004" s="79"/>
      <c r="L1004" s="79"/>
    </row>
  </sheetData>
  <autoFilter ref="$L$1:$L$1004"/>
  <dataValidations>
    <dataValidation type="list" allowBlank="1" showErrorMessage="1" sqref="H2:H171">
      <formula1>"Pago,Aguardando PG"</formula1>
    </dataValidation>
    <dataValidation type="list" allowBlank="1" showErrorMessage="1" sqref="L2:L171">
      <formula1>"Janeiro,Fevereiro,Março,Abril,Maio,Junho,Julho,Agosto,Setembro,Outubro,Novembro,Dezembro"</formula1>
    </dataValidation>
    <dataValidation type="list" allowBlank="1" showErrorMessage="1" sqref="D2:D171">
      <formula1>"Romantic ,Poliamida,Renda 18cm,Bojo,Boxer,Viés Poliamida"</formula1>
    </dataValidation>
    <dataValidation type="list" allowBlank="1" showErrorMessage="1" sqref="I2:I171">
      <formula1>"2%,1,5%,1%,0,5%,0,75%"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17.75"/>
    <col customWidth="1" min="3" max="3" width="5.75"/>
    <col customWidth="1" min="4" max="4" width="18.88"/>
    <col customWidth="1" min="5" max="5" width="16.25"/>
    <col customWidth="1" min="6" max="6" width="17.38"/>
    <col customWidth="1" min="7" max="7" width="14.88"/>
    <col customWidth="1" min="8" max="8" width="17.0"/>
    <col customWidth="1" min="9" max="9" width="19.38"/>
    <col customWidth="1" min="15" max="15" width="13.88"/>
  </cols>
  <sheetData>
    <row r="1" ht="19.5" customHeight="1">
      <c r="A1" s="245" t="s">
        <v>140</v>
      </c>
      <c r="B1" s="246">
        <f>SUMIF('Fast Representações'!N:N,D2,'Fast Representações'!M:M)</f>
        <v>2953.311836</v>
      </c>
      <c r="D1" s="247" t="s">
        <v>12</v>
      </c>
      <c r="H1" s="248" t="s">
        <v>141</v>
      </c>
      <c r="I1" s="249"/>
      <c r="K1" s="250" t="s">
        <v>142</v>
      </c>
    </row>
    <row r="2" ht="19.5" customHeight="1">
      <c r="A2" s="245" t="s">
        <v>143</v>
      </c>
      <c r="B2" s="246">
        <f>SUMIF('Fast Malhas'!I:I,D2,'Fast Malhas'!H:H)</f>
        <v>9646.991356</v>
      </c>
      <c r="D2" s="251" t="s">
        <v>48</v>
      </c>
      <c r="H2" s="252" t="s">
        <v>144</v>
      </c>
      <c r="I2" s="253">
        <v>4650.97</v>
      </c>
      <c r="K2" s="254" t="s">
        <v>145</v>
      </c>
      <c r="L2" s="255">
        <v>1518.0</v>
      </c>
    </row>
    <row r="3" ht="19.5" customHeight="1">
      <c r="A3" s="245" t="s">
        <v>146</v>
      </c>
      <c r="B3" s="246">
        <f>SUMIF('Fast Elásticos'!K:K,D2,'Fast Elásticos'!J:J)</f>
        <v>612.144</v>
      </c>
      <c r="H3" s="256" t="s">
        <v>10</v>
      </c>
      <c r="I3" s="257">
        <f>O4</f>
        <v>830.9470315</v>
      </c>
      <c r="K3" s="258" t="s">
        <v>147</v>
      </c>
      <c r="L3" s="259">
        <f>L2*11%</f>
        <v>166.98</v>
      </c>
      <c r="O3" s="260" t="s">
        <v>148</v>
      </c>
    </row>
    <row r="4" ht="19.5" customHeight="1">
      <c r="A4" s="245" t="s">
        <v>149</v>
      </c>
      <c r="B4" s="261">
        <f>SUMIF(Island!L:L,D2,Island!K:K)</f>
        <v>636.67</v>
      </c>
      <c r="H4" s="262"/>
      <c r="I4" s="263"/>
      <c r="K4" s="80" t="s">
        <v>150</v>
      </c>
      <c r="L4" s="264">
        <f>L2*27.5%</f>
        <v>417.45</v>
      </c>
      <c r="O4" s="265">
        <f>B5*6%</f>
        <v>830.9470315</v>
      </c>
    </row>
    <row r="5" ht="19.5" customHeight="1">
      <c r="A5" s="266" t="s">
        <v>151</v>
      </c>
      <c r="B5" s="246">
        <f>SUM(B1:B4)</f>
        <v>13849.11719</v>
      </c>
    </row>
    <row r="6" ht="19.5" customHeight="1"/>
    <row r="7" ht="19.5" customHeight="1">
      <c r="A7" s="267" t="s">
        <v>152</v>
      </c>
      <c r="B7" s="261">
        <f>SUMIF('MR Têxtil'!L:L,D2,'MR Têxtil'!K:K)</f>
        <v>0</v>
      </c>
    </row>
    <row r="8" ht="19.5" customHeight="1">
      <c r="E8" s="268" t="s">
        <v>153</v>
      </c>
      <c r="F8" s="269" t="s">
        <v>154</v>
      </c>
      <c r="G8" s="270" t="s">
        <v>150</v>
      </c>
      <c r="K8" s="123"/>
    </row>
    <row r="9" ht="19.5" customHeight="1">
      <c r="A9" s="271" t="s">
        <v>18</v>
      </c>
      <c r="B9" s="272">
        <v>8680.5</v>
      </c>
      <c r="D9" s="271" t="s">
        <v>18</v>
      </c>
      <c r="E9" s="272">
        <v>511.31</v>
      </c>
      <c r="F9" s="272">
        <v>166.98</v>
      </c>
      <c r="G9" s="272">
        <v>0.0</v>
      </c>
      <c r="H9" s="272">
        <f t="shared" ref="H9:H20" si="1">SUM(E9:G9)</f>
        <v>678.29</v>
      </c>
    </row>
    <row r="10" ht="19.5" customHeight="1">
      <c r="A10" s="273" t="s">
        <v>15</v>
      </c>
      <c r="B10" s="272">
        <v>4650.97</v>
      </c>
      <c r="D10" s="273" t="s">
        <v>15</v>
      </c>
      <c r="E10" s="272">
        <v>279.05</v>
      </c>
      <c r="F10" s="272">
        <v>166.98</v>
      </c>
      <c r="G10" s="272">
        <v>0.0</v>
      </c>
      <c r="H10" s="272">
        <f t="shared" si="1"/>
        <v>446.03</v>
      </c>
    </row>
    <row r="11" ht="19.5" customHeight="1">
      <c r="A11" s="273" t="s">
        <v>28</v>
      </c>
      <c r="B11" s="272">
        <v>5861.72</v>
      </c>
      <c r="D11" s="273" t="s">
        <v>28</v>
      </c>
      <c r="E11" s="274">
        <f t="shared" ref="E11:E20" si="2">B11*6%</f>
        <v>351.7032</v>
      </c>
      <c r="F11" s="272">
        <v>166.98</v>
      </c>
      <c r="G11" s="272">
        <v>0.0</v>
      </c>
      <c r="H11" s="272">
        <f t="shared" si="1"/>
        <v>518.6832</v>
      </c>
    </row>
    <row r="12" ht="19.5" customHeight="1">
      <c r="A12" s="273" t="s">
        <v>23</v>
      </c>
      <c r="B12" s="272">
        <v>12443.04</v>
      </c>
      <c r="D12" s="273" t="s">
        <v>23</v>
      </c>
      <c r="E12" s="274">
        <f t="shared" si="2"/>
        <v>746.5824</v>
      </c>
      <c r="F12" s="272">
        <v>166.98</v>
      </c>
      <c r="G12" s="272">
        <v>0.0</v>
      </c>
      <c r="H12" s="272">
        <f t="shared" si="1"/>
        <v>913.5624</v>
      </c>
    </row>
    <row r="13" ht="19.5" customHeight="1">
      <c r="A13" s="273" t="s">
        <v>32</v>
      </c>
      <c r="B13" s="272">
        <v>4600.0</v>
      </c>
      <c r="D13" s="273" t="s">
        <v>32</v>
      </c>
      <c r="E13" s="274">
        <f t="shared" si="2"/>
        <v>276</v>
      </c>
      <c r="F13" s="272">
        <v>166.98</v>
      </c>
      <c r="G13" s="272">
        <v>0.0</v>
      </c>
      <c r="H13" s="272">
        <f t="shared" si="1"/>
        <v>442.98</v>
      </c>
    </row>
    <row r="14" ht="19.5" customHeight="1">
      <c r="A14" s="273" t="s">
        <v>42</v>
      </c>
      <c r="B14" s="272">
        <v>7471.08</v>
      </c>
      <c r="D14" s="273" t="s">
        <v>42</v>
      </c>
      <c r="E14" s="274">
        <f t="shared" si="2"/>
        <v>448.2648</v>
      </c>
      <c r="F14" s="272">
        <v>166.98</v>
      </c>
      <c r="G14" s="272">
        <v>0.0</v>
      </c>
      <c r="H14" s="272">
        <f t="shared" si="1"/>
        <v>615.2448</v>
      </c>
    </row>
    <row r="15" ht="19.5" customHeight="1">
      <c r="A15" s="273" t="s">
        <v>38</v>
      </c>
      <c r="B15" s="272">
        <v>9335.52</v>
      </c>
      <c r="D15" s="273" t="s">
        <v>38</v>
      </c>
      <c r="E15" s="274">
        <f t="shared" si="2"/>
        <v>560.1312</v>
      </c>
      <c r="F15" s="272">
        <v>166.98</v>
      </c>
      <c r="G15" s="272">
        <v>0.0</v>
      </c>
      <c r="H15" s="272">
        <f t="shared" si="1"/>
        <v>727.1112</v>
      </c>
    </row>
    <row r="16" ht="19.5" customHeight="1">
      <c r="A16" s="273" t="s">
        <v>47</v>
      </c>
      <c r="B16" s="272">
        <v>15733.45</v>
      </c>
      <c r="D16" s="273" t="s">
        <v>47</v>
      </c>
      <c r="E16" s="274">
        <f t="shared" si="2"/>
        <v>944.007</v>
      </c>
      <c r="F16" s="272">
        <v>166.98</v>
      </c>
      <c r="G16" s="272">
        <v>0.0</v>
      </c>
      <c r="H16" s="272">
        <f t="shared" si="1"/>
        <v>1110.987</v>
      </c>
    </row>
    <row r="17" ht="19.5" customHeight="1">
      <c r="A17" s="273" t="s">
        <v>69</v>
      </c>
      <c r="B17" s="272">
        <v>5165.0</v>
      </c>
      <c r="D17" s="273" t="s">
        <v>69</v>
      </c>
      <c r="E17" s="274">
        <f t="shared" si="2"/>
        <v>309.9</v>
      </c>
      <c r="F17" s="272">
        <v>166.98</v>
      </c>
      <c r="G17" s="272">
        <v>0.0</v>
      </c>
      <c r="H17" s="272">
        <f t="shared" si="1"/>
        <v>476.88</v>
      </c>
    </row>
    <row r="18" ht="19.5" customHeight="1">
      <c r="A18" s="273" t="s">
        <v>46</v>
      </c>
      <c r="B18" s="272">
        <v>5212.63</v>
      </c>
      <c r="D18" s="273" t="s">
        <v>46</v>
      </c>
      <c r="E18" s="274">
        <f t="shared" si="2"/>
        <v>312.7578</v>
      </c>
      <c r="F18" s="272">
        <v>166.98</v>
      </c>
      <c r="G18" s="272">
        <v>0.0</v>
      </c>
      <c r="H18" s="272">
        <f t="shared" si="1"/>
        <v>479.7378</v>
      </c>
    </row>
    <row r="19" ht="19.5" customHeight="1">
      <c r="A19" s="275" t="s">
        <v>52</v>
      </c>
      <c r="B19" s="272">
        <v>7175.19</v>
      </c>
      <c r="D19" s="275" t="s">
        <v>52</v>
      </c>
      <c r="E19" s="274">
        <f t="shared" si="2"/>
        <v>430.5114</v>
      </c>
      <c r="F19" s="272">
        <v>166.98</v>
      </c>
      <c r="G19" s="272">
        <v>0.0</v>
      </c>
      <c r="H19" s="272">
        <f t="shared" si="1"/>
        <v>597.4914</v>
      </c>
    </row>
    <row r="20" ht="19.5" customHeight="1">
      <c r="A20" s="276" t="s">
        <v>48</v>
      </c>
      <c r="B20" s="272">
        <v>0.0</v>
      </c>
      <c r="D20" s="276" t="s">
        <v>48</v>
      </c>
      <c r="E20" s="274">
        <f t="shared" si="2"/>
        <v>0</v>
      </c>
      <c r="F20" s="277"/>
      <c r="G20" s="272">
        <v>0.0</v>
      </c>
      <c r="H20" s="272">
        <f t="shared" si="1"/>
        <v>0</v>
      </c>
    </row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</sheetData>
  <mergeCells count="2">
    <mergeCell ref="H1:I1"/>
    <mergeCell ref="K1:L1"/>
  </mergeCells>
  <dataValidations>
    <dataValidation type="list" allowBlank="1" showErrorMessage="1" sqref="D2">
      <formula1>"Janeiro,Fevereiro,Março,Abril,Maio,Junho,Julho,Agosto,Setembro,Outubro,Novembro,Dezembro"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cols>
    <col customWidth="1" min="2" max="2" width="11.0"/>
    <col customWidth="1" min="3" max="3" width="14.0"/>
    <col customWidth="1" min="4" max="5" width="11.88"/>
    <col customWidth="1" min="6" max="6" width="8.63"/>
    <col customWidth="1" min="7" max="7" width="15.0"/>
    <col customWidth="1" min="8" max="8" width="19.88"/>
    <col customWidth="1" min="9" max="9" width="16.38"/>
    <col customWidth="1" min="10" max="10" width="19.38"/>
    <col customWidth="1" min="11" max="11" width="19.25"/>
    <col customWidth="1" min="12" max="12" width="20.13"/>
    <col customWidth="1" min="13" max="13" width="15.75"/>
  </cols>
  <sheetData>
    <row r="1">
      <c r="I1" s="278"/>
      <c r="J1" s="278"/>
      <c r="K1" s="278"/>
      <c r="L1" s="278"/>
    </row>
    <row r="2">
      <c r="I2" s="279"/>
      <c r="J2" s="280"/>
      <c r="M2" s="281"/>
    </row>
    <row r="3">
      <c r="B3" s="282" t="s">
        <v>155</v>
      </c>
      <c r="C3" s="283" t="s">
        <v>156</v>
      </c>
      <c r="D3" s="283" t="s">
        <v>153</v>
      </c>
      <c r="E3" s="283" t="s">
        <v>154</v>
      </c>
      <c r="F3" s="283" t="s">
        <v>150</v>
      </c>
      <c r="G3" s="284" t="s">
        <v>157</v>
      </c>
      <c r="I3" s="278"/>
      <c r="J3" s="285"/>
      <c r="K3" s="286"/>
      <c r="L3" s="287"/>
    </row>
    <row r="4">
      <c r="B4" s="288" t="s">
        <v>18</v>
      </c>
      <c r="C4" s="289">
        <v>0.0</v>
      </c>
      <c r="D4" s="290">
        <f t="shared" ref="D4:D15" si="1">A4*6%</f>
        <v>0</v>
      </c>
      <c r="E4" s="291">
        <v>166.98</v>
      </c>
      <c r="F4" s="291">
        <v>0.0</v>
      </c>
      <c r="G4" s="291">
        <f t="shared" ref="G4:G15" si="2">SUM(D4:F4)</f>
        <v>166.98</v>
      </c>
      <c r="I4" s="278"/>
      <c r="J4" s="285"/>
      <c r="K4" s="286"/>
      <c r="L4" s="287"/>
    </row>
    <row r="5">
      <c r="B5" s="292" t="s">
        <v>15</v>
      </c>
      <c r="C5" s="289">
        <v>0.0</v>
      </c>
      <c r="D5" s="290">
        <f t="shared" si="1"/>
        <v>0</v>
      </c>
      <c r="E5" s="291">
        <v>166.98</v>
      </c>
      <c r="F5" s="291">
        <v>0.0</v>
      </c>
      <c r="G5" s="291">
        <f t="shared" si="2"/>
        <v>166.98</v>
      </c>
      <c r="I5" s="278"/>
      <c r="J5" s="285"/>
      <c r="K5" s="286"/>
      <c r="L5" s="287"/>
    </row>
    <row r="6">
      <c r="B6" s="292" t="s">
        <v>28</v>
      </c>
      <c r="C6" s="289">
        <v>0.0</v>
      </c>
      <c r="D6" s="290">
        <f t="shared" si="1"/>
        <v>0</v>
      </c>
      <c r="E6" s="291">
        <v>166.98</v>
      </c>
      <c r="F6" s="291">
        <v>0.0</v>
      </c>
      <c r="G6" s="291">
        <f t="shared" si="2"/>
        <v>166.98</v>
      </c>
      <c r="I6" s="278"/>
      <c r="J6" s="285"/>
      <c r="K6" s="286"/>
      <c r="L6" s="287"/>
    </row>
    <row r="7">
      <c r="B7" s="292" t="s">
        <v>23</v>
      </c>
      <c r="C7" s="289">
        <v>0.0</v>
      </c>
      <c r="D7" s="290">
        <f t="shared" si="1"/>
        <v>0</v>
      </c>
      <c r="E7" s="291">
        <v>166.98</v>
      </c>
      <c r="F7" s="291">
        <v>0.0</v>
      </c>
      <c r="G7" s="291">
        <f t="shared" si="2"/>
        <v>166.98</v>
      </c>
      <c r="I7" s="278"/>
      <c r="J7" s="285"/>
      <c r="K7" s="286"/>
      <c r="L7" s="287"/>
    </row>
    <row r="8">
      <c r="B8" s="292" t="s">
        <v>32</v>
      </c>
      <c r="C8" s="289">
        <v>0.0</v>
      </c>
      <c r="D8" s="290">
        <f t="shared" si="1"/>
        <v>0</v>
      </c>
      <c r="E8" s="291">
        <v>166.98</v>
      </c>
      <c r="F8" s="291">
        <v>0.0</v>
      </c>
      <c r="G8" s="291">
        <f t="shared" si="2"/>
        <v>166.98</v>
      </c>
      <c r="I8" s="278"/>
      <c r="J8" s="285"/>
      <c r="K8" s="286"/>
      <c r="L8" s="287"/>
    </row>
    <row r="9">
      <c r="B9" s="292" t="s">
        <v>42</v>
      </c>
      <c r="C9" s="289">
        <v>0.0</v>
      </c>
      <c r="D9" s="290">
        <f t="shared" si="1"/>
        <v>0</v>
      </c>
      <c r="E9" s="291">
        <v>166.98</v>
      </c>
      <c r="F9" s="291">
        <v>0.0</v>
      </c>
      <c r="G9" s="291">
        <f t="shared" si="2"/>
        <v>166.98</v>
      </c>
      <c r="I9" s="278"/>
      <c r="J9" s="285"/>
      <c r="K9" s="286"/>
      <c r="L9" s="287"/>
    </row>
    <row r="10">
      <c r="B10" s="292" t="s">
        <v>38</v>
      </c>
      <c r="C10" s="289">
        <v>0.0</v>
      </c>
      <c r="D10" s="290">
        <f t="shared" si="1"/>
        <v>0</v>
      </c>
      <c r="E10" s="291">
        <v>166.98</v>
      </c>
      <c r="F10" s="291">
        <v>0.0</v>
      </c>
      <c r="G10" s="291">
        <f t="shared" si="2"/>
        <v>166.98</v>
      </c>
      <c r="I10" s="278"/>
      <c r="J10" s="285"/>
      <c r="K10" s="286"/>
      <c r="L10" s="287"/>
    </row>
    <row r="11">
      <c r="B11" s="292" t="s">
        <v>158</v>
      </c>
      <c r="C11" s="289">
        <v>0.0</v>
      </c>
      <c r="D11" s="290">
        <f t="shared" si="1"/>
        <v>0</v>
      </c>
      <c r="E11" s="291">
        <v>0.0</v>
      </c>
      <c r="F11" s="291">
        <v>0.0</v>
      </c>
      <c r="G11" s="291">
        <f t="shared" si="2"/>
        <v>0</v>
      </c>
      <c r="I11" s="278"/>
      <c r="J11" s="285"/>
      <c r="K11" s="286"/>
      <c r="L11" s="287"/>
    </row>
    <row r="12">
      <c r="B12" s="292" t="s">
        <v>69</v>
      </c>
      <c r="C12" s="289">
        <v>0.0</v>
      </c>
      <c r="D12" s="290">
        <f t="shared" si="1"/>
        <v>0</v>
      </c>
      <c r="E12" s="291">
        <v>0.0</v>
      </c>
      <c r="F12" s="291">
        <v>0.0</v>
      </c>
      <c r="G12" s="291">
        <f t="shared" si="2"/>
        <v>0</v>
      </c>
      <c r="I12" s="278"/>
      <c r="J12" s="285"/>
      <c r="K12" s="286"/>
      <c r="L12" s="287"/>
    </row>
    <row r="13">
      <c r="B13" s="292" t="s">
        <v>46</v>
      </c>
      <c r="C13" s="289">
        <v>0.0</v>
      </c>
      <c r="D13" s="290">
        <f t="shared" si="1"/>
        <v>0</v>
      </c>
      <c r="E13" s="291">
        <v>0.0</v>
      </c>
      <c r="F13" s="291">
        <v>0.0</v>
      </c>
      <c r="G13" s="291">
        <f t="shared" si="2"/>
        <v>0</v>
      </c>
      <c r="I13" s="278"/>
      <c r="J13" s="285"/>
      <c r="K13" s="286"/>
      <c r="L13" s="287"/>
    </row>
    <row r="14">
      <c r="B14" s="292" t="s">
        <v>52</v>
      </c>
      <c r="C14" s="289">
        <v>0.0</v>
      </c>
      <c r="D14" s="290">
        <f t="shared" si="1"/>
        <v>0</v>
      </c>
      <c r="E14" s="291">
        <v>0.0</v>
      </c>
      <c r="F14" s="291">
        <v>0.0</v>
      </c>
      <c r="G14" s="291">
        <f t="shared" si="2"/>
        <v>0</v>
      </c>
      <c r="I14" s="278"/>
      <c r="J14" s="285"/>
      <c r="K14" s="286"/>
      <c r="L14" s="287"/>
    </row>
    <row r="15">
      <c r="B15" s="293" t="s">
        <v>48</v>
      </c>
      <c r="C15" s="289">
        <v>0.0</v>
      </c>
      <c r="D15" s="290">
        <f t="shared" si="1"/>
        <v>0</v>
      </c>
      <c r="E15" s="291">
        <v>0.0</v>
      </c>
      <c r="F15" s="291">
        <v>0.0</v>
      </c>
      <c r="G15" s="291">
        <f t="shared" si="2"/>
        <v>0</v>
      </c>
      <c r="I15" s="278"/>
      <c r="J15" s="285"/>
      <c r="K15" s="286"/>
      <c r="L15" s="287"/>
    </row>
    <row r="16" ht="18.75" customHeight="1">
      <c r="B16" s="294" t="s">
        <v>159</v>
      </c>
      <c r="C16" s="295">
        <f t="shared" ref="C16:G16" si="3">SUM(C4:C15)</f>
        <v>0</v>
      </c>
      <c r="D16" s="296">
        <f t="shared" si="3"/>
        <v>0</v>
      </c>
      <c r="E16" s="296">
        <f t="shared" si="3"/>
        <v>1168.86</v>
      </c>
      <c r="F16" s="296">
        <f t="shared" si="3"/>
        <v>0</v>
      </c>
      <c r="G16" s="297">
        <f t="shared" si="3"/>
        <v>1168.86</v>
      </c>
    </row>
    <row r="19">
      <c r="B19" s="278"/>
      <c r="C19" s="278"/>
      <c r="D19" s="278"/>
      <c r="E19" s="278"/>
      <c r="F19" s="278"/>
      <c r="G19" s="278"/>
      <c r="H19" s="278"/>
      <c r="I19" s="278"/>
      <c r="J19" s="278"/>
      <c r="K19" s="278"/>
      <c r="L19" s="278"/>
      <c r="M19" s="278"/>
    </row>
    <row r="20">
      <c r="B20" s="278"/>
      <c r="C20" s="279"/>
      <c r="D20" s="279"/>
      <c r="E20" s="279"/>
      <c r="F20" s="279"/>
      <c r="G20" s="279"/>
      <c r="H20" s="278"/>
      <c r="I20" s="279"/>
      <c r="J20" s="279"/>
      <c r="K20" s="279"/>
      <c r="L20" s="279"/>
      <c r="M20" s="279"/>
    </row>
    <row r="21">
      <c r="B21" s="278"/>
      <c r="C21" s="298"/>
      <c r="D21" s="286"/>
      <c r="E21" s="286"/>
      <c r="F21" s="299"/>
      <c r="G21" s="300"/>
      <c r="H21" s="278"/>
      <c r="I21" s="301"/>
      <c r="J21" s="286"/>
      <c r="K21" s="286"/>
      <c r="L21" s="299"/>
      <c r="M21" s="300"/>
    </row>
    <row r="22">
      <c r="B22" s="278"/>
      <c r="C22" s="298"/>
      <c r="D22" s="286"/>
      <c r="E22" s="286"/>
      <c r="F22" s="299"/>
      <c r="G22" s="302"/>
      <c r="H22" s="278"/>
      <c r="I22" s="301"/>
      <c r="J22" s="286"/>
      <c r="K22" s="286"/>
      <c r="L22" s="299"/>
      <c r="M22" s="302"/>
    </row>
    <row r="23">
      <c r="B23" s="278"/>
      <c r="C23" s="303"/>
      <c r="D23" s="286"/>
      <c r="E23" s="286"/>
      <c r="F23" s="299"/>
      <c r="G23" s="302"/>
      <c r="H23" s="278"/>
      <c r="I23" s="301"/>
      <c r="J23" s="286"/>
      <c r="K23" s="286"/>
      <c r="L23" s="299"/>
      <c r="M23" s="278"/>
    </row>
    <row r="24">
      <c r="B24" s="278"/>
      <c r="C24" s="303"/>
      <c r="D24" s="286"/>
      <c r="E24" s="286"/>
      <c r="F24" s="299"/>
      <c r="G24" s="302"/>
      <c r="H24" s="278"/>
      <c r="I24" s="301"/>
      <c r="J24" s="286"/>
      <c r="K24" s="286"/>
      <c r="L24" s="299"/>
      <c r="M24" s="278"/>
    </row>
    <row r="25">
      <c r="B25" s="278"/>
      <c r="C25" s="303"/>
      <c r="D25" s="286"/>
      <c r="E25" s="286"/>
      <c r="F25" s="299"/>
      <c r="G25" s="278"/>
      <c r="H25" s="278"/>
      <c r="I25" s="301"/>
      <c r="J25" s="286"/>
      <c r="K25" s="286"/>
      <c r="L25" s="299"/>
      <c r="M25" s="278"/>
    </row>
    <row r="26">
      <c r="B26" s="278"/>
      <c r="C26" s="303"/>
      <c r="D26" s="286"/>
      <c r="E26" s="286"/>
      <c r="F26" s="299"/>
      <c r="G26" s="278"/>
      <c r="H26" s="278"/>
      <c r="I26" s="301"/>
      <c r="J26" s="286"/>
      <c r="K26" s="286"/>
      <c r="L26" s="299"/>
      <c r="M26" s="278"/>
    </row>
    <row r="27">
      <c r="B27" s="278"/>
      <c r="C27" s="303"/>
      <c r="D27" s="286"/>
      <c r="E27" s="286"/>
      <c r="F27" s="299"/>
      <c r="G27" s="278"/>
      <c r="H27" s="278"/>
      <c r="I27" s="301"/>
      <c r="J27" s="286"/>
      <c r="K27" s="286"/>
      <c r="L27" s="299"/>
      <c r="M27" s="278"/>
    </row>
    <row r="28">
      <c r="B28" s="278"/>
      <c r="C28" s="303"/>
      <c r="D28" s="286"/>
      <c r="E28" s="286"/>
      <c r="F28" s="299"/>
      <c r="G28" s="278"/>
      <c r="H28" s="278"/>
      <c r="I28" s="301"/>
      <c r="J28" s="286"/>
      <c r="K28" s="286"/>
      <c r="L28" s="299"/>
      <c r="M28" s="278"/>
    </row>
    <row r="29">
      <c r="B29" s="278"/>
      <c r="C29" s="278"/>
      <c r="D29" s="278"/>
      <c r="E29" s="278"/>
      <c r="F29" s="278"/>
      <c r="G29" s="278"/>
      <c r="H29" s="278"/>
      <c r="I29" s="301"/>
      <c r="J29" s="286"/>
      <c r="K29" s="286"/>
      <c r="L29" s="299"/>
      <c r="M29" s="278"/>
    </row>
    <row r="30">
      <c r="B30" s="278"/>
      <c r="C30" s="278"/>
      <c r="D30" s="278"/>
      <c r="E30" s="278"/>
      <c r="F30" s="278"/>
      <c r="G30" s="278"/>
      <c r="H30" s="278"/>
      <c r="I30" s="301"/>
      <c r="J30" s="286"/>
      <c r="K30" s="286"/>
      <c r="L30" s="299"/>
      <c r="M30" s="278"/>
    </row>
    <row r="31">
      <c r="B31" s="278"/>
      <c r="C31" s="278"/>
      <c r="D31" s="278"/>
      <c r="E31" s="278"/>
      <c r="F31" s="278"/>
      <c r="G31" s="278"/>
      <c r="H31" s="278"/>
      <c r="I31" s="301"/>
      <c r="J31" s="286"/>
      <c r="K31" s="286"/>
      <c r="L31" s="299"/>
      <c r="M31" s="278"/>
    </row>
    <row r="32">
      <c r="B32" s="278"/>
      <c r="C32" s="278"/>
      <c r="D32" s="278"/>
      <c r="E32" s="278"/>
      <c r="F32" s="278"/>
      <c r="G32" s="278"/>
      <c r="H32" s="278"/>
      <c r="I32" s="301"/>
      <c r="J32" s="286"/>
      <c r="K32" s="286"/>
      <c r="L32" s="299"/>
      <c r="M32" s="278"/>
    </row>
    <row r="33">
      <c r="B33" s="278"/>
      <c r="C33" s="278"/>
      <c r="D33" s="278"/>
      <c r="E33" s="278"/>
      <c r="F33" s="278"/>
      <c r="G33" s="278"/>
      <c r="H33" s="278"/>
      <c r="I33" s="301"/>
      <c r="J33" s="286"/>
      <c r="K33" s="286"/>
      <c r="L33" s="299"/>
      <c r="M33" s="278"/>
    </row>
  </sheetData>
  <mergeCells count="1">
    <mergeCell ref="J2:L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4" max="4" width="20.0"/>
    <col customWidth="1" min="5" max="5" width="18.5"/>
    <col customWidth="1" hidden="1" min="6" max="6" width="18.88"/>
    <col customWidth="1" min="7" max="9" width="17.25"/>
  </cols>
  <sheetData>
    <row r="4">
      <c r="C4" s="282" t="s">
        <v>155</v>
      </c>
      <c r="D4" s="283" t="s">
        <v>160</v>
      </c>
      <c r="E4" s="283" t="s">
        <v>161</v>
      </c>
      <c r="F4" s="283" t="s">
        <v>162</v>
      </c>
      <c r="G4" s="283" t="s">
        <v>163</v>
      </c>
      <c r="H4" s="283" t="s">
        <v>164</v>
      </c>
      <c r="I4" s="283" t="s">
        <v>165</v>
      </c>
    </row>
    <row r="5">
      <c r="C5" s="288" t="s">
        <v>18</v>
      </c>
      <c r="D5" s="304">
        <v>704.0</v>
      </c>
      <c r="E5" s="304">
        <f>'Apurações'!G4</f>
        <v>166.98</v>
      </c>
      <c r="F5" s="304">
        <v>1351.02</v>
      </c>
      <c r="G5" s="291">
        <v>300.0</v>
      </c>
      <c r="H5" s="305">
        <v>500.0</v>
      </c>
      <c r="I5" s="306">
        <f t="shared" ref="I5:I16" si="1">D5+E5+G5+H5</f>
        <v>1670.98</v>
      </c>
    </row>
    <row r="6">
      <c r="C6" s="292" t="s">
        <v>15</v>
      </c>
      <c r="D6" s="304">
        <v>704.0</v>
      </c>
      <c r="E6" s="307">
        <f>'Apurações'!G5</f>
        <v>166.98</v>
      </c>
      <c r="F6" s="304">
        <v>1351.02</v>
      </c>
      <c r="G6" s="291">
        <v>300.0</v>
      </c>
      <c r="H6" s="305">
        <v>500.0</v>
      </c>
      <c r="I6" s="306">
        <f t="shared" si="1"/>
        <v>1670.98</v>
      </c>
    </row>
    <row r="7">
      <c r="C7" s="292" t="s">
        <v>28</v>
      </c>
      <c r="D7" s="304">
        <v>704.0</v>
      </c>
      <c r="E7" s="307">
        <f>'Apurações'!G6</f>
        <v>166.98</v>
      </c>
      <c r="F7" s="304">
        <v>1351.02</v>
      </c>
      <c r="G7" s="291">
        <v>300.0</v>
      </c>
      <c r="H7" s="305">
        <v>500.0</v>
      </c>
      <c r="I7" s="306">
        <f t="shared" si="1"/>
        <v>1670.98</v>
      </c>
    </row>
    <row r="8">
      <c r="C8" s="292" t="s">
        <v>23</v>
      </c>
      <c r="D8" s="304">
        <v>704.0</v>
      </c>
      <c r="E8" s="307">
        <f>'Apurações'!G7</f>
        <v>166.98</v>
      </c>
      <c r="F8" s="304">
        <v>1351.02</v>
      </c>
      <c r="G8" s="291">
        <v>300.0</v>
      </c>
      <c r="H8" s="305">
        <v>500.0</v>
      </c>
      <c r="I8" s="306">
        <f t="shared" si="1"/>
        <v>1670.98</v>
      </c>
    </row>
    <row r="9">
      <c r="C9" s="292" t="s">
        <v>32</v>
      </c>
      <c r="D9" s="304">
        <v>704.0</v>
      </c>
      <c r="E9" s="307">
        <f>'Apurações'!G8</f>
        <v>166.98</v>
      </c>
      <c r="F9" s="304">
        <v>1351.02</v>
      </c>
      <c r="G9" s="291">
        <v>300.0</v>
      </c>
      <c r="H9" s="305">
        <v>500.0</v>
      </c>
      <c r="I9" s="306">
        <f t="shared" si="1"/>
        <v>1670.98</v>
      </c>
    </row>
    <row r="10">
      <c r="C10" s="292" t="s">
        <v>42</v>
      </c>
      <c r="D10" s="304">
        <v>704.0</v>
      </c>
      <c r="E10" s="307">
        <f>'Apurações'!G9</f>
        <v>166.98</v>
      </c>
      <c r="F10" s="304">
        <v>1351.02</v>
      </c>
      <c r="G10" s="291">
        <v>300.0</v>
      </c>
      <c r="H10" s="305">
        <v>500.0</v>
      </c>
      <c r="I10" s="306">
        <f t="shared" si="1"/>
        <v>1670.98</v>
      </c>
    </row>
    <row r="11">
      <c r="C11" s="292" t="s">
        <v>38</v>
      </c>
      <c r="D11" s="304">
        <v>704.0</v>
      </c>
      <c r="E11" s="307">
        <f>'Apurações'!G10</f>
        <v>166.98</v>
      </c>
      <c r="F11" s="304">
        <v>1351.02</v>
      </c>
      <c r="G11" s="291">
        <v>300.0</v>
      </c>
      <c r="H11" s="305">
        <v>500.0</v>
      </c>
      <c r="I11" s="306">
        <f t="shared" si="1"/>
        <v>1670.98</v>
      </c>
    </row>
    <row r="12">
      <c r="C12" s="292" t="s">
        <v>47</v>
      </c>
      <c r="D12" s="304">
        <v>704.0</v>
      </c>
      <c r="E12" s="307">
        <f>'Apurações'!G11</f>
        <v>0</v>
      </c>
      <c r="F12" s="304">
        <v>1351.02</v>
      </c>
      <c r="G12" s="291">
        <v>300.0</v>
      </c>
      <c r="H12" s="305">
        <v>500.0</v>
      </c>
      <c r="I12" s="306">
        <f t="shared" si="1"/>
        <v>1504</v>
      </c>
    </row>
    <row r="13">
      <c r="C13" s="292" t="s">
        <v>69</v>
      </c>
      <c r="D13" s="304">
        <v>500.0</v>
      </c>
      <c r="E13" s="307">
        <f>'Apurações'!G12</f>
        <v>0</v>
      </c>
      <c r="F13" s="304">
        <v>1351.02</v>
      </c>
      <c r="G13" s="291">
        <v>300.0</v>
      </c>
      <c r="H13" s="305">
        <v>500.0</v>
      </c>
      <c r="I13" s="306">
        <f t="shared" si="1"/>
        <v>1300</v>
      </c>
    </row>
    <row r="14">
      <c r="C14" s="292" t="s">
        <v>46</v>
      </c>
      <c r="D14" s="304">
        <v>500.0</v>
      </c>
      <c r="E14" s="307">
        <f>'Apurações'!G13</f>
        <v>0</v>
      </c>
      <c r="F14" s="307"/>
      <c r="G14" s="291">
        <v>300.0</v>
      </c>
      <c r="H14" s="305">
        <v>500.0</v>
      </c>
      <c r="I14" s="306">
        <f t="shared" si="1"/>
        <v>1300</v>
      </c>
    </row>
    <row r="15">
      <c r="C15" s="292" t="s">
        <v>52</v>
      </c>
      <c r="D15" s="304">
        <v>500.0</v>
      </c>
      <c r="E15" s="307">
        <f>'Apurações'!G14</f>
        <v>0</v>
      </c>
      <c r="F15" s="308"/>
      <c r="G15" s="291">
        <v>300.0</v>
      </c>
      <c r="H15" s="305">
        <v>500.0</v>
      </c>
      <c r="I15" s="306">
        <f t="shared" si="1"/>
        <v>1300</v>
      </c>
    </row>
    <row r="16">
      <c r="C16" s="293" t="s">
        <v>48</v>
      </c>
      <c r="D16" s="304">
        <v>500.0</v>
      </c>
      <c r="E16" s="309">
        <f>'Apurações'!G15</f>
        <v>0</v>
      </c>
      <c r="F16" s="310"/>
      <c r="G16" s="291">
        <v>300.0</v>
      </c>
      <c r="H16" s="305">
        <v>500.0</v>
      </c>
      <c r="I16" s="306">
        <f t="shared" si="1"/>
        <v>1300</v>
      </c>
    </row>
  </sheetData>
  <drawing r:id="rId1"/>
</worksheet>
</file>